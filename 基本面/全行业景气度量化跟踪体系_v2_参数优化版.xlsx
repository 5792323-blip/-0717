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6.xml" ContentType="application/vnd.openxmlformats-officedocument.spreadsheetml.comments+xml"/>
  <Override PartName="/xl/comments11.xml" ContentType="application/vnd.openxmlformats-officedocument.spreadsheetml.comments+xml"/>
  <Override PartName="/xl/comments38.xml" ContentType="application/vnd.openxmlformats-officedocument.spreadsheetml.comments+xml"/>
  <Override PartName="/xl/comments13.xml" ContentType="application/vnd.openxmlformats-officedocument.spreadsheetml.comments+xml"/>
  <Override PartName="/xl/theme/theme1.xml" ContentType="application/vnd.openxmlformats-officedocument.theme+xml"/>
  <Override PartName="/xl/comments31.xml" ContentType="application/vnd.openxmlformats-officedocument.spreadsheetml.comments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xl/comments20.xml" ContentType="application/vnd.openxmlformats-officedocument.spreadsheetml.comments+xml"/>
  <Override PartName="/xl/comments42.xml" ContentType="application/vnd.openxmlformats-officedocument.spreadsheetml.comments+xml"/>
  <Override PartName="/xl/comments12.xml" ContentType="application/vnd.openxmlformats-officedocument.spreadsheetml.comments+xml"/>
  <Override PartName="/xl/comments43.xml" ContentType="application/vnd.openxmlformats-officedocument.spreadsheetml.comments+xml"/>
  <Override PartName="/xl/drawings/vmlDrawing9.vml" ContentType="application/vnd.openxmlformats-officedocument.vmlDrawing"/>
  <Override PartName="/xl/drawings/vmlDrawing3.vml" ContentType="application/vnd.openxmlformats-officedocument.vmlDrawing"/>
  <Override PartName="/xl/drawings/vmlDrawing40.vml" ContentType="application/vnd.openxmlformats-officedocument.vmlDrawing"/>
  <Override PartName="/xl/drawings/vmlDrawing1.vml" ContentType="application/vnd.openxmlformats-officedocument.vmlDrawing"/>
  <Override PartName="/xl/drawings/vmlDrawing41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20.vml" ContentType="application/vnd.openxmlformats-officedocument.vmlDrawing"/>
  <Override PartName="/xl/drawings/vmlDrawing21.vml" ContentType="application/vnd.openxmlformats-officedocument.vmlDrawing"/>
  <Override PartName="/xl/drawings/vmlDrawing11.vml" ContentType="application/vnd.openxmlformats-officedocument.vmlDrawing"/>
  <Override PartName="/xl/drawings/vmlDrawing13.vml" ContentType="application/vnd.openxmlformats-officedocument.vmlDrawing"/>
  <Override PartName="/xl/drawings/vmlDrawing2.vml" ContentType="application/vnd.openxmlformats-officedocument.vmlDrawing"/>
  <Override PartName="/xl/drawings/vmlDrawing43.vml" ContentType="application/vnd.openxmlformats-officedocument.vmlDrawing"/>
  <Override PartName="/xl/drawings/vmlDrawing14.vml" ContentType="application/vnd.openxmlformats-officedocument.vmlDrawing"/>
  <Override PartName="/xl/drawings/drawing1.xml" ContentType="application/vnd.openxmlformats-officedocument.drawing+xml"/>
  <Override PartName="/xl/drawings/vmlDrawing38.vml" ContentType="application/vnd.openxmlformats-officedocument.vmlDrawing"/>
  <Override PartName="/xl/drawings/vmlDrawing25.vml" ContentType="application/vnd.openxmlformats-officedocument.vmlDrawing"/>
  <Override PartName="/xl/drawings/drawing2.xml" ContentType="application/vnd.openxmlformats-officedocument.drawing+xml"/>
  <Override PartName="/xl/drawings/vmlDrawing17.vml" ContentType="application/vnd.openxmlformats-officedocument.vmlDrawing"/>
  <Override PartName="/xl/drawings/vmlDrawing19.vml" ContentType="application/vnd.openxmlformats-officedocument.vmlDrawing"/>
  <Override PartName="/xl/drawings/vmlDrawing22.vml" ContentType="application/vnd.openxmlformats-officedocument.vmlDrawing"/>
  <Override PartName="/xl/drawings/vmlDrawing23.vml" ContentType="application/vnd.openxmlformats-officedocument.vmlDrawing"/>
  <Override PartName="/xl/drawings/vmlDrawing16.vml" ContentType="application/vnd.openxmlformats-officedocument.vmlDrawing"/>
  <Override PartName="/xl/drawings/vmlDrawing24.vml" ContentType="application/vnd.openxmlformats-officedocument.vmlDrawing"/>
  <Override PartName="/xl/drawings/vmlDrawing42.vml" ContentType="application/vnd.openxmlformats-officedocument.vmlDrawing"/>
  <Override PartName="/xl/drawings/vmlDrawing26.vml" ContentType="application/vnd.openxmlformats-officedocument.vmlDrawing"/>
  <Override PartName="/xl/drawings/vmlDrawing27.vml" ContentType="application/vnd.openxmlformats-officedocument.vmlDrawing"/>
  <Override PartName="/xl/drawings/vmlDrawing28.vml" ContentType="application/vnd.openxmlformats-officedocument.vmlDrawing"/>
  <Override PartName="/xl/drawings/vmlDrawing12.vml" ContentType="application/vnd.openxmlformats-officedocument.vmlDrawing"/>
  <Override PartName="/xl/drawings/vmlDrawing37.vml" ContentType="application/vnd.openxmlformats-officedocument.vmlDrawing"/>
  <Override PartName="/xl/drawings/vmlDrawing30.vml" ContentType="application/vnd.openxmlformats-officedocument.vmlDrawing"/>
  <Override PartName="/xl/drawings/vmlDrawing18.vml" ContentType="application/vnd.openxmlformats-officedocument.vmlDrawing"/>
  <Override PartName="/xl/drawings/vmlDrawing31.vml" ContentType="application/vnd.openxmlformats-officedocument.vmlDrawing"/>
  <Override PartName="/xl/drawings/vmlDrawing15.vml" ContentType="application/vnd.openxmlformats-officedocument.vmlDrawing"/>
  <Override PartName="/xl/drawings/vmlDrawing33.vml" ContentType="application/vnd.openxmlformats-officedocument.vmlDrawing"/>
  <Override PartName="/xl/drawings/vmlDrawing5.vml" ContentType="application/vnd.openxmlformats-officedocument.vmlDrawing"/>
  <Override PartName="/xl/drawings/vmlDrawing8.vml" ContentType="application/vnd.openxmlformats-officedocument.vmlDrawing"/>
  <Override PartName="/xl/drawings/vmlDrawing10.vml" ContentType="application/vnd.openxmlformats-officedocument.vmlDrawing"/>
  <Override PartName="/xl/drawings/vmlDrawing32.vml" ContentType="application/vnd.openxmlformats-officedocument.vmlDrawing"/>
  <Override PartName="/xl/drawings/vmlDrawing4.vml" ContentType="application/vnd.openxmlformats-officedocument.vmlDrawing"/>
  <Override PartName="/xl/drawings/vmlDrawing29.vml" ContentType="application/vnd.openxmlformats-officedocument.vmlDrawing"/>
  <Override PartName="/xl/drawings/vmlDrawing34.vml" ContentType="application/vnd.openxmlformats-officedocument.vmlDrawing"/>
  <Override PartName="/xl/drawings/vmlDrawing39.vml" ContentType="application/vnd.openxmlformats-officedocument.vmlDrawing"/>
  <Override PartName="/xl/drawings/vmlDrawing35.vml" ContentType="application/vnd.openxmlformats-officedocument.vmlDrawing"/>
  <Override PartName="/xl/drawings/vmlDrawing36.vml" ContentType="application/vnd.openxmlformats-officedocument.vmlDrawing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39.xml" ContentType="application/vnd.openxmlformats-officedocument.spreadsheetml.worksheet+xml"/>
  <Override PartName="/xl/worksheets/sheet1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0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28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45.xml" ContentType="application/vnd.openxmlformats-officedocument.spreadsheetml.worksheet+xml"/>
  <Override PartName="/xl/comments18.xml" ContentType="application/vnd.openxmlformats-officedocument.spreadsheetml.comments+xml"/>
  <Override PartName="/xl/comments36.xml" ContentType="application/vnd.openxmlformats-officedocument.spreadsheetml.comments+xml"/>
  <Override PartName="/xl/comments41.xml" ContentType="application/vnd.openxmlformats-officedocument.spreadsheetml.comments+xml"/>
  <Override PartName="/xl/comments23.xml" ContentType="application/vnd.openxmlformats-officedocument.spreadsheetml.comments+xml"/>
  <Override PartName="/xl/comments25.xml" ContentType="application/vnd.openxmlformats-officedocument.spreadsheetml.comments+xml"/>
  <Override PartName="/xl/comments14.xml" ContentType="application/vnd.openxmlformats-officedocument.spreadsheetml.comments+xml"/>
  <Override PartName="/xl/comments19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33.xml" ContentType="application/vnd.openxmlformats-officedocument.spreadsheetml.comments+xml"/>
  <Override PartName="/xl/comments32.xml" ContentType="application/vnd.openxmlformats-officedocument.spreadsheetml.comments+xml"/>
  <Override PartName="/xl/tables/table1.xml" ContentType="application/vnd.openxmlformats-officedocument.spreadsheetml.table+xml"/>
  <Override PartName="/xl/comments34.xml" ContentType="application/vnd.openxmlformats-officedocument.spreadsheetml.comments+xml"/>
  <Override PartName="/xl/comments17.xml" ContentType="application/vnd.openxmlformats-officedocument.spreadsheetml.comments+xml"/>
  <Override PartName="/xl/comments30.xml" ContentType="application/vnd.openxmlformats-officedocument.spreadsheetml.comments+xml"/>
  <Override PartName="/xl/comments37.xml" ContentType="application/vnd.openxmlformats-officedocument.spreadsheetml.comments+xml"/>
  <Override PartName="/xl/comments44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15.xml" ContentType="application/vnd.openxmlformats-officedocument.spreadsheetml.comments+xml"/>
  <Override PartName="/xl/comments21.xml" ContentType="application/vnd.openxmlformats-officedocument.spreadsheetml.comments+xml"/>
  <Override PartName="/xl/comments24.xml" ContentType="application/vnd.openxmlformats-officedocument.spreadsheetml.comments+xml"/>
  <Override PartName="/xl/comments29.xml" ContentType="application/vnd.openxmlformats-officedocument.spreadsheetml.comments+xml"/>
  <Override PartName="/xl/comments22.xml" ContentType="application/vnd.openxmlformats-officedocument.spreadsheetml.comments+xml"/>
  <Override PartName="/xl/comments39.xml" ContentType="application/vnd.openxmlformats-officedocument.spreadsheetml.comments+xml"/>
  <Override PartName="/xl/comments47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40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9.xml" ContentType="application/vnd.openxmlformats-officedocument.spreadsheetml.comments+xml"/>
  <Override PartName="/xl/comments3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参数优化说明" sheetId="1" state="visible" r:id="rId3"/>
    <sheet name="行业核心标准库" sheetId="2" state="visible" r:id="rId4"/>
    <sheet name="打分机制标准" sheetId="3" state="visible" r:id="rId5"/>
    <sheet name="全行业景气度总览" sheetId="4" state="visible" r:id="rId6"/>
    <sheet name="农林牧渔" sheetId="5" state="visible" r:id="rId7"/>
    <sheet name="基础化工" sheetId="6" state="visible" r:id="rId8"/>
    <sheet name="钢铁" sheetId="7" state="visible" r:id="rId9"/>
    <sheet name="有色金属" sheetId="8" state="visible" r:id="rId10"/>
    <sheet name="电子" sheetId="9" state="visible" r:id="rId11"/>
    <sheet name="家用电器" sheetId="10" state="visible" r:id="rId12"/>
    <sheet name="食品饮料" sheetId="11" state="visible" r:id="rId13"/>
    <sheet name="纺织服饰" sheetId="12" state="visible" r:id="rId14"/>
    <sheet name="轻工制造" sheetId="13" state="visible" r:id="rId15"/>
    <sheet name="医药生物" sheetId="14" state="visible" r:id="rId16"/>
    <sheet name="公用事业" sheetId="15" state="visible" r:id="rId17"/>
    <sheet name="交通运输" sheetId="16" state="visible" r:id="rId18"/>
    <sheet name="房地产" sheetId="17" state="visible" r:id="rId19"/>
    <sheet name="商贸零售" sheetId="18" state="visible" r:id="rId20"/>
    <sheet name="社会服务" sheetId="19" state="visible" r:id="rId21"/>
    <sheet name="综合" sheetId="20" state="visible" r:id="rId22"/>
    <sheet name="建筑材料" sheetId="21" state="visible" r:id="rId23"/>
    <sheet name="建筑装饰" sheetId="22" state="visible" r:id="rId24"/>
    <sheet name="电力设备" sheetId="23" state="visible" r:id="rId25"/>
    <sheet name="国防军工" sheetId="24" state="visible" r:id="rId26"/>
    <sheet name="计算机" sheetId="25" state="visible" r:id="rId27"/>
    <sheet name="传媒" sheetId="26" state="visible" r:id="rId28"/>
    <sheet name="通信" sheetId="27" state="visible" r:id="rId29"/>
    <sheet name="银行" sheetId="28" state="visible" r:id="rId30"/>
    <sheet name="非银金融" sheetId="29" state="visible" r:id="rId31"/>
    <sheet name="汽车" sheetId="30" state="visible" r:id="rId32"/>
    <sheet name="机械设备" sheetId="31" state="visible" r:id="rId33"/>
    <sheet name="煤炭" sheetId="32" state="visible" r:id="rId34"/>
    <sheet name="石油石化" sheetId="33" state="visible" r:id="rId35"/>
    <sheet name="环保" sheetId="34" state="visible" r:id="rId36"/>
    <sheet name="美容护理" sheetId="35" state="visible" r:id="rId37"/>
    <sheet name="半导体" sheetId="36" state="visible" r:id="rId38"/>
    <sheet name="新能源" sheetId="37" state="visible" r:id="rId39"/>
    <sheet name="医药医疗" sheetId="38" state="visible" r:id="rId40"/>
    <sheet name="高端制造" sheetId="39" state="visible" r:id="rId41"/>
    <sheet name="人形机器人" sheetId="40" state="visible" r:id="rId42"/>
    <sheet name="AI算力" sheetId="41" state="visible" r:id="rId43"/>
    <sheet name="锂电" sheetId="42" state="visible" r:id="rId44"/>
    <sheet name="光伏" sheetId="43" state="visible" r:id="rId45"/>
    <sheet name="风电" sheetId="44" state="visible" r:id="rId46"/>
    <sheet name="储能" sheetId="45" state="visible" r:id="rId47"/>
    <sheet name="CXO" sheetId="46" state="visible" r:id="rId48"/>
    <sheet name="创新药" sheetId="47" state="visible" r:id="rId49"/>
  </sheets>
  <definedNames>
    <definedName function="false" hidden="true" localSheetId="3" name="_xlnm._FilterDatabase" vbProcedure="false">全行业景气度总览!$A$3:$J$46</definedName>
    <definedName function="false" hidden="true" localSheetId="1" name="_xlnm._FilterDatabase" vbProcedure="false">行业核心标准库!$A$1:$G$44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1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5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2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8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2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2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2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3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9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56</xdr:rowOff>
              </xdr:to>
            </anchor>
          </commentPr>
        </mc:Choice>
        <mc:Fallback/>
      </mc:AlternateContent>
    </comment>
  </commentList>
</comments>
</file>

<file path=xl/comments4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comments4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4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56</xdr:rowOff>
              </xdr:to>
            </anchor>
          </commentPr>
        </mc:Choice>
        <mc:Fallback/>
      </mc:AlternateContent>
    </comment>
  </commentList>
</comments>
</file>

<file path=xl/comments4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25" authorId="0">
      <text>
        <r>
          <rPr>
            <sz val="10"/>
            <rFont val="Linux Libertine G"/>
            <family val="2"/>
          </rPr>
          <t xml:space="preserve">单项评分更新后，</t>
        </r>
        <r>
          <rPr>
            <sz val="10"/>
            <rFont val="Arial"/>
            <family val="2"/>
          </rPr>
          <t xml:space="preserve">Excel</t>
        </r>
        <r>
          <rPr>
            <sz val="10"/>
            <rFont val="Linux Libertine G"/>
            <family val="2"/>
          </rPr>
          <t xml:space="preserve">将自动重算。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46</xdr:colOff>
                <xdr:row>1</xdr:row>
                <xdr:rowOff>58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<sst xmlns="http://schemas.openxmlformats.org/spreadsheetml/2006/main" count="7464" uniqueCount="2145">
  <si>
    <t xml:space="preserve">全行业景气度量化跟踪体系｜参数优化说明</t>
  </si>
  <si>
    <r>
      <rPr>
        <sz val="11"/>
        <color theme="1"/>
        <rFont val="Linux Libertine G"/>
        <family val="2"/>
      </rPr>
      <t xml:space="preserve">数据口径：保留原工作簿“截至</t>
    </r>
    <r>
      <rPr>
        <sz val="11"/>
        <color theme="1"/>
        <rFont val="Linux Libertine G"/>
        <family val="2"/>
        <charset val="1"/>
      </rPr>
      <t xml:space="preserve">2026</t>
    </r>
    <r>
      <rPr>
        <sz val="11"/>
        <color theme="1"/>
        <rFont val="Linux Libertine G"/>
        <family val="2"/>
      </rPr>
      <t xml:space="preserve">年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月”的数值。本版优化权重、公式和阈值口径；不把旧数值视为实时投资数据。</t>
    </r>
  </si>
  <si>
    <t xml:space="preserve">审计结论</t>
  </si>
  <si>
    <r>
      <rPr>
        <sz val="11"/>
        <color theme="1"/>
        <rFont val="Linux Libertine G"/>
        <family val="2"/>
      </rPr>
      <t xml:space="preserve">原表无公式；</t>
    </r>
    <r>
      <rPr>
        <sz val="11"/>
        <color theme="1"/>
        <rFont val="Linux Libertine G"/>
        <family val="2"/>
        <charset val="1"/>
      </rPr>
      <t xml:space="preserve">43</t>
    </r>
    <r>
      <rPr>
        <sz val="11"/>
        <color theme="1"/>
        <rFont val="Linux Libertine G"/>
        <family val="2"/>
      </rPr>
      <t xml:space="preserve">个行业页权重和均大于</t>
    </r>
    <r>
      <rPr>
        <sz val="11"/>
        <color theme="1"/>
        <rFont val="Linux Libertine G"/>
        <family val="2"/>
        <charset val="1"/>
      </rPr>
      <t xml:space="preserve">1</t>
    </r>
    <r>
      <rPr>
        <sz val="11"/>
        <color theme="1"/>
        <rFont val="Linux Libertine G"/>
        <family val="2"/>
      </rPr>
      <t xml:space="preserve">；细分行业原加权分可超过</t>
    </r>
    <r>
      <rPr>
        <sz val="11"/>
        <color theme="1"/>
        <rFont val="Linux Libertine G"/>
        <family val="2"/>
        <charset val="1"/>
      </rPr>
      <t xml:space="preserve">10</t>
    </r>
    <r>
      <rPr>
        <sz val="11"/>
        <color theme="1"/>
        <rFont val="Linux Libertine G"/>
        <family val="2"/>
      </rPr>
      <t xml:space="preserve">；总览与行业页未链接。</t>
    </r>
  </si>
  <si>
    <t xml:space="preserve">本版修复</t>
  </si>
  <si>
    <r>
      <rPr>
        <sz val="11"/>
        <color theme="1"/>
        <rFont val="Linux Libertine G"/>
        <family val="2"/>
      </rPr>
      <t xml:space="preserve">各行业归一化为先行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同步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滞后合计</t>
    </r>
    <r>
      <rPr>
        <sz val="11"/>
        <color theme="1"/>
        <rFont val="Linux Libertine G"/>
        <family val="2"/>
        <charset val="1"/>
      </rPr>
      <t xml:space="preserve">100%</t>
    </r>
    <r>
      <rPr>
        <sz val="11"/>
        <color theme="1"/>
        <rFont val="Linux Libertine G"/>
        <family val="2"/>
      </rPr>
      <t xml:space="preserve">；行业综合分、分项分数和总览均改为公式联动。</t>
    </r>
  </si>
  <si>
    <t xml:space="preserve">阶段模板</t>
  </si>
  <si>
    <r>
      <rPr>
        <sz val="11"/>
        <color theme="1"/>
        <rFont val="Linux Libertine G"/>
        <family val="2"/>
      </rPr>
      <t xml:space="preserve">复苏</t>
    </r>
    <r>
      <rPr>
        <sz val="11"/>
        <color theme="1"/>
        <rFont val="Linux Libertine G"/>
        <family val="2"/>
        <charset val="1"/>
      </rPr>
      <t xml:space="preserve">55/30/15</t>
    </r>
    <r>
      <rPr>
        <sz val="11"/>
        <color theme="1"/>
        <rFont val="Linux Libertine G"/>
        <family val="2"/>
      </rPr>
      <t xml:space="preserve">；扩张</t>
    </r>
    <r>
      <rPr>
        <sz val="11"/>
        <color theme="1"/>
        <rFont val="Linux Libertine G"/>
        <family val="2"/>
        <charset val="1"/>
      </rPr>
      <t xml:space="preserve">45/40/15</t>
    </r>
    <r>
      <rPr>
        <sz val="11"/>
        <color theme="1"/>
        <rFont val="Linux Libertine G"/>
        <family val="2"/>
      </rPr>
      <t xml:space="preserve">；过热</t>
    </r>
    <r>
      <rPr>
        <sz val="11"/>
        <color theme="1"/>
        <rFont val="Linux Libertine G"/>
        <family val="2"/>
        <charset val="1"/>
      </rPr>
      <t xml:space="preserve">35/45/20</t>
    </r>
    <r>
      <rPr>
        <sz val="11"/>
        <color theme="1"/>
        <rFont val="Linux Libertine G"/>
        <family val="2"/>
      </rPr>
      <t xml:space="preserve">；下行</t>
    </r>
    <r>
      <rPr>
        <sz val="11"/>
        <color theme="1"/>
        <rFont val="Linux Libertine G"/>
        <family val="2"/>
        <charset val="1"/>
      </rPr>
      <t xml:space="preserve">50/30/20</t>
    </r>
    <r>
      <rPr>
        <sz val="11"/>
        <color theme="1"/>
        <rFont val="Linux Libertine G"/>
        <family val="2"/>
      </rPr>
      <t xml:space="preserve">；防御</t>
    </r>
    <r>
      <rPr>
        <sz val="11"/>
        <color theme="1"/>
        <rFont val="Linux Libertine G"/>
        <family val="2"/>
        <charset val="1"/>
      </rPr>
      <t xml:space="preserve">30/45/25</t>
    </r>
    <r>
      <rPr>
        <sz val="11"/>
        <color theme="1"/>
        <rFont val="Linux Libertine G"/>
        <family val="2"/>
      </rPr>
      <t xml:space="preserve">（顺序为先行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同步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滞后）。</t>
    </r>
  </si>
  <si>
    <t xml:space="preserve">阈值原则</t>
  </si>
  <si>
    <r>
      <rPr>
        <sz val="11"/>
        <color theme="1"/>
        <rFont val="Linux Libertine G"/>
        <family val="2"/>
      </rPr>
      <t xml:space="preserve">价格、库存、量、利润、政策分别采用分位、变化率、季调、</t>
    </r>
    <r>
      <rPr>
        <sz val="11"/>
        <color theme="1"/>
        <rFont val="Linux Libertine G"/>
        <family val="2"/>
        <charset val="1"/>
      </rPr>
      <t xml:space="preserve">TTM</t>
    </r>
    <r>
      <rPr>
        <sz val="11"/>
        <color theme="1"/>
        <rFont val="Linux Libertine G"/>
        <family val="2"/>
      </rPr>
      <t xml:space="preserve">、确认项上限；估值与交易信号单列。</t>
    </r>
  </si>
  <si>
    <t xml:space="preserve">使用纪律</t>
  </si>
  <si>
    <r>
      <rPr>
        <sz val="11"/>
        <color theme="1"/>
        <rFont val="Linux Libertine G"/>
        <family val="2"/>
      </rPr>
      <t xml:space="preserve">景气度只用于基本面筛选与排序，不能直接生成交易仓位；每次更新数据后须在</t>
    </r>
    <r>
      <rPr>
        <sz val="11"/>
        <color theme="1"/>
        <rFont val="Linux Libertine G"/>
        <family val="2"/>
        <charset val="1"/>
      </rPr>
      <t xml:space="preserve">Excel</t>
    </r>
    <r>
      <rPr>
        <sz val="11"/>
        <color theme="1"/>
        <rFont val="Linux Libertine G"/>
        <family val="2"/>
      </rPr>
      <t xml:space="preserve">中重算。</t>
    </r>
  </si>
  <si>
    <t xml:space="preserve">行业</t>
  </si>
  <si>
    <t xml:space="preserve">核心增长内核</t>
  </si>
  <si>
    <t xml:space="preserve">必选先行标准（未满足不得上调）</t>
  </si>
  <si>
    <t xml:space="preserve">同步确认标准</t>
  </si>
  <si>
    <r>
      <rPr>
        <b val="true"/>
        <sz val="11"/>
        <color rgb="FFFFFFFF"/>
        <rFont val="Linux Libertine G"/>
        <family val="2"/>
      </rPr>
      <t xml:space="preserve">质量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Linux Libertine G"/>
        <family val="2"/>
      </rPr>
      <t xml:space="preserve">盈利验证</t>
    </r>
  </si>
  <si>
    <t xml:space="preserve">不作为主评分的指标</t>
  </si>
  <si>
    <t xml:space="preserve">新标理由</t>
  </si>
  <si>
    <t xml:space="preserve">农林牧渔</t>
  </si>
  <si>
    <t xml:space="preserve">供给周期与养殖价差</t>
  </si>
  <si>
    <r>
      <rPr>
        <sz val="11"/>
        <color theme="1"/>
        <rFont val="Linux Libertine G"/>
        <family val="2"/>
      </rPr>
      <t xml:space="preserve">母猪存栏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淘汰率、仔猪价、饲料成本</t>
    </r>
  </si>
  <si>
    <t xml:space="preserve">出栏量、猪鸡价、库存</t>
  </si>
  <si>
    <t xml:space="preserve">养殖现金成本、单头利润、经营现金流</t>
  </si>
  <si>
    <r>
      <rPr>
        <sz val="11"/>
        <color theme="1"/>
        <rFont val="Linux Libertine G"/>
        <family val="2"/>
      </rPr>
      <t xml:space="preserve">单纯</t>
    </r>
    <r>
      <rPr>
        <sz val="11"/>
        <color theme="1"/>
        <rFont val="Linux Libertine G"/>
        <family val="2"/>
        <charset val="1"/>
      </rPr>
      <t xml:space="preserve">CPI</t>
    </r>
    <r>
      <rPr>
        <sz val="11"/>
        <color theme="1"/>
        <rFont val="Linux Libertine G"/>
        <family val="2"/>
      </rPr>
      <t xml:space="preserve">、年度种植面积</t>
    </r>
  </si>
  <si>
    <t xml:space="preserve">供给约束决定价格，利润需在出栏兑现后确认。</t>
  </si>
  <si>
    <t xml:space="preserve">基础化工</t>
  </si>
  <si>
    <t xml:space="preserve">库存周期与价差修复</t>
  </si>
  <si>
    <t xml:space="preserve">下游订单、库存、计划新增产能</t>
  </si>
  <si>
    <t xml:space="preserve">开工率、产品价差、出口</t>
  </si>
  <si>
    <r>
      <rPr>
        <sz val="11"/>
        <color theme="1"/>
        <rFont val="Linux Libertine G"/>
        <family val="2"/>
      </rPr>
      <t xml:space="preserve">现金成本、</t>
    </r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、自由现金流</t>
    </r>
  </si>
  <si>
    <t xml:space="preserve">原油绝对价格</t>
  </si>
  <si>
    <t xml:space="preserve">化工盈利取决于供需和价差，不是单一原料价格。</t>
  </si>
  <si>
    <t xml:space="preserve">钢铁</t>
  </si>
  <si>
    <r>
      <rPr>
        <sz val="11"/>
        <color theme="1"/>
        <rFont val="Linux Libertine G"/>
        <family val="2"/>
      </rPr>
      <t xml:space="preserve">需求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去库与利润修复</t>
    </r>
  </si>
  <si>
    <t xml:space="preserve">地产施工、基建实物量、库存变化</t>
  </si>
  <si>
    <r>
      <rPr>
        <sz val="11"/>
        <color theme="1"/>
        <rFont val="Linux Libertine G"/>
        <family val="2"/>
      </rPr>
      <t xml:space="preserve">表观消费、开工率、钢价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原料价差</t>
    </r>
  </si>
  <si>
    <t xml:space="preserve">吨钢利润、现金流、应收</t>
  </si>
  <si>
    <t xml:space="preserve">钢价绝对水平</t>
  </si>
  <si>
    <t xml:space="preserve">钢价上升若库存不去化或利润不扩张，不能确认景气。</t>
  </si>
  <si>
    <t xml:space="preserve">有色金属</t>
  </si>
  <si>
    <t xml:space="preserve">库存、供给约束与需求弹性</t>
  </si>
  <si>
    <r>
      <rPr>
        <sz val="11"/>
        <color theme="1"/>
        <rFont val="Linux Libertine G"/>
        <family val="2"/>
      </rPr>
      <t xml:space="preserve">库存、</t>
    </r>
    <r>
      <rPr>
        <sz val="11"/>
        <color theme="1"/>
        <rFont val="Linux Libertine G"/>
        <family val="2"/>
        <charset val="1"/>
      </rPr>
      <t xml:space="preserve">TC/RC</t>
    </r>
    <r>
      <rPr>
        <sz val="11"/>
        <color theme="1"/>
        <rFont val="Linux Libertine G"/>
        <family val="2"/>
      </rPr>
      <t xml:space="preserve">、美元、矿端扰动</t>
    </r>
  </si>
  <si>
    <t xml:space="preserve">金属价、加工费、消费量</t>
  </si>
  <si>
    <t xml:space="preserve">单位成本、资本开支、现金流</t>
  </si>
  <si>
    <t xml:space="preserve">金属绝对价格</t>
  </si>
  <si>
    <t xml:space="preserve">资源品价格需用供需紧张与加工利润验证。</t>
  </si>
  <si>
    <t xml:space="preserve">电子</t>
  </si>
  <si>
    <r>
      <rPr>
        <sz val="11"/>
        <color theme="1"/>
        <rFont val="Linux Libertine G"/>
        <family val="2"/>
      </rPr>
      <t xml:space="preserve">库存去化与需求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产能利用率</t>
    </r>
  </si>
  <si>
    <t xml:space="preserve">订单、库存周转、存储价格、终端出货</t>
  </si>
  <si>
    <r>
      <rPr>
        <sz val="11"/>
        <color theme="1"/>
        <rFont val="Linux Libertine G"/>
        <family val="2"/>
      </rPr>
      <t xml:space="preserve">稼动率、出货、</t>
    </r>
    <r>
      <rPr>
        <sz val="11"/>
        <color theme="1"/>
        <rFont val="Linux Libertine G"/>
        <family val="2"/>
        <charset val="1"/>
      </rPr>
      <t xml:space="preserve">ASP</t>
    </r>
  </si>
  <si>
    <t xml:space="preserve">毛利率、资本开支回报、现金流</t>
  </si>
  <si>
    <t xml:space="preserve">行业总销售单指标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</si>
  <si>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、存储、消费电子周期不同，需拆分确认。</t>
    </r>
  </si>
  <si>
    <t xml:space="preserve">家用电器</t>
  </si>
  <si>
    <t xml:space="preserve">更新需求、出口和产品结构</t>
  </si>
  <si>
    <t xml:space="preserve">地产竣工、海外订单、排产</t>
  </si>
  <si>
    <r>
      <rPr>
        <sz val="11"/>
        <color theme="1"/>
        <rFont val="Linux Libertine G"/>
        <family val="2"/>
      </rPr>
      <t xml:space="preserve">零售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出货、出口、</t>
    </r>
    <r>
      <rPr>
        <sz val="11"/>
        <color theme="1"/>
        <rFont val="Linux Libertine G"/>
        <family val="2"/>
        <charset val="1"/>
      </rPr>
      <t xml:space="preserve">ASP</t>
    </r>
  </si>
  <si>
    <t xml:space="preserve">毛利率、渠道库存、现金流</t>
  </si>
  <si>
    <t xml:space="preserve">商品房销售</t>
  </si>
  <si>
    <t xml:space="preserve">竣工对家电更直接，销售只作前瞻背景。</t>
  </si>
  <si>
    <t xml:space="preserve">食品饮料</t>
  </si>
  <si>
    <t xml:space="preserve">动销、渠道与价格带</t>
  </si>
  <si>
    <t xml:space="preserve">经销商库存、终端动销、批价</t>
  </si>
  <si>
    <t xml:space="preserve">销量、同店、收入</t>
  </si>
  <si>
    <t xml:space="preserve">毛利率、费用率、经营现金流</t>
  </si>
  <si>
    <r>
      <rPr>
        <sz val="11"/>
        <color theme="1"/>
        <rFont val="Linux Libertine G"/>
        <family val="2"/>
        <charset val="1"/>
      </rPr>
      <t xml:space="preserve">CPI</t>
    </r>
    <r>
      <rPr>
        <sz val="11"/>
        <color theme="1"/>
        <rFont val="Linux Libertine G"/>
        <family val="2"/>
      </rPr>
      <t xml:space="preserve">单项</t>
    </r>
  </si>
  <si>
    <t xml:space="preserve">品牌消费的核心是量价与渠道健康，不是宏观通胀。</t>
  </si>
  <si>
    <t xml:space="preserve">纺织服饰</t>
  </si>
  <si>
    <t xml:space="preserve">海外库存、订单与汇率</t>
  </si>
  <si>
    <t xml:space="preserve">海外零售库存、订单、汇率</t>
  </si>
  <si>
    <t xml:space="preserve">出口、开工、零售</t>
  </si>
  <si>
    <t xml:space="preserve">库存周转、毛利率、现金流</t>
  </si>
  <si>
    <t xml:space="preserve">棉价单项</t>
  </si>
  <si>
    <t xml:space="preserve">成本变化只有传导到订单和毛利才有意义。</t>
  </si>
  <si>
    <t xml:space="preserve">轻工制造</t>
  </si>
  <si>
    <r>
      <rPr>
        <sz val="11"/>
        <color theme="1"/>
        <rFont val="Linux Libertine G"/>
        <family val="2"/>
      </rPr>
      <t xml:space="preserve">地产后周期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出口与价差</t>
    </r>
  </si>
  <si>
    <t xml:space="preserve">竣工、海外地产、原料与产品价差</t>
  </si>
  <si>
    <t xml:space="preserve">出货、开工、出口</t>
  </si>
  <si>
    <r>
      <rPr>
        <sz val="11"/>
        <color theme="1"/>
        <rFont val="Linux Libertine G"/>
        <family val="2"/>
      </rPr>
      <t xml:space="preserve">库存、</t>
    </r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、现金流</t>
    </r>
  </si>
  <si>
    <t xml:space="preserve">纸浆绝对价格</t>
  </si>
  <si>
    <t xml:space="preserve">需求与产品价差共同决定轻工盈利。</t>
  </si>
  <si>
    <t xml:space="preserve">医药生物</t>
  </si>
  <si>
    <t xml:space="preserve">创新、诊疗与政策支付</t>
  </si>
  <si>
    <r>
      <rPr>
        <sz val="11"/>
        <color theme="1"/>
        <rFont val="Linux Libertine G"/>
        <family val="2"/>
        <charset val="1"/>
      </rPr>
      <t xml:space="preserve">IND/</t>
    </r>
    <r>
      <rPr>
        <sz val="11"/>
        <color theme="1"/>
        <rFont val="Linux Libertine G"/>
        <family val="2"/>
      </rPr>
      <t xml:space="preserve">注册、医保政策、研发融资</t>
    </r>
  </si>
  <si>
    <t xml:space="preserve">诊疗量、收入、器械出口</t>
  </si>
  <si>
    <t xml:space="preserve">毛利率、研发效率、经营现金流</t>
  </si>
  <si>
    <t xml:space="preserve">单一原料药价格</t>
  </si>
  <si>
    <t xml:space="preserve">子行业差异大，政策和商业化必须分层。</t>
  </si>
  <si>
    <t xml:space="preserve">公用事业</t>
  </si>
  <si>
    <t xml:space="preserve">利用小时、燃料传导与资本回报</t>
  </si>
  <si>
    <t xml:space="preserve">来水、燃料、电价机制、装机进度</t>
  </si>
  <si>
    <t xml:space="preserve">发电量、利用小时</t>
  </si>
  <si>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、负债率、经营现金流</t>
    </r>
  </si>
  <si>
    <t xml:space="preserve">装机规划</t>
  </si>
  <si>
    <t xml:space="preserve">规划不产生收益，利用率和现金流才决定回报。</t>
  </si>
  <si>
    <t xml:space="preserve">交通运输</t>
  </si>
  <si>
    <t xml:space="preserve">运价、运量与供给</t>
  </si>
  <si>
    <t xml:space="preserve">运力投放、运价、油价</t>
  </si>
  <si>
    <r>
      <rPr>
        <sz val="11"/>
        <color theme="1"/>
        <rFont val="Linux Libertine G"/>
        <family val="2"/>
      </rPr>
      <t xml:space="preserve">客货运量、港口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快递量</t>
    </r>
  </si>
  <si>
    <r>
      <rPr>
        <sz val="11"/>
        <color theme="1"/>
        <rFont val="Linux Libertine G"/>
        <family val="2"/>
      </rPr>
      <t xml:space="preserve">单箱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单客利润、现金流</t>
    </r>
  </si>
  <si>
    <t xml:space="preserve">投资增速</t>
  </si>
  <si>
    <t xml:space="preserve">不同行业运价机制不同，必须拆航运航空快递。</t>
  </si>
  <si>
    <t xml:space="preserve">房地产</t>
  </si>
  <si>
    <t xml:space="preserve">融资、销售与库存去化</t>
  </si>
  <si>
    <r>
      <rPr>
        <sz val="11"/>
        <color theme="1"/>
        <rFont val="Linux Libertine G"/>
        <family val="2"/>
      </rPr>
      <t xml:space="preserve">按揭利率、融资、限购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供给、城市库存</t>
    </r>
  </si>
  <si>
    <t xml:space="preserve">销售、房价、拿地</t>
  </si>
  <si>
    <t xml:space="preserve">现金流、债务到期、回款</t>
  </si>
  <si>
    <t xml:space="preserve">新开工单项</t>
  </si>
  <si>
    <t xml:space="preserve">销售修复与融资改善是先决条件，开工滞后。</t>
  </si>
  <si>
    <t xml:space="preserve">商贸零售</t>
  </si>
  <si>
    <t xml:space="preserve">客流、同店和渠道效率</t>
  </si>
  <si>
    <t xml:space="preserve">消费者信心、可支配收入、流量</t>
  </si>
  <si>
    <r>
      <rPr>
        <sz val="11"/>
        <color theme="1"/>
        <rFont val="Linux Libertine G"/>
        <family val="2"/>
      </rPr>
      <t xml:space="preserve">同店、线上</t>
    </r>
    <r>
      <rPr>
        <sz val="11"/>
        <color theme="1"/>
        <rFont val="Linux Libertine G"/>
        <family val="2"/>
        <charset val="1"/>
      </rPr>
      <t xml:space="preserve">GMV</t>
    </r>
    <r>
      <rPr>
        <sz val="11"/>
        <color theme="1"/>
        <rFont val="Linux Libertine G"/>
        <family val="2"/>
      </rPr>
      <t xml:space="preserve">、零售额</t>
    </r>
  </si>
  <si>
    <t xml:space="preserve">库存周转、费用率、现金流</t>
  </si>
  <si>
    <t xml:space="preserve">社零总额</t>
  </si>
  <si>
    <t xml:space="preserve">行业景气取决于份额和渠道效率，不仅是宏观消费。</t>
  </si>
  <si>
    <t xml:space="preserve">社会服务</t>
  </si>
  <si>
    <t xml:space="preserve">预订、客流与价格</t>
  </si>
  <si>
    <t xml:space="preserve">预订、客座率、出行意愿</t>
  </si>
  <si>
    <r>
      <rPr>
        <sz val="11"/>
        <color theme="1"/>
        <rFont val="Linux Libertine G"/>
        <family val="2"/>
      </rPr>
      <t xml:space="preserve">人次、</t>
    </r>
    <r>
      <rPr>
        <sz val="11"/>
        <color theme="1"/>
        <rFont val="Linux Libertine G"/>
        <family val="2"/>
        <charset val="1"/>
      </rPr>
      <t xml:space="preserve">RevPAR</t>
    </r>
    <r>
      <rPr>
        <sz val="11"/>
        <color theme="1"/>
        <rFont val="Linux Libertine G"/>
        <family val="2"/>
      </rPr>
      <t xml:space="preserve">、餐饮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票房</t>
    </r>
  </si>
  <si>
    <t xml:space="preserve">单店利润、现金流</t>
  </si>
  <si>
    <t xml:space="preserve">节假日单月值</t>
  </si>
  <si>
    <t xml:space="preserve">服务消费高度季节性，需季调和高频确认。</t>
  </si>
  <si>
    <t xml:space="preserve">综合</t>
  </si>
  <si>
    <t xml:space="preserve">宏观扩散与企业盈利</t>
  </si>
  <si>
    <r>
      <rPr>
        <sz val="11"/>
        <color theme="1"/>
        <rFont val="Linux Libertine G"/>
        <family val="2"/>
        <charset val="1"/>
      </rPr>
      <t xml:space="preserve">PMI</t>
    </r>
    <r>
      <rPr>
        <sz val="11"/>
        <color theme="1"/>
        <rFont val="Linux Libertine G"/>
        <family val="2"/>
      </rPr>
      <t xml:space="preserve">新订单、社融、政策脉冲</t>
    </r>
  </si>
  <si>
    <r>
      <rPr>
        <sz val="11"/>
        <color theme="1"/>
        <rFont val="Linux Libertine G"/>
        <family val="2"/>
      </rPr>
      <t xml:space="preserve">工业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投资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消费</t>
    </r>
  </si>
  <si>
    <t xml:space="preserve">企业利润、就业</t>
  </si>
  <si>
    <r>
      <rPr>
        <sz val="11"/>
        <color theme="1"/>
        <rFont val="Linux Libertine G"/>
        <family val="2"/>
        <charset val="1"/>
      </rPr>
      <t xml:space="preserve">GDP</t>
    </r>
    <r>
      <rPr>
        <sz val="11"/>
        <color theme="1"/>
        <rFont val="Linux Libertine G"/>
        <family val="2"/>
      </rPr>
      <t xml:space="preserve">单项</t>
    </r>
  </si>
  <si>
    <t xml:space="preserve">作为背景因子，不应与行业因子重复加权。</t>
  </si>
  <si>
    <t xml:space="preserve">建筑材料</t>
  </si>
  <si>
    <t xml:space="preserve">地产基建实物量与库存</t>
  </si>
  <si>
    <t xml:space="preserve">新开工、基建项目、库存</t>
  </si>
  <si>
    <t xml:space="preserve">出货、开工、价格</t>
  </si>
  <si>
    <t xml:space="preserve">吨利润、现金流</t>
  </si>
  <si>
    <t xml:space="preserve">水泥价格单项</t>
  </si>
  <si>
    <t xml:space="preserve">水泥和玻璃供需不同，需分品种。</t>
  </si>
  <si>
    <t xml:space="preserve">建筑装饰</t>
  </si>
  <si>
    <t xml:space="preserve">财政资金、订单与回款</t>
  </si>
  <si>
    <t xml:space="preserve">专项债、项目开工、新签</t>
  </si>
  <si>
    <t xml:space="preserve">产值、合同执行</t>
  </si>
  <si>
    <t xml:space="preserve">应收周转、经营现金流、负债</t>
  </si>
  <si>
    <t xml:space="preserve">订单规模单项</t>
  </si>
  <si>
    <t xml:space="preserve">建筑公司价值由回款和现金流决定，订单不是终点。</t>
  </si>
  <si>
    <t xml:space="preserve">电力设备</t>
  </si>
  <si>
    <r>
      <rPr>
        <sz val="11"/>
        <color theme="1"/>
        <rFont val="Linux Libertine G"/>
        <family val="2"/>
      </rPr>
      <t xml:space="preserve">电网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新能源资本开支与订单</t>
    </r>
  </si>
  <si>
    <t xml:space="preserve">电网投资、招标、海外订单</t>
  </si>
  <si>
    <t xml:space="preserve">交付、装机、出货</t>
  </si>
  <si>
    <t xml:space="preserve">毛利率、应收、现金流</t>
  </si>
  <si>
    <r>
      <rPr>
        <sz val="11"/>
        <color theme="1"/>
        <rFont val="Linux Libertine G"/>
        <family val="2"/>
      </rPr>
      <t xml:space="preserve">全行业组件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锂价</t>
    </r>
  </si>
  <si>
    <t xml:space="preserve">设备子行业驱动不同，不能由单一新能源价格代表。</t>
  </si>
  <si>
    <t xml:space="preserve">国防军工</t>
  </si>
  <si>
    <t xml:space="preserve">预算、订单与交付节奏</t>
  </si>
  <si>
    <r>
      <rPr>
        <sz val="11"/>
        <color theme="1"/>
        <rFont val="Linux Libertine G"/>
        <family val="2"/>
      </rPr>
      <t xml:space="preserve">预算、型号进度、订单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合同负债</t>
    </r>
  </si>
  <si>
    <t xml:space="preserve">交付、收入</t>
  </si>
  <si>
    <t xml:space="preserve">毛利率、现金流、研发效率</t>
  </si>
  <si>
    <t xml:space="preserve">地缘热度</t>
  </si>
  <si>
    <t xml:space="preserve">订单可见性高但兑现慢，需用合同负债和交付验证。</t>
  </si>
  <si>
    <t xml:space="preserve">计算机</t>
  </si>
  <si>
    <r>
      <rPr>
        <sz val="11"/>
        <color theme="1"/>
        <rFont val="Linux Libertine G"/>
        <family val="2"/>
        <charset val="1"/>
      </rPr>
      <t xml:space="preserve">IT</t>
    </r>
    <r>
      <rPr>
        <sz val="11"/>
        <color theme="1"/>
        <rFont val="Linux Libertine G"/>
        <family val="2"/>
      </rPr>
      <t xml:space="preserve">预算、订单和订阅渗透</t>
    </r>
  </si>
  <si>
    <r>
      <rPr>
        <sz val="11"/>
        <color theme="1"/>
        <rFont val="Linux Libertine G"/>
        <family val="2"/>
      </rPr>
      <t xml:space="preserve">企业</t>
    </r>
    <r>
      <rPr>
        <sz val="11"/>
        <color theme="1"/>
        <rFont val="Linux Libertine G"/>
        <family val="2"/>
        <charset val="1"/>
      </rPr>
      <t xml:space="preserve">IT</t>
    </r>
    <r>
      <rPr>
        <sz val="11"/>
        <color theme="1"/>
        <rFont val="Linux Libertine G"/>
        <family val="2"/>
      </rPr>
      <t xml:space="preserve">预算、云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、招标</t>
    </r>
  </si>
  <si>
    <t xml:space="preserve">订单、收入、续费</t>
  </si>
  <si>
    <r>
      <rPr>
        <sz val="11"/>
        <color theme="1"/>
        <rFont val="Linux Libertine G"/>
        <family val="2"/>
        <charset val="1"/>
      </rPr>
      <t xml:space="preserve">ARR/</t>
    </r>
    <r>
      <rPr>
        <sz val="11"/>
        <color theme="1"/>
        <rFont val="Linux Libertine G"/>
        <family val="2"/>
      </rPr>
      <t xml:space="preserve">回款、毛利率、现金流</t>
    </r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</si>
  <si>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服务器热度</t>
    </r>
  </si>
  <si>
    <t xml:space="preserve">软件景气由客户付费和回款决定，不由主题热度决定。</t>
  </si>
  <si>
    <t xml:space="preserve">传媒</t>
  </si>
  <si>
    <t xml:space="preserve">广告预算、内容供给与变现</t>
  </si>
  <si>
    <t xml:space="preserve">广告预算、版号、内容排期</t>
  </si>
  <si>
    <t xml:space="preserve">广告、流水、付费用户</t>
  </si>
  <si>
    <r>
      <rPr>
        <sz val="11"/>
        <color theme="1"/>
        <rFont val="Linux Libertine G"/>
        <family val="2"/>
        <charset val="1"/>
      </rPr>
      <t xml:space="preserve">ARPU</t>
    </r>
    <r>
      <rPr>
        <sz val="11"/>
        <color theme="1"/>
        <rFont val="Linux Libertine G"/>
        <family val="2"/>
      </rPr>
      <t xml:space="preserve">、毛利率、现金流</t>
    </r>
  </si>
  <si>
    <t xml:space="preserve">用户时长单项</t>
  </si>
  <si>
    <t xml:space="preserve">时长需转化为广告或付费收入才能提升景气。</t>
  </si>
  <si>
    <t xml:space="preserve">通信</t>
  </si>
  <si>
    <r>
      <rPr>
        <sz val="11"/>
        <color theme="1"/>
        <rFont val="Linux Libertine G"/>
        <family val="2"/>
      </rPr>
      <t xml:space="preserve">运营商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云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与订单</t>
    </r>
  </si>
  <si>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计划、光模块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设备订单</t>
    </r>
  </si>
  <si>
    <t xml:space="preserve">出货、流量、收入</t>
  </si>
  <si>
    <r>
      <rPr>
        <sz val="11"/>
        <color theme="1"/>
        <rFont val="Linux Libertine G"/>
        <family val="2"/>
        <charset val="1"/>
      </rPr>
      <t xml:space="preserve">5G</t>
    </r>
    <r>
      <rPr>
        <sz val="11"/>
        <color theme="1"/>
        <rFont val="Linux Libertine G"/>
        <family val="2"/>
      </rPr>
      <t xml:space="preserve">基站存量</t>
    </r>
  </si>
  <si>
    <r>
      <rPr>
        <sz val="11"/>
        <color theme="1"/>
        <rFont val="Linux Libertine G"/>
        <family val="2"/>
        <charset val="1"/>
      </rPr>
      <t xml:space="preserve">5G</t>
    </r>
    <r>
      <rPr>
        <sz val="11"/>
        <color theme="1"/>
        <rFont val="Linux Libertine G"/>
        <family val="2"/>
      </rPr>
      <t xml:space="preserve">建设已成熟，新增云与算力订单更关键。</t>
    </r>
  </si>
  <si>
    <t xml:space="preserve">银行</t>
  </si>
  <si>
    <t xml:space="preserve">信用扩张、息差与资产质量</t>
  </si>
  <si>
    <t xml:space="preserve">社融、贷款投放、利率曲线</t>
  </si>
  <si>
    <r>
      <rPr>
        <sz val="11"/>
        <color theme="1"/>
        <rFont val="Linux Libertine G"/>
        <family val="2"/>
        <charset val="1"/>
      </rPr>
      <t xml:space="preserve">NIM</t>
    </r>
    <r>
      <rPr>
        <sz val="11"/>
        <color theme="1"/>
        <rFont val="Linux Libertine G"/>
        <family val="2"/>
      </rPr>
      <t xml:space="preserve">、中收、不良生成</t>
    </r>
  </si>
  <si>
    <r>
      <rPr>
        <sz val="11"/>
        <color theme="1"/>
        <rFont val="Linux Libertine G"/>
        <family val="2"/>
      </rPr>
      <t xml:space="preserve">拨备、</t>
    </r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、资本充足率</t>
    </r>
  </si>
  <si>
    <r>
      <rPr>
        <sz val="11"/>
        <color theme="1"/>
        <rFont val="Linux Libertine G"/>
        <family val="2"/>
        <charset val="1"/>
      </rPr>
      <t xml:space="preserve">M2</t>
    </r>
    <r>
      <rPr>
        <sz val="11"/>
        <color theme="1"/>
        <rFont val="Linux Libertine G"/>
        <family val="2"/>
      </rPr>
      <t xml:space="preserve">单项</t>
    </r>
  </si>
  <si>
    <t xml:space="preserve">规模扩张不等于利润，需与息差和风险成本联动。</t>
  </si>
  <si>
    <t xml:space="preserve">非银金融</t>
  </si>
  <si>
    <t xml:space="preserve">成交活跃、产品发行与投资回报</t>
  </si>
  <si>
    <t xml:space="preserve">成交额、两融、基金发行</t>
  </si>
  <si>
    <r>
      <rPr>
        <sz val="11"/>
        <color theme="1"/>
        <rFont val="Linux Libertine G"/>
        <family val="2"/>
      </rPr>
      <t xml:space="preserve">经纪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投行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保费收入</t>
    </r>
  </si>
  <si>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、综合成本率、偿付能力</t>
    </r>
  </si>
  <si>
    <r>
      <rPr>
        <sz val="11"/>
        <color theme="1"/>
        <rFont val="Linux Libertine G"/>
        <family val="2"/>
        <charset val="1"/>
      </rPr>
      <t xml:space="preserve">IPO</t>
    </r>
    <r>
      <rPr>
        <sz val="11"/>
        <color theme="1"/>
        <rFont val="Linux Libertine G"/>
        <family val="2"/>
      </rPr>
      <t xml:space="preserve">规模单项</t>
    </r>
  </si>
  <si>
    <t xml:space="preserve">券商和保险盈利链条不同，应拆分打分。</t>
  </si>
  <si>
    <t xml:space="preserve">汽车</t>
  </si>
  <si>
    <t xml:space="preserve">产品周期、出口与库存</t>
  </si>
  <si>
    <t xml:space="preserve">库存系数、新品周期、出口订单</t>
  </si>
  <si>
    <r>
      <rPr>
        <sz val="11"/>
        <color theme="1"/>
        <rFont val="Linux Libertine G"/>
        <family val="2"/>
      </rPr>
      <t xml:space="preserve">零售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批发、渗透率</t>
    </r>
  </si>
  <si>
    <t xml:space="preserve">单车利润、渠道库存、现金流</t>
  </si>
  <si>
    <t xml:space="preserve">销量总量</t>
  </si>
  <si>
    <t xml:space="preserve">总量增长可能来自价格战，需用单车利润确认。</t>
  </si>
  <si>
    <t xml:space="preserve">机械设备</t>
  </si>
  <si>
    <t xml:space="preserve">制造业资本开支、订单与出口</t>
  </si>
  <si>
    <r>
      <rPr>
        <sz val="11"/>
        <color theme="1"/>
        <rFont val="Linux Libertine G"/>
        <family val="2"/>
        <charset val="1"/>
      </rPr>
      <t xml:space="preserve">PMI</t>
    </r>
    <r>
      <rPr>
        <sz val="11"/>
        <color theme="1"/>
        <rFont val="Linux Libertine G"/>
        <family val="2"/>
      </rPr>
      <t xml:space="preserve">新订单、开工小时、设备订单</t>
    </r>
  </si>
  <si>
    <t xml:space="preserve">产量、销量、出口</t>
  </si>
  <si>
    <t xml:space="preserve">利润率、库存、现金流</t>
  </si>
  <si>
    <t xml:space="preserve">固定资产投资总额</t>
  </si>
  <si>
    <t xml:space="preserve">实物订单和开工比宏观投资更贴近设备盈利。</t>
  </si>
  <si>
    <t xml:space="preserve">煤炭</t>
  </si>
  <si>
    <r>
      <rPr>
        <sz val="11"/>
        <color theme="1"/>
        <rFont val="Linux Libertine G"/>
        <family val="2"/>
      </rPr>
      <t xml:space="preserve">日耗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库存与供给约束</t>
    </r>
  </si>
  <si>
    <r>
      <rPr>
        <sz val="11"/>
        <color theme="1"/>
        <rFont val="Linux Libertine G"/>
        <family val="2"/>
      </rPr>
      <t xml:space="preserve">日耗、港口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电厂库存、进口、安监</t>
    </r>
  </si>
  <si>
    <t xml:space="preserve">煤价、运价</t>
  </si>
  <si>
    <t xml:space="preserve">吨煤利润、现金流、资本开支</t>
  </si>
  <si>
    <t xml:space="preserve">煤价绝对高位</t>
  </si>
  <si>
    <t xml:space="preserve">高煤价可代表供需紧，也可能代表需求破坏，需防过热。</t>
  </si>
  <si>
    <t xml:space="preserve">石油石化</t>
  </si>
  <si>
    <t xml:space="preserve">全球供需、库存与炼化价差</t>
  </si>
  <si>
    <r>
      <rPr>
        <sz val="11"/>
        <color theme="1"/>
        <rFont val="Linux Libertine G"/>
        <family val="2"/>
        <charset val="1"/>
      </rPr>
      <t xml:space="preserve">OPEC</t>
    </r>
    <r>
      <rPr>
        <sz val="11"/>
        <color theme="1"/>
        <rFont val="Linux Libertine G"/>
        <family val="2"/>
      </rPr>
      <t xml:space="preserve">、库存、需求预期</t>
    </r>
  </si>
  <si>
    <t xml:space="preserve">油价、开工、裂解价差</t>
  </si>
  <si>
    <r>
      <rPr>
        <sz val="11"/>
        <color theme="1"/>
        <rFont val="Linux Libertine G"/>
        <family val="2"/>
        <charset val="1"/>
      </rPr>
      <t xml:space="preserve">ROE</t>
    </r>
    <r>
      <rPr>
        <sz val="11"/>
        <color theme="1"/>
        <rFont val="Linux Libertine G"/>
        <family val="2"/>
      </rPr>
      <t xml:space="preserve">、现金流、资本开支</t>
    </r>
  </si>
  <si>
    <r>
      <rPr>
        <sz val="11"/>
        <color theme="1"/>
        <rFont val="Linux Libertine G"/>
        <family val="2"/>
        <charset val="1"/>
      </rPr>
      <t xml:space="preserve">Brent</t>
    </r>
    <r>
      <rPr>
        <sz val="11"/>
        <color theme="1"/>
        <rFont val="Linux Libertine G"/>
        <family val="2"/>
      </rPr>
      <t xml:space="preserve">单项</t>
    </r>
  </si>
  <si>
    <t xml:space="preserve">原油上行对上游和炼化影响不同，必须用价差拆分。</t>
  </si>
  <si>
    <t xml:space="preserve">环保</t>
  </si>
  <si>
    <t xml:space="preserve">财政支付、订单与回款</t>
  </si>
  <si>
    <t xml:space="preserve">财政预算、项目订单、政策落地</t>
  </si>
  <si>
    <t xml:space="preserve">处理量、设备交付</t>
  </si>
  <si>
    <t xml:space="preserve">应收、经营现金流、坏账</t>
  </si>
  <si>
    <t xml:space="preserve">政策数量</t>
  </si>
  <si>
    <t xml:space="preserve">环保最大约束是回款，政策不能替代现金流。</t>
  </si>
  <si>
    <t xml:space="preserve">美容护理</t>
  </si>
  <si>
    <t xml:space="preserve">品牌渗透、渠道效率与复购</t>
  </si>
  <si>
    <t xml:space="preserve">内容转化、渠道库存、消费信心</t>
  </si>
  <si>
    <r>
      <rPr>
        <sz val="11"/>
        <color theme="1"/>
        <rFont val="Linux Libertine G"/>
        <family val="2"/>
      </rPr>
      <t xml:space="preserve">线上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线下</t>
    </r>
    <r>
      <rPr>
        <sz val="11"/>
        <color theme="1"/>
        <rFont val="Linux Libertine G"/>
        <family val="2"/>
        <charset val="1"/>
      </rPr>
      <t xml:space="preserve">GMV</t>
    </r>
    <r>
      <rPr>
        <sz val="11"/>
        <color theme="1"/>
        <rFont val="Linux Libertine G"/>
        <family val="2"/>
      </rPr>
      <t xml:space="preserve">、零售</t>
    </r>
  </si>
  <si>
    <t xml:space="preserve">毛利率、营销费用率、现金流</t>
  </si>
  <si>
    <t xml:space="preserve">话题热度</t>
  </si>
  <si>
    <t xml:space="preserve">热度需要转化为复购和盈利，避免流量虚高。</t>
  </si>
  <si>
    <t xml:space="preserve">半导体</t>
  </si>
  <si>
    <t xml:space="preserve">库存周期、供给约束与订单</t>
  </si>
  <si>
    <r>
      <rPr>
        <sz val="11"/>
        <color theme="1"/>
        <rFont val="Linux Libertine G"/>
        <family val="2"/>
      </rPr>
      <t xml:space="preserve">库存、存储价格、订单、</t>
    </r>
    <r>
      <rPr>
        <sz val="11"/>
        <color theme="1"/>
        <rFont val="Linux Libertine G"/>
        <family val="2"/>
        <charset val="1"/>
      </rPr>
      <t xml:space="preserve">CAPEX</t>
    </r>
  </si>
  <si>
    <r>
      <rPr>
        <sz val="11"/>
        <color theme="1"/>
        <rFont val="Linux Libertine G"/>
        <family val="2"/>
      </rPr>
      <t xml:space="preserve">稼动率、出货、设备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材料需求</t>
    </r>
  </si>
  <si>
    <r>
      <rPr>
        <sz val="11"/>
        <color theme="1"/>
        <rFont val="Linux Libertine G"/>
        <family val="2"/>
      </rPr>
      <t xml:space="preserve">毛利率、现金流、</t>
    </r>
    <r>
      <rPr>
        <sz val="11"/>
        <color theme="1"/>
        <rFont val="Linux Libertine G"/>
        <family val="2"/>
        <charset val="1"/>
      </rPr>
      <t xml:space="preserve">ROE</t>
    </r>
  </si>
  <si>
    <t xml:space="preserve">销售额总量</t>
  </si>
  <si>
    <t xml:space="preserve">设计、制造、设备、封测的周期和利润传导不同。</t>
  </si>
  <si>
    <t xml:space="preserve">新能源</t>
  </si>
  <si>
    <t xml:space="preserve">供给出清与终端需求</t>
  </si>
  <si>
    <t xml:space="preserve">供给投放、库存、招标、出口</t>
  </si>
  <si>
    <t xml:space="preserve">装机、出货、利用率</t>
  </si>
  <si>
    <t xml:space="preserve">毛利率、现金流、负债</t>
  </si>
  <si>
    <t xml:space="preserve">低价原料</t>
  </si>
  <si>
    <t xml:space="preserve">低价可能来自过剩；需以供给出清和盈利确认。</t>
  </si>
  <si>
    <t xml:space="preserve">医药医疗</t>
  </si>
  <si>
    <t xml:space="preserve">细分商业化与支付环境</t>
  </si>
  <si>
    <r>
      <rPr>
        <sz val="11"/>
        <color theme="1"/>
        <rFont val="Linux Libertine G"/>
        <family val="2"/>
      </rPr>
      <t xml:space="preserve">注册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审批、医保、研发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订单</t>
    </r>
  </si>
  <si>
    <t xml:space="preserve">收入、诊疗、出口</t>
  </si>
  <si>
    <t xml:space="preserve">毛利率、研发效率、现金流</t>
  </si>
  <si>
    <t xml:space="preserve">医药行业总收入</t>
  </si>
  <si>
    <r>
      <rPr>
        <sz val="11"/>
        <color theme="1"/>
        <rFont val="Linux Libertine G"/>
        <family val="2"/>
      </rPr>
      <t xml:space="preserve">创新药、器械、</t>
    </r>
    <r>
      <rPr>
        <sz val="11"/>
        <color theme="1"/>
        <rFont val="Linux Libertine G"/>
        <family val="2"/>
        <charset val="1"/>
      </rPr>
      <t xml:space="preserve">CXO</t>
    </r>
    <r>
      <rPr>
        <sz val="11"/>
        <color theme="1"/>
        <rFont val="Linux Libertine G"/>
        <family val="2"/>
      </rPr>
      <t xml:space="preserve">、仿制药驱动不同。</t>
    </r>
  </si>
  <si>
    <t xml:space="preserve">高端制造</t>
  </si>
  <si>
    <t xml:space="preserve">国产替代、订单与交付</t>
  </si>
  <si>
    <t xml:space="preserve">订单、进口替代、研发转化</t>
  </si>
  <si>
    <t xml:space="preserve">出货、出口、利用率</t>
  </si>
  <si>
    <r>
      <rPr>
        <sz val="11"/>
        <color theme="1"/>
        <rFont val="Linux Libertine G"/>
        <family val="2"/>
      </rPr>
      <t xml:space="preserve">毛利率、现金流、</t>
    </r>
    <r>
      <rPr>
        <sz val="11"/>
        <color theme="1"/>
        <rFont val="Linux Libertine G"/>
        <family val="2"/>
        <charset val="1"/>
      </rPr>
      <t xml:space="preserve">ROIC</t>
    </r>
  </si>
  <si>
    <t xml:space="preserve">政策力度</t>
  </si>
  <si>
    <t xml:space="preserve">政策只有转化为订单和交付才提升基本面。</t>
  </si>
  <si>
    <t xml:space="preserve">人形机器人</t>
  </si>
  <si>
    <t xml:space="preserve">量产里程碑与商业订单</t>
  </si>
  <si>
    <r>
      <rPr>
        <sz val="11"/>
        <color theme="1"/>
        <rFont val="Linux Libertine G"/>
        <family val="2"/>
      </rPr>
      <t xml:space="preserve">量产时间、</t>
    </r>
    <r>
      <rPr>
        <sz val="11"/>
        <color theme="1"/>
        <rFont val="Linux Libertine G"/>
        <family val="2"/>
        <charset val="1"/>
      </rPr>
      <t xml:space="preserve">BOM</t>
    </r>
    <r>
      <rPr>
        <sz val="11"/>
        <color theme="1"/>
        <rFont val="Linux Libertine G"/>
        <family val="2"/>
      </rPr>
      <t xml:space="preserve">降本、订单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客户验证</t>
    </r>
  </si>
  <si>
    <t xml:space="preserve">出货、应用场景、国产化率</t>
  </si>
  <si>
    <t xml:space="preserve">收入、毛利率、现金消耗</t>
  </si>
  <si>
    <t xml:space="preserve">模型热度</t>
  </si>
  <si>
    <t xml:space="preserve">早期行业缺少稳定财务数据，必须以可验证里程碑为主。</t>
  </si>
  <si>
    <r>
      <rPr>
        <sz val="11"/>
        <color theme="1"/>
        <rFont val="Linux Libertine G"/>
        <family val="2"/>
        <charset val="1"/>
      </rPr>
      <t xml:space="preserve">AI</t>
    </r>
    <r>
      <rPr>
        <sz val="11"/>
        <color theme="1"/>
        <rFont val="Linux Libertine G"/>
        <family val="2"/>
      </rPr>
      <t xml:space="preserve">算力</t>
    </r>
  </si>
  <si>
    <r>
      <rPr>
        <sz val="11"/>
        <color theme="1"/>
        <rFont val="Linux Libertine G"/>
        <family val="2"/>
      </rPr>
      <t xml:space="preserve">云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、供给与利用率</t>
    </r>
  </si>
  <si>
    <r>
      <rPr>
        <sz val="11"/>
        <color theme="1"/>
        <rFont val="Linux Libertine G"/>
        <family val="2"/>
      </rPr>
      <t xml:space="preserve">云厂商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、</t>
    </r>
    <r>
      <rPr>
        <sz val="11"/>
        <color theme="1"/>
        <rFont val="Linux Libertine G"/>
        <family val="2"/>
        <charset val="1"/>
      </rPr>
      <t xml:space="preserve">GPU/</t>
    </r>
    <r>
      <rPr>
        <sz val="11"/>
        <color theme="1"/>
        <rFont val="Linux Libertine G"/>
        <family val="2"/>
      </rPr>
      <t xml:space="preserve">光模块订单、供给交期</t>
    </r>
  </si>
  <si>
    <r>
      <rPr>
        <sz val="11"/>
        <color theme="1"/>
        <rFont val="Linux Libertine G"/>
        <family val="2"/>
      </rPr>
      <t xml:space="preserve">出货、租赁价、</t>
    </r>
    <r>
      <rPr>
        <sz val="11"/>
        <color theme="1"/>
        <rFont val="Linux Libertine G"/>
        <family val="2"/>
        <charset val="1"/>
      </rPr>
      <t xml:space="preserve">PUE/</t>
    </r>
    <r>
      <rPr>
        <sz val="11"/>
        <color theme="1"/>
        <rFont val="Linux Libertine G"/>
        <family val="2"/>
      </rPr>
      <t xml:space="preserve">上架率</t>
    </r>
  </si>
  <si>
    <t xml:space="preserve">毛利率、回款、现金流</t>
  </si>
  <si>
    <t xml:space="preserve">主题热度</t>
  </si>
  <si>
    <r>
      <rPr>
        <sz val="11"/>
        <color theme="1"/>
        <rFont val="Linux Libertine G"/>
        <family val="2"/>
      </rPr>
      <t xml:space="preserve">高</t>
    </r>
    <r>
      <rPr>
        <sz val="11"/>
        <color theme="1"/>
        <rFont val="Linux Libertine G"/>
        <family val="2"/>
        <charset val="1"/>
      </rPr>
      <t xml:space="preserve">CAPEX</t>
    </r>
    <r>
      <rPr>
        <sz val="11"/>
        <color theme="1"/>
        <rFont val="Linux Libertine G"/>
        <family val="2"/>
      </rPr>
      <t xml:space="preserve">行业需用利用率和回款防止只看订单。</t>
    </r>
  </si>
  <si>
    <t xml:space="preserve">锂电</t>
  </si>
  <si>
    <t xml:space="preserve">供给出清、库存与订单</t>
  </si>
  <si>
    <t xml:space="preserve">产能投放、库存、排产、车型订单</t>
  </si>
  <si>
    <t xml:space="preserve">装车、出货、出口</t>
  </si>
  <si>
    <t xml:space="preserve">单位利润、现金流、应收</t>
  </si>
  <si>
    <t xml:space="preserve">锂价下跌</t>
  </si>
  <si>
    <t xml:space="preserve">材料价格下降可能压缩而非改善盈利，必须看价差。</t>
  </si>
  <si>
    <t xml:space="preserve">光伏</t>
  </si>
  <si>
    <t xml:space="preserve">供给出清、排产与现金流</t>
  </si>
  <si>
    <t xml:space="preserve">产能出清、库存、排产、招标</t>
  </si>
  <si>
    <t xml:space="preserve">装机、出货、出口</t>
  </si>
  <si>
    <t xml:space="preserve">单位利润、现金流、负债</t>
  </si>
  <si>
    <t xml:space="preserve">组件低价</t>
  </si>
  <si>
    <t xml:space="preserve">低组件价会提高装机但可能压低制造盈利，需双维打分。</t>
  </si>
  <si>
    <t xml:space="preserve">风电</t>
  </si>
  <si>
    <r>
      <rPr>
        <sz val="11"/>
        <color theme="1"/>
        <rFont val="Linux Libertine G"/>
        <family val="2"/>
      </rPr>
      <t xml:space="preserve">招标、交付与盈利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回款</t>
    </r>
  </si>
  <si>
    <t xml:space="preserve">招标、核准、海风进度</t>
  </si>
  <si>
    <t xml:space="preserve">交付、装机、利用小时</t>
  </si>
  <si>
    <t xml:space="preserve">低中标价</t>
  </si>
  <si>
    <t xml:space="preserve">招标高增若价格过低或回款恶化，不应给高景气。</t>
  </si>
  <si>
    <t xml:space="preserve">储能</t>
  </si>
  <si>
    <r>
      <rPr>
        <sz val="11"/>
        <color theme="1"/>
        <rFont val="Linux Libertine G"/>
        <family val="2"/>
      </rPr>
      <t xml:space="preserve">项目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、招标与并网利用</t>
    </r>
  </si>
  <si>
    <r>
      <rPr>
        <sz val="11"/>
        <color theme="1"/>
        <rFont val="Linux Libertine G"/>
        <family val="2"/>
      </rPr>
      <t xml:space="preserve">峰谷价差、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、招标、海外订单</t>
    </r>
  </si>
  <si>
    <t xml:space="preserve">并网、利用率、出货</t>
  </si>
  <si>
    <t xml:space="preserve">储能需求由项目经济性驱动，政策只作辅助。</t>
  </si>
  <si>
    <t xml:space="preserve">CXO</t>
  </si>
  <si>
    <t xml:space="preserve">全球研发资金、订单与产能利用</t>
  </si>
  <si>
    <r>
      <rPr>
        <sz val="11"/>
        <color theme="1"/>
        <rFont val="Linux Libertine G"/>
        <family val="2"/>
      </rPr>
      <t xml:space="preserve">融资、</t>
    </r>
    <r>
      <rPr>
        <sz val="11"/>
        <color theme="1"/>
        <rFont val="Linux Libertine G"/>
        <family val="2"/>
        <charset val="1"/>
      </rPr>
      <t xml:space="preserve">IND</t>
    </r>
    <r>
      <rPr>
        <sz val="11"/>
        <color theme="1"/>
        <rFont val="Linux Libertine G"/>
        <family val="2"/>
      </rPr>
      <t xml:space="preserve">、订单、地缘风险</t>
    </r>
  </si>
  <si>
    <t xml:space="preserve">收入、利用率、项目数</t>
  </si>
  <si>
    <t xml:space="preserve">毛利率、现金流、人效</t>
  </si>
  <si>
    <r>
      <rPr>
        <sz val="11"/>
        <color theme="1"/>
        <rFont val="Linux Libertine G"/>
        <family val="2"/>
        <charset val="1"/>
      </rPr>
      <t xml:space="preserve">FDA</t>
    </r>
    <r>
      <rPr>
        <sz val="11"/>
        <color theme="1"/>
        <rFont val="Linux Libertine G"/>
        <family val="2"/>
      </rPr>
      <t xml:space="preserve">批准数单项</t>
    </r>
  </si>
  <si>
    <t xml:space="preserve">客户研发投入和订单是最直接需求，地缘风险需单列扣分。</t>
  </si>
  <si>
    <t xml:space="preserve">创新药</t>
  </si>
  <si>
    <t xml:space="preserve">研发兑现、商业化与支付</t>
  </si>
  <si>
    <r>
      <rPr>
        <sz val="11"/>
        <color theme="1"/>
        <rFont val="Linux Libertine G"/>
        <family val="2"/>
        <charset val="1"/>
      </rPr>
      <t xml:space="preserve">BD</t>
    </r>
    <r>
      <rPr>
        <sz val="11"/>
        <color theme="1"/>
        <rFont val="Linux Libertine G"/>
        <family val="2"/>
      </rPr>
      <t xml:space="preserve">、临床、获批、医保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准入</t>
    </r>
  </si>
  <si>
    <t xml:space="preserve">销售、处方、出海</t>
  </si>
  <si>
    <t xml:space="preserve">现金流、销售效率、研发回报</t>
  </si>
  <si>
    <t xml:space="preserve">获批数量单项</t>
  </si>
  <si>
    <t xml:space="preserve">获批不等于商业化，需用准入、处方和现金流确认。</t>
  </si>
  <si>
    <t xml:space="preserve">行业景气度新打分机制（统一底层方法，行业核心标准库决定指标选择）</t>
  </si>
  <si>
    <t xml:space="preserve">环节</t>
  </si>
  <si>
    <t xml:space="preserve">新标准</t>
  </si>
  <si>
    <t xml:space="preserve">理由</t>
  </si>
  <si>
    <r>
      <rPr>
        <sz val="11"/>
        <color theme="1"/>
        <rFont val="Linux Libertine G"/>
        <family val="2"/>
        <charset val="1"/>
      </rPr>
      <t xml:space="preserve">1. </t>
    </r>
    <r>
      <rPr>
        <sz val="11"/>
        <color theme="1"/>
        <rFont val="Linux Libertine G"/>
        <family val="2"/>
      </rPr>
      <t xml:space="preserve">指标可用性</t>
    </r>
  </si>
  <si>
    <t xml:space="preserve">数据发布日期不滞后于其频率周期；异常值、口径变化、单月季节性先处理</t>
  </si>
  <si>
    <t xml:space="preserve">避免旧数据或异常点直接影响行业排序。</t>
  </si>
  <si>
    <r>
      <rPr>
        <sz val="11"/>
        <color theme="1"/>
        <rFont val="Linux Libertine G"/>
        <family val="2"/>
        <charset val="1"/>
      </rPr>
      <t xml:space="preserve">2. </t>
    </r>
    <r>
      <rPr>
        <sz val="11"/>
        <color theme="1"/>
        <rFont val="Linux Libertine G"/>
        <family val="2"/>
      </rPr>
      <t xml:space="preserve">单项标准化</t>
    </r>
  </si>
  <si>
    <r>
      <rPr>
        <sz val="11"/>
        <color theme="1"/>
        <rFont val="Linux Libertine G"/>
        <family val="2"/>
      </rPr>
      <t xml:space="preserve">方向调整后使用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年滚动历史分位：</t>
    </r>
    <r>
      <rPr>
        <sz val="11"/>
        <color theme="1"/>
        <rFont val="Linux Libertine G"/>
        <family val="2"/>
        <charset val="1"/>
      </rPr>
      <t xml:space="preserve">P20/P40/P60/P80</t>
    </r>
    <r>
      <rPr>
        <sz val="11"/>
        <color theme="1"/>
        <rFont val="Linux Libertine G"/>
        <family val="2"/>
      </rPr>
      <t xml:space="preserve">对应</t>
    </r>
    <r>
      <rPr>
        <sz val="11"/>
        <color theme="1"/>
        <rFont val="Linux Libertine G"/>
        <family val="2"/>
        <charset val="1"/>
      </rPr>
      <t xml:space="preserve">2/4/6/8</t>
    </r>
    <r>
      <rPr>
        <sz val="11"/>
        <color theme="1"/>
        <rFont val="Linux Libertine G"/>
        <family val="2"/>
      </rPr>
      <t xml:space="preserve">分；价格和利润率另加</t>
    </r>
    <r>
      <rPr>
        <sz val="11"/>
        <color theme="1"/>
        <rFont val="Linux Libertine G"/>
        <family val="2"/>
        <charset val="1"/>
      </rPr>
      <t xml:space="preserve">3</t>
    </r>
    <r>
      <rPr>
        <sz val="11"/>
        <color theme="1"/>
        <rFont val="Linux Libertine G"/>
        <family val="2"/>
      </rPr>
      <t xml:space="preserve">个月动量确认</t>
    </r>
  </si>
  <si>
    <t xml:space="preserve">消除不同行业量纲差异，避免绝对阈值随通胀、技术降本而失效。</t>
  </si>
  <si>
    <r>
      <rPr>
        <sz val="11"/>
        <color theme="1"/>
        <rFont val="Linux Libertine G"/>
        <family val="2"/>
        <charset val="1"/>
      </rPr>
      <t xml:space="preserve">3. </t>
    </r>
    <r>
      <rPr>
        <sz val="11"/>
        <color theme="1"/>
        <rFont val="Linux Libertine G"/>
        <family val="2"/>
      </rPr>
      <t xml:space="preserve">因果层级</t>
    </r>
  </si>
  <si>
    <r>
      <rPr>
        <sz val="11"/>
        <color theme="1"/>
        <rFont val="Linux Libertine G"/>
        <family val="2"/>
      </rPr>
      <t xml:space="preserve">先行仅回答“是否会变”；同步回答“是否已发生”；滞后仅验证“盈利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现金流是否兑现”</t>
    </r>
  </si>
  <si>
    <t xml:space="preserve">防止政策、规划、价格等相关但非因果指标主导分数。</t>
  </si>
  <si>
    <r>
      <rPr>
        <sz val="11"/>
        <color theme="1"/>
        <rFont val="Linux Libertine G"/>
        <family val="2"/>
        <charset val="1"/>
      </rPr>
      <t xml:space="preserve">4. </t>
    </r>
    <r>
      <rPr>
        <sz val="11"/>
        <color theme="1"/>
        <rFont val="Linux Libertine G"/>
        <family val="2"/>
      </rPr>
      <t xml:space="preserve">上调门槛</t>
    </r>
  </si>
  <si>
    <r>
      <rPr>
        <sz val="11"/>
        <color theme="1"/>
        <rFont val="Linux Libertine G"/>
        <family val="2"/>
      </rPr>
      <t xml:space="preserve">行业分数上调一档，须至少</t>
    </r>
    <r>
      <rPr>
        <sz val="11"/>
        <color theme="1"/>
        <rFont val="Linux Libertine G"/>
        <family val="2"/>
        <charset val="1"/>
      </rPr>
      <t xml:space="preserve">2</t>
    </r>
    <r>
      <rPr>
        <sz val="11"/>
        <color theme="1"/>
        <rFont val="Linux Libertine G"/>
        <family val="2"/>
      </rPr>
      <t xml:space="preserve">项必选先行标准</t>
    </r>
    <r>
      <rPr>
        <sz val="11"/>
        <color theme="1"/>
        <rFont val="Linux Libertine G"/>
        <family val="2"/>
        <charset val="1"/>
      </rPr>
      <t xml:space="preserve">+1</t>
    </r>
    <r>
      <rPr>
        <sz val="11"/>
        <color theme="1"/>
        <rFont val="Linux Libertine G"/>
        <family val="2"/>
      </rPr>
      <t xml:space="preserve">项同步确认同向；仅先行改善时，综合分最高上调至</t>
    </r>
    <r>
      <rPr>
        <sz val="11"/>
        <color theme="1"/>
        <rFont val="Linux Libertine G"/>
        <family val="2"/>
        <charset val="1"/>
      </rPr>
      <t xml:space="preserve">6.5</t>
    </r>
  </si>
  <si>
    <t xml:space="preserve">降低假复苏和主题驱动的误判。</t>
  </si>
  <si>
    <r>
      <rPr>
        <sz val="11"/>
        <color theme="1"/>
        <rFont val="Linux Libertine G"/>
        <family val="2"/>
        <charset val="1"/>
      </rPr>
      <t xml:space="preserve">5. </t>
    </r>
    <r>
      <rPr>
        <sz val="11"/>
        <color theme="1"/>
        <rFont val="Linux Libertine G"/>
        <family val="2"/>
      </rPr>
      <t xml:space="preserve">过热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风险扣分</t>
    </r>
  </si>
  <si>
    <r>
      <rPr>
        <sz val="11"/>
        <color theme="1"/>
        <rFont val="Linux Libertine G"/>
        <family val="2"/>
      </rPr>
      <t xml:space="preserve">价格或估值急升但库存、需求、利润未确认时，价格指标封顶</t>
    </r>
    <r>
      <rPr>
        <sz val="11"/>
        <color theme="1"/>
        <rFont val="Linux Libertine G"/>
        <family val="2"/>
        <charset val="1"/>
      </rPr>
      <t xml:space="preserve">8</t>
    </r>
    <r>
      <rPr>
        <sz val="11"/>
        <color theme="1"/>
        <rFont val="Linux Libertine G"/>
        <family val="2"/>
      </rPr>
      <t xml:space="preserve">分；现金流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应收恶化时，行业综合分扣</t>
    </r>
    <r>
      <rPr>
        <sz val="11"/>
        <color theme="1"/>
        <rFont val="Linux Libertine G"/>
        <family val="2"/>
        <charset val="1"/>
      </rPr>
      <t xml:space="preserve">0.5–1.5</t>
    </r>
    <r>
      <rPr>
        <sz val="11"/>
        <color theme="1"/>
        <rFont val="Linux Libertine G"/>
        <family val="2"/>
      </rPr>
      <t xml:space="preserve">分</t>
    </r>
  </si>
  <si>
    <t xml:space="preserve">价格上涨不必然转化为盈利，回款恶化会先破坏基本面。</t>
  </si>
  <si>
    <r>
      <rPr>
        <sz val="11"/>
        <color theme="1"/>
        <rFont val="Linux Libertine G"/>
        <family val="2"/>
        <charset val="1"/>
      </rPr>
      <t xml:space="preserve">6. </t>
    </r>
    <r>
      <rPr>
        <sz val="11"/>
        <color theme="1"/>
        <rFont val="Linux Libertine G"/>
        <family val="2"/>
      </rPr>
      <t xml:space="preserve">权重限制</t>
    </r>
  </si>
  <si>
    <r>
      <rPr>
        <sz val="11"/>
        <color theme="1"/>
        <rFont val="Linux Libertine G"/>
        <family val="2"/>
      </rPr>
      <t xml:space="preserve">单项权重≤</t>
    </r>
    <r>
      <rPr>
        <sz val="11"/>
        <color theme="1"/>
        <rFont val="Linux Libertine G"/>
        <family val="2"/>
        <charset val="1"/>
      </rPr>
      <t xml:space="preserve">15%</t>
    </r>
    <r>
      <rPr>
        <sz val="11"/>
        <color theme="1"/>
        <rFont val="Linux Libertine G"/>
        <family val="2"/>
      </rPr>
      <t xml:space="preserve">；政策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规划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热度单项≤</t>
    </r>
    <r>
      <rPr>
        <sz val="11"/>
        <color theme="1"/>
        <rFont val="Linux Libertine G"/>
        <family val="2"/>
        <charset val="1"/>
      </rPr>
      <t xml:space="preserve">8%</t>
    </r>
    <r>
      <rPr>
        <sz val="11"/>
        <color theme="1"/>
        <rFont val="Linux Libertine G"/>
        <family val="2"/>
      </rPr>
      <t xml:space="preserve">；任一高度相关指标组（如多种价格）合计≤</t>
    </r>
    <r>
      <rPr>
        <sz val="11"/>
        <color theme="1"/>
        <rFont val="Linux Libertine G"/>
        <family val="2"/>
        <charset val="1"/>
      </rPr>
      <t xml:space="preserve">25%</t>
    </r>
  </si>
  <si>
    <r>
      <rPr>
        <sz val="11"/>
        <color theme="1"/>
        <rFont val="Linux Libertine G"/>
        <family val="2"/>
      </rPr>
      <t xml:space="preserve">降低重复计分和政策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情绪放大。</t>
    </r>
  </si>
  <si>
    <r>
      <rPr>
        <sz val="11"/>
        <color theme="1"/>
        <rFont val="Linux Libertine G"/>
        <family val="2"/>
        <charset val="1"/>
      </rPr>
      <t xml:space="preserve">7. </t>
    </r>
    <r>
      <rPr>
        <sz val="11"/>
        <color theme="1"/>
        <rFont val="Linux Libertine G"/>
        <family val="2"/>
      </rPr>
      <t xml:space="preserve">阶段权重</t>
    </r>
  </si>
  <si>
    <r>
      <rPr>
        <sz val="11"/>
        <color theme="1"/>
        <rFont val="Linux Libertine G"/>
        <family val="2"/>
      </rPr>
      <t xml:space="preserve">复苏</t>
    </r>
    <r>
      <rPr>
        <sz val="11"/>
        <color theme="1"/>
        <rFont val="Linux Libertine G"/>
        <family val="2"/>
        <charset val="1"/>
      </rPr>
      <t xml:space="preserve">55/30/15</t>
    </r>
    <r>
      <rPr>
        <sz val="11"/>
        <color theme="1"/>
        <rFont val="Linux Libertine G"/>
        <family val="2"/>
      </rPr>
      <t xml:space="preserve">；扩张</t>
    </r>
    <r>
      <rPr>
        <sz val="11"/>
        <color theme="1"/>
        <rFont val="Linux Libertine G"/>
        <family val="2"/>
        <charset val="1"/>
      </rPr>
      <t xml:space="preserve">45/40/15</t>
    </r>
    <r>
      <rPr>
        <sz val="11"/>
        <color theme="1"/>
        <rFont val="Linux Libertine G"/>
        <family val="2"/>
      </rPr>
      <t xml:space="preserve">；过热</t>
    </r>
    <r>
      <rPr>
        <sz val="11"/>
        <color theme="1"/>
        <rFont val="Linux Libertine G"/>
        <family val="2"/>
        <charset val="1"/>
      </rPr>
      <t xml:space="preserve">35/45/20</t>
    </r>
    <r>
      <rPr>
        <sz val="11"/>
        <color theme="1"/>
        <rFont val="Linux Libertine G"/>
        <family val="2"/>
      </rPr>
      <t xml:space="preserve">；下行</t>
    </r>
    <r>
      <rPr>
        <sz val="11"/>
        <color theme="1"/>
        <rFont val="Linux Libertine G"/>
        <family val="2"/>
        <charset val="1"/>
      </rPr>
      <t xml:space="preserve">50/30/20</t>
    </r>
    <r>
      <rPr>
        <sz val="11"/>
        <color theme="1"/>
        <rFont val="Linux Libertine G"/>
        <family val="2"/>
      </rPr>
      <t xml:space="preserve">；防御</t>
    </r>
    <r>
      <rPr>
        <sz val="11"/>
        <color theme="1"/>
        <rFont val="Linux Libertine G"/>
        <family val="2"/>
        <charset val="1"/>
      </rPr>
      <t xml:space="preserve">30/45/25</t>
    </r>
    <r>
      <rPr>
        <sz val="11"/>
        <color theme="1"/>
        <rFont val="Linux Libertine G"/>
        <family val="2"/>
      </rPr>
      <t xml:space="preserve">（先行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同步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滞后）</t>
    </r>
  </si>
  <si>
    <t xml:space="preserve">不同阶段的信息含量不同，固定权重会滞后或误判。</t>
  </si>
  <si>
    <r>
      <rPr>
        <sz val="11"/>
        <color theme="1"/>
        <rFont val="Linux Libertine G"/>
        <family val="2"/>
        <charset val="1"/>
      </rPr>
      <t xml:space="preserve">8. </t>
    </r>
    <r>
      <rPr>
        <sz val="11"/>
        <color theme="1"/>
        <rFont val="Linux Libertine G"/>
        <family val="2"/>
      </rPr>
      <t xml:space="preserve">输出边界</t>
    </r>
  </si>
  <si>
    <t xml:space="preserve">景气度只输出：行业排序、阶段、证据缺口和风险；估值、资金面、交易时点单独建模</t>
  </si>
  <si>
    <t xml:space="preserve">避免把基本面景气直接等同为买卖信号。</t>
  </si>
  <si>
    <t xml:space="preserve">全行业景气度量化跟踪总览表（参数优化版）</t>
  </si>
  <si>
    <r>
      <rPr>
        <b val="true"/>
        <sz val="9"/>
        <color rgb="FF000000"/>
        <rFont val="Linux Libertine G"/>
        <family val="2"/>
      </rPr>
      <t xml:space="preserve">本页公式连接各行业归一化评分；需按各页</t>
    </r>
    <r>
      <rPr>
        <b val="true"/>
        <sz val="9"/>
        <color rgb="FF000000"/>
        <rFont val="Linux Libertine G"/>
        <family val="2"/>
        <charset val="1"/>
      </rPr>
      <t xml:space="preserve">N</t>
    </r>
    <r>
      <rPr>
        <b val="true"/>
        <sz val="9"/>
        <color rgb="FF000000"/>
        <rFont val="Linux Libertine G"/>
        <family val="2"/>
      </rPr>
      <t xml:space="preserve">列口径更新数据并打开</t>
    </r>
    <r>
      <rPr>
        <b val="true"/>
        <sz val="9"/>
        <color rgb="FF000000"/>
        <rFont val="Linux Libertine G"/>
        <family val="2"/>
        <charset val="1"/>
      </rPr>
      <t xml:space="preserve">Excel</t>
    </r>
    <r>
      <rPr>
        <b val="true"/>
        <sz val="9"/>
        <color rgb="FF000000"/>
        <rFont val="Linux Libertine G"/>
        <family val="2"/>
      </rPr>
      <t xml:space="preserve">重算后，再用于横向排序。</t>
    </r>
  </si>
  <si>
    <t xml:space="preserve">行业名称</t>
  </si>
  <si>
    <t xml:space="preserve">先行指标
得分</t>
  </si>
  <si>
    <t xml:space="preserve">同步指标
得分</t>
  </si>
  <si>
    <t xml:space="preserve">滞后指标
得分</t>
  </si>
  <si>
    <t xml:space="preserve">综合景气度
评分</t>
  </si>
  <si>
    <t xml:space="preserve">景气度
判断</t>
  </si>
  <si>
    <t xml:space="preserve">阶段框架</t>
  </si>
  <si>
    <t xml:space="preserve">建议使用方式</t>
  </si>
  <si>
    <t xml:space="preserve">行业分类</t>
  </si>
  <si>
    <t xml:space="preserve">核心跟踪要点</t>
  </si>
  <si>
    <r>
      <rPr>
        <sz val="9"/>
        <color rgb="FF000000"/>
        <rFont val="Linux Libertine G"/>
        <family val="2"/>
      </rPr>
      <t xml:space="preserve">强周期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供给出清</t>
    </r>
  </si>
  <si>
    <t xml:space="preserve">基本面筛选与排序；非交易仓位指令</t>
  </si>
  <si>
    <t xml:space="preserve">一级行业</t>
  </si>
  <si>
    <t xml:space="preserve">先用库存、供给、订单确认反转；价格本身不能直接等同高景气。</t>
  </si>
  <si>
    <r>
      <rPr>
        <sz val="9"/>
        <color rgb="FF000000"/>
        <rFont val="Linux Libertine G"/>
        <family val="2"/>
      </rPr>
      <t xml:space="preserve">资源品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宏观供需</t>
    </r>
  </si>
  <si>
    <t xml:space="preserve">库存、加工费、美元和价格共同确认。</t>
  </si>
  <si>
    <r>
      <rPr>
        <sz val="9"/>
        <color rgb="FF000000"/>
        <rFont val="Linux Libertine G"/>
        <family val="2"/>
      </rPr>
      <t xml:space="preserve">科技制造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订单库存周期</t>
    </r>
  </si>
  <si>
    <t xml:space="preserve">订单、库存和利用率优先；不同子行业拆分后再汇总。</t>
  </si>
  <si>
    <r>
      <rPr>
        <sz val="9"/>
        <color rgb="FF000000"/>
        <rFont val="Linux Libertine G"/>
        <family val="2"/>
      </rPr>
      <t xml:space="preserve">消费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需求恢复</t>
    </r>
  </si>
  <si>
    <r>
      <rPr>
        <sz val="9"/>
        <color rgb="FF000000"/>
        <rFont val="Linux Libertine G"/>
        <family val="2"/>
      </rPr>
      <t xml:space="preserve">高频需求、渠道库存和价格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利润交叉确认，使用季调数据。</t>
    </r>
  </si>
  <si>
    <r>
      <rPr>
        <sz val="9"/>
        <color rgb="FF000000"/>
        <rFont val="Linux Libertine G"/>
        <family val="2"/>
      </rPr>
      <t xml:space="preserve">防御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成熟</t>
    </r>
  </si>
  <si>
    <t xml:space="preserve">同步经营和现金流优先；先行指标只作边际变化确认。</t>
  </si>
  <si>
    <r>
      <rPr>
        <sz val="9"/>
        <color rgb="FF000000"/>
        <rFont val="Linux Libertine G"/>
        <family val="2"/>
      </rPr>
      <t xml:space="preserve">扩张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订单周期</t>
    </r>
  </si>
  <si>
    <t xml:space="preserve">订单、需求和利润三段式确认，避免单一宏观指标主导。</t>
  </si>
  <si>
    <r>
      <rPr>
        <sz val="9"/>
        <color rgb="FF000000"/>
        <rFont val="Linux Libertine G"/>
        <family val="2"/>
      </rPr>
      <t xml:space="preserve">政策资本开支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交付</t>
    </r>
  </si>
  <si>
    <t xml:space="preserve">政策与规划只作确认项，必须由招标、交付、回款和利润验证。</t>
  </si>
  <si>
    <r>
      <rPr>
        <sz val="9"/>
        <color rgb="FF000000"/>
        <rFont val="Linux Libertine G"/>
        <family val="2"/>
      </rPr>
      <t xml:space="preserve">信用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风险偏好周期</t>
    </r>
  </si>
  <si>
    <t xml:space="preserve">信用与资产质量优先；券商、保险、银行不宜混算。</t>
  </si>
  <si>
    <t xml:space="preserve">重点细分行业</t>
  </si>
  <si>
    <r>
      <rPr>
        <sz val="9"/>
        <color rgb="FF000000"/>
        <rFont val="Linux Libertine G"/>
        <family val="2"/>
      </rPr>
      <t xml:space="preserve">早期产业化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兑现</t>
    </r>
  </si>
  <si>
    <t xml:space="preserve">量产、订单、交付优先；热度与规划指标不得主导评分。</t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</si>
  <si>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算力</t>
    </r>
  </si>
  <si>
    <r>
      <rPr>
        <sz val="11"/>
        <color theme="1"/>
        <rFont val="Linux Libertine G"/>
        <family val="2"/>
      </rPr>
      <t xml:space="preserve">早期产业化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兑现</t>
    </r>
  </si>
  <si>
    <t xml:space="preserve">行业景气度量化跟踪体系（参数优化版）— 农林牧渔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</si>
  <si>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。先用库存、供给、订单确认反转；价格本身不能直接等同高景气。｜核心验证：供给周期与养殖价差；必选：母猪存栏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淘汰率、仔猪价、饲料成本</t>
    </r>
  </si>
  <si>
    <t xml:space="preserve">指标名称</t>
  </si>
  <si>
    <t xml:space="preserve">数据来源</t>
  </si>
  <si>
    <t xml:space="preserve">最新数值</t>
  </si>
  <si>
    <t xml:space="preserve">单位</t>
  </si>
  <si>
    <t xml:space="preserve">趋势</t>
  </si>
  <si>
    <t xml:space="preserve">权重</t>
  </si>
  <si>
    <r>
      <rPr>
        <b val="true"/>
        <sz val="10"/>
        <color rgb="FFFFFFFF"/>
        <rFont val="Linux Libertine G"/>
        <family val="2"/>
      </rPr>
      <t xml:space="preserve">评分
</t>
    </r>
    <r>
      <rPr>
        <b val="true"/>
        <sz val="10"/>
        <color rgb="FFFFFFFF"/>
        <rFont val="Linux Libertine G"/>
        <family val="2"/>
        <charset val="1"/>
      </rPr>
      <t xml:space="preserve">(1-10)</t>
    </r>
  </si>
  <si>
    <t xml:space="preserve">评分阈值说明</t>
  </si>
  <si>
    <t xml:space="preserve">历史分位</t>
  </si>
  <si>
    <t xml:space="preserve">对景气度影响</t>
  </si>
  <si>
    <t xml:space="preserve">跟踪频率</t>
  </si>
  <si>
    <t xml:space="preserve">原权重</t>
  </si>
  <si>
    <t xml:space="preserve">参数优化建议</t>
  </si>
  <si>
    <t xml:space="preserve">评分口径（更新时采用）</t>
  </si>
  <si>
    <t xml:space="preserve">阶段分项</t>
  </si>
  <si>
    <t xml:space="preserve">公式分数</t>
  </si>
  <si>
    <r>
      <rPr>
        <b val="true"/>
        <sz val="10"/>
        <color rgb="FFFFFFFF"/>
        <rFont val="Linux Libertine G"/>
        <family val="2"/>
      </rPr>
      <t xml:space="preserve">【第一部分：先行指标（</t>
    </r>
    <r>
      <rPr>
        <b val="true"/>
        <sz val="10"/>
        <color rgb="FFFFFFFF"/>
        <rFont val="Linux Libertine G"/>
        <family val="2"/>
        <charset val="1"/>
      </rPr>
      <t xml:space="preserve">Leading Indicators</t>
    </r>
    <r>
      <rPr>
        <b val="true"/>
        <sz val="10"/>
        <color rgb="FFFFFFFF"/>
        <rFont val="Linux Libertine G"/>
        <family val="2"/>
      </rPr>
      <t xml:space="preserve">）——提前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个季度预示景气变化】</t>
    </r>
  </si>
  <si>
    <t xml:space="preserve">先行</t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</si>
  <si>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能繁母猪存栏量变化</t>
    </r>
  </si>
  <si>
    <t xml:space="preserve">农业农村部</t>
  </si>
  <si>
    <t xml:space="preserve">+1.2</t>
  </si>
  <si>
    <t xml:space="preserve">%YoY</t>
  </si>
  <si>
    <t xml:space="preserve">企稳</t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</si>
  <si>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,&lt;-2%=2</t>
    </r>
    <r>
      <rPr>
        <sz val="9"/>
        <color rgb="FF000000"/>
        <rFont val="Linux Libertine G"/>
        <family val="2"/>
      </rPr>
      <t xml:space="preserve">分</t>
    </r>
  </si>
  <si>
    <t xml:space="preserve">45%</t>
  </si>
  <si>
    <t xml:space="preserve">产能温和回升，供给端压力可控</t>
  </si>
  <si>
    <t xml:space="preserve">月度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</si>
  <si>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50%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</si>
  <si>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11"/>
        <color theme="1"/>
        <rFont val="Linux Libertine G"/>
        <family val="2"/>
      </rPr>
      <t xml:space="preserve">采用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年滚动分位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同比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环比双阈值；数据滞后超过一个频率周期时自动降权。</t>
    </r>
  </si>
  <si>
    <t xml:space="preserve">同步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</si>
  <si>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仔猪价格变化</t>
    </r>
  </si>
  <si>
    <r>
      <rPr>
        <sz val="9"/>
        <color rgb="FF000000"/>
        <rFont val="Linux Libertine G"/>
        <family val="2"/>
      </rPr>
      <t xml:space="preserve">农业农村部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博亚和讯</t>
    </r>
  </si>
  <si>
    <t xml:space="preserve">+35</t>
  </si>
  <si>
    <t xml:space="preserve">大涨</t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</si>
  <si>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</si>
  <si>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78%</t>
  </si>
  <si>
    <r>
      <rPr>
        <sz val="9"/>
        <color rgb="FF000000"/>
        <rFont val="Linux Libertine G"/>
        <family val="2"/>
      </rPr>
      <t xml:space="preserve">补栏积极性高，预示</t>
    </r>
    <r>
      <rPr>
        <sz val="9"/>
        <color rgb="FF000000"/>
        <rFont val="Linux Libertine G"/>
        <family val="2"/>
        <charset val="1"/>
      </rPr>
      <t xml:space="preserve">6</t>
    </r>
    <r>
      <rPr>
        <sz val="9"/>
        <color rgb="FF000000"/>
        <rFont val="Linux Libertine G"/>
        <family val="2"/>
      </rPr>
      <t xml:space="preserve">个月后出栏增加</t>
    </r>
  </si>
  <si>
    <t xml:space="preserve">周度</t>
  </si>
  <si>
    <r>
      <rPr>
        <sz val="11"/>
        <color theme="1"/>
        <rFont val="Linux Libertine G"/>
        <family val="2"/>
      </rPr>
      <t xml:space="preserve">改为</t>
    </r>
    <r>
      <rPr>
        <sz val="11"/>
        <color theme="1"/>
        <rFont val="Linux Libertine G"/>
        <family val="2"/>
        <charset val="1"/>
      </rPr>
      <t xml:space="preserve">5</t>
    </r>
    <r>
      <rPr>
        <sz val="11"/>
        <color theme="1"/>
        <rFont val="Linux Libertine G"/>
        <family val="2"/>
      </rPr>
      <t xml:space="preserve">年滚动分位</t>
    </r>
    <r>
      <rPr>
        <sz val="11"/>
        <color theme="1"/>
        <rFont val="Linux Libertine G"/>
        <family val="2"/>
        <charset val="1"/>
      </rPr>
      <t xml:space="preserve">(P20/P40/P60/P80)+3</t>
    </r>
    <r>
      <rPr>
        <sz val="11"/>
        <color theme="1"/>
        <rFont val="Linux Libertine G"/>
        <family val="2"/>
      </rPr>
      <t xml:space="preserve">个月动量；须与库存、价差或利润交叉确认。</t>
    </r>
  </si>
  <si>
    <t xml:space="preserve">滞后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</si>
  <si>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饲料价格变化</t>
    </r>
  </si>
  <si>
    <t xml:space="preserve">中国饲料工业协会</t>
  </si>
  <si>
    <t xml:space="preserve">-3.5</t>
  </si>
  <si>
    <t xml:space="preserve">下行</t>
  </si>
  <si>
    <r>
      <rPr>
        <sz val="9"/>
        <color rgb="FF000000"/>
        <rFont val="微软雅黑"/>
        <family val="2"/>
        <charset val="134"/>
      </rPr>
      <t xml:space="preserve">&lt;-10%=10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,&gt;10%=2</t>
    </r>
    <r>
      <rPr>
        <sz val="9"/>
        <color rgb="FF000000"/>
        <rFont val="Linux Libertine G"/>
        <family val="2"/>
      </rPr>
      <t xml:space="preserve">分</t>
    </r>
  </si>
  <si>
    <t xml:space="preserve">35%</t>
  </si>
  <si>
    <t xml:space="preserve">成本端改善，养殖利润修复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</si>
  <si>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农产品进口量增速</t>
    </r>
  </si>
  <si>
    <t xml:space="preserve">海关总署</t>
  </si>
  <si>
    <t xml:space="preserve">+2.1</t>
  </si>
  <si>
    <t xml:space="preserve">上行</t>
  </si>
  <si>
    <r>
      <rPr>
        <sz val="9"/>
        <color rgb="FF000000"/>
        <rFont val="微软雅黑"/>
        <family val="2"/>
        <charset val="134"/>
      </rPr>
      <t xml:space="preserve">&lt;-5%=10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,&gt;10%=2</t>
    </r>
    <r>
      <rPr>
        <sz val="9"/>
        <color rgb="FF000000"/>
        <rFont val="Linux Libertine G"/>
        <family val="2"/>
      </rPr>
      <t xml:space="preserve">分</t>
    </r>
  </si>
  <si>
    <t xml:space="preserve">52%</t>
  </si>
  <si>
    <t xml:space="preserve">进口平稳，国内供给基本自足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</si>
  <si>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种植面积变化</t>
    </r>
  </si>
  <si>
    <t xml:space="preserve">国家统计局</t>
  </si>
  <si>
    <t xml:space="preserve">+0.8</t>
  </si>
  <si>
    <r>
      <rPr>
        <sz val="9"/>
        <color rgb="FF000000"/>
        <rFont val="微软雅黑"/>
        <family val="2"/>
        <charset val="134"/>
      </rPr>
      <t xml:space="preserve">&gt;2%=10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,-5--2%=4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,&lt;-5%=2</t>
    </r>
    <r>
      <rPr>
        <sz val="9"/>
        <color rgb="FF000000"/>
        <rFont val="Linux Libertine G"/>
        <family val="2"/>
      </rPr>
      <t xml:space="preserve">分</t>
    </r>
  </si>
  <si>
    <t xml:space="preserve">48%</t>
  </si>
  <si>
    <t xml:space="preserve">种植面积稳定，产量预期平稳</t>
  </si>
  <si>
    <t xml:space="preserve">年度</t>
  </si>
  <si>
    <r>
      <rPr>
        <b val="true"/>
        <sz val="10"/>
        <color rgb="FFFFFFFF"/>
        <rFont val="Linux Libertine G"/>
        <family val="2"/>
      </rPr>
      <t xml:space="preserve">【第二部分：同步指标（</t>
    </r>
    <r>
      <rPr>
        <b val="true"/>
        <sz val="10"/>
        <color rgb="FFFFFFFF"/>
        <rFont val="Linux Libertine G"/>
        <family val="2"/>
        <charset val="1"/>
      </rPr>
      <t xml:space="preserve">Coincident Indicators</t>
    </r>
    <r>
      <rPr>
        <b val="true"/>
        <sz val="10"/>
        <color rgb="FFFFFFFF"/>
        <rFont val="Linux Libertine G"/>
        <family val="2"/>
      </rPr>
      <t xml:space="preserve">）——与当前景气同步变动】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</si>
  <si>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生猪出栏均价</t>
    </r>
  </si>
  <si>
    <t xml:space="preserve">15.8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</si>
  <si>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公斤</t>
    </r>
  </si>
  <si>
    <r>
      <rPr>
        <sz val="9"/>
        <color rgb="FF000000"/>
        <rFont val="微软雅黑"/>
        <family val="2"/>
        <charset val="134"/>
      </rPr>
      <t xml:space="preserve">&gt;20=10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,16-20=8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,14-16=6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,&lt;12=2</t>
    </r>
    <r>
      <rPr>
        <sz val="9"/>
        <color rgb="FF000000"/>
        <rFont val="Linux Libertine G"/>
        <family val="2"/>
      </rPr>
      <t xml:space="preserve">分</t>
    </r>
  </si>
  <si>
    <t xml:space="preserve">55%</t>
  </si>
  <si>
    <t xml:space="preserve">猪价温和回升，养殖盈利改善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</si>
  <si>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35%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</si>
  <si>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白羽肉鸡价格</t>
    </r>
  </si>
  <si>
    <t xml:space="preserve">博亚和讯</t>
  </si>
  <si>
    <t xml:space="preserve">8.2</t>
  </si>
  <si>
    <r>
      <rPr>
        <sz val="9"/>
        <color rgb="FF000000"/>
        <rFont val="微软雅黑"/>
        <family val="2"/>
        <charset val="134"/>
      </rPr>
      <t xml:space="preserve">&gt;10=10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,7-8=6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,6-7=4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,&lt;6=2</t>
    </r>
    <r>
      <rPr>
        <sz val="9"/>
        <color rgb="FF000000"/>
        <rFont val="Linux Libertine G"/>
        <family val="2"/>
      </rPr>
      <t xml:space="preserve">分</t>
    </r>
  </si>
  <si>
    <t xml:space="preserve">62%</t>
  </si>
  <si>
    <t xml:space="preserve">禽价处于较好水平，养殖利润可观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</si>
  <si>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水产批发价格指数</t>
    </r>
  </si>
  <si>
    <t xml:space="preserve">112</t>
  </si>
  <si>
    <t xml:space="preserve">点</t>
  </si>
  <si>
    <r>
      <rPr>
        <sz val="9"/>
        <color rgb="FF000000"/>
        <rFont val="微软雅黑"/>
        <family val="2"/>
        <charset val="134"/>
      </rPr>
      <t xml:space="preserve">&gt;120=10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,110-120=8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,100-110=6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,&lt;90=2</t>
    </r>
    <r>
      <rPr>
        <sz val="9"/>
        <color rgb="FF000000"/>
        <rFont val="Linux Libertine G"/>
        <family val="2"/>
      </rPr>
      <t xml:space="preserve">分</t>
    </r>
  </si>
  <si>
    <t xml:space="preserve">58%</t>
  </si>
  <si>
    <t xml:space="preserve">水产价格温和上涨，消费旺季来临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</si>
  <si>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农产品批发价格</t>
    </r>
    <r>
      <rPr>
        <sz val="9"/>
        <color rgb="FF000000"/>
        <rFont val="微软雅黑"/>
        <family val="2"/>
        <charset val="134"/>
      </rPr>
      <t xml:space="preserve">200</t>
    </r>
    <r>
      <rPr>
        <sz val="9"/>
        <color rgb="FF000000"/>
        <rFont val="Linux Libertine G"/>
        <family val="2"/>
      </rPr>
      <t xml:space="preserve">指数</t>
    </r>
  </si>
  <si>
    <t xml:space="preserve">118</t>
  </si>
  <si>
    <r>
      <rPr>
        <sz val="9"/>
        <color rgb="FF000000"/>
        <rFont val="微软雅黑"/>
        <family val="2"/>
        <charset val="134"/>
      </rPr>
      <t xml:space="preserve">&gt;130=10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,120-130=8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,110-120=6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,&lt;100=2</t>
    </r>
    <r>
      <rPr>
        <sz val="9"/>
        <color rgb="FF000000"/>
        <rFont val="Linux Libertine G"/>
        <family val="2"/>
      </rPr>
      <t xml:space="preserve">分</t>
    </r>
  </si>
  <si>
    <t xml:space="preserve">54%</t>
  </si>
  <si>
    <t xml:space="preserve">农产品价格整体平稳略升</t>
  </si>
  <si>
    <t xml:space="preserve">日度</t>
  </si>
  <si>
    <r>
      <rPr>
        <b val="true"/>
        <sz val="10"/>
        <color rgb="FFFFFFFF"/>
        <rFont val="Linux Libertine G"/>
        <family val="2"/>
      </rPr>
      <t xml:space="preserve">【第三部分：滞后指标（</t>
    </r>
    <r>
      <rPr>
        <b val="true"/>
        <sz val="10"/>
        <color rgb="FFFFFFFF"/>
        <rFont val="Linux Libertine G"/>
        <family val="2"/>
        <charset val="1"/>
      </rPr>
      <t xml:space="preserve">Lagging Indicators</t>
    </r>
    <r>
      <rPr>
        <b val="true"/>
        <sz val="10"/>
        <color rgb="FFFFFFFF"/>
        <rFont val="Linux Libertine G"/>
        <family val="2"/>
      </rPr>
      <t xml:space="preserve">）——滞后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个季度反映景气变化】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</si>
  <si>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养殖企业季度净利润率</t>
    </r>
  </si>
  <si>
    <t xml:space="preserve">上市公司财报</t>
  </si>
  <si>
    <t xml:space="preserve">6.5</t>
  </si>
  <si>
    <t xml:space="preserve">%</t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</si>
  <si>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</si>
  <si>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养殖利润转正，景气度回升</t>
    </r>
  </si>
  <si>
    <t xml:space="preserve">季度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</si>
  <si>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15%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</si>
  <si>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11"/>
        <color theme="1"/>
        <rFont val="Linux Libertine G"/>
        <family val="2"/>
      </rPr>
      <t xml:space="preserve">采用</t>
    </r>
    <r>
      <rPr>
        <sz val="11"/>
        <color theme="1"/>
        <rFont val="Linux Libertine G"/>
        <family val="2"/>
        <charset val="1"/>
      </rPr>
      <t xml:space="preserve">TTM/</t>
    </r>
    <r>
      <rPr>
        <sz val="11"/>
        <color theme="1"/>
        <rFont val="Linux Libertine G"/>
        <family val="2"/>
      </rPr>
      <t xml:space="preserve">滚动</t>
    </r>
    <r>
      <rPr>
        <sz val="11"/>
        <color theme="1"/>
        <rFont val="Linux Libertine G"/>
        <family val="2"/>
        <charset val="1"/>
      </rPr>
      <t xml:space="preserve">4</t>
    </r>
    <r>
      <rPr>
        <sz val="11"/>
        <color theme="1"/>
        <rFont val="Linux Libertine G"/>
        <family val="2"/>
      </rPr>
      <t xml:space="preserve">季同比</t>
    </r>
    <r>
      <rPr>
        <sz val="11"/>
        <color theme="1"/>
        <rFont val="Linux Libertine G"/>
        <family val="2"/>
        <charset val="1"/>
      </rPr>
      <t xml:space="preserve">+</t>
    </r>
    <r>
      <rPr>
        <sz val="11"/>
        <color theme="1"/>
        <rFont val="Linux Libertine G"/>
        <family val="2"/>
      </rPr>
      <t xml:space="preserve">历史分位；剔除一次性损益，</t>
    </r>
    <r>
      <rPr>
        <sz val="11"/>
        <color theme="1"/>
        <rFont val="Linux Libertine G"/>
        <family val="2"/>
        <charset val="1"/>
      </rPr>
      <t xml:space="preserve">IRR</t>
    </r>
    <r>
      <rPr>
        <sz val="11"/>
        <color theme="1"/>
        <rFont val="Linux Libertine G"/>
        <family val="2"/>
      </rPr>
      <t xml:space="preserve">按项目现金流复核。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</si>
  <si>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农林牧渔固定资产投资增速</t>
    </r>
  </si>
  <si>
    <t xml:space="preserve">+8.2</t>
  </si>
  <si>
    <t xml:space="preserve">60%</t>
  </si>
  <si>
    <t xml:space="preserve">投资回暖，产能扩张意愿增强</t>
  </si>
  <si>
    <r>
      <rPr>
        <sz val="9"/>
        <color rgb="FF000000"/>
        <rFont val="微软雅黑"/>
        <family val="2"/>
        <charset val="134"/>
      </rPr>
      <t xml:space="preserve">12-CPI</t>
    </r>
    <r>
      <rPr>
        <sz val="9"/>
        <color rgb="FF000000"/>
        <rFont val="Linux Libertine G"/>
        <family val="2"/>
      </rPr>
      <t xml:space="preserve">食品项同比</t>
    </r>
  </si>
  <si>
    <t xml:space="preserve">42%</t>
  </si>
  <si>
    <t xml:space="preserve">食品通胀温和，终端需求平稳</t>
  </si>
  <si>
    <t xml:space="preserve">行业综合景气度加权得分</t>
  </si>
  <si>
    <r>
      <rPr>
        <sz val="9"/>
        <color rgb="FF000000"/>
        <rFont val="Linux Libertine G"/>
        <family val="2"/>
      </rPr>
      <t xml:space="preserve">综合分</t>
    </r>
    <r>
      <rPr>
        <sz val="9"/>
        <color rgb="FF000000"/>
        <rFont val="Linux Libertine G"/>
        <family val="2"/>
        <charset val="1"/>
      </rPr>
      <t xml:space="preserve">=Σ(</t>
    </r>
    <r>
      <rPr>
        <sz val="9"/>
        <color rgb="FF000000"/>
        <rFont val="Linux Libertine G"/>
        <family val="2"/>
      </rPr>
      <t xml:space="preserve">建议权重</t>
    </r>
    <r>
      <rPr>
        <sz val="9"/>
        <color rgb="FF000000"/>
        <rFont val="Linux Libertine G"/>
        <family val="2"/>
        <charset val="1"/>
      </rPr>
      <t xml:space="preserve">×</t>
    </r>
    <r>
      <rPr>
        <sz val="9"/>
        <color rgb="FF000000"/>
        <rFont val="Linux Libertine G"/>
        <family val="2"/>
      </rPr>
      <t xml:space="preserve">单项评分</t>
    </r>
    <r>
      <rPr>
        <sz val="9"/>
        <color rgb="FF000000"/>
        <rFont val="Linux Libertine G"/>
        <family val="2"/>
        <charset val="1"/>
      </rPr>
      <t xml:space="preserve">)</t>
    </r>
    <r>
      <rPr>
        <sz val="9"/>
        <color rgb="FF000000"/>
        <rFont val="Linux Libertine G"/>
        <family val="2"/>
      </rPr>
      <t xml:space="preserve">，建议权重和</t>
    </r>
    <r>
      <rPr>
        <sz val="9"/>
        <color rgb="FF000000"/>
        <rFont val="Linux Libertine G"/>
        <family val="2"/>
        <charset val="1"/>
      </rPr>
      <t xml:space="preserve">=100%</t>
    </r>
    <r>
      <rPr>
        <sz val="9"/>
        <color rgb="FF000000"/>
        <rFont val="Linux Libertine G"/>
        <family val="2"/>
      </rPr>
      <t xml:space="preserve">。</t>
    </r>
  </si>
  <si>
    <t xml:space="preserve">行业景气度量化跟踪体系（参数优化版）— 基础化工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</si>
  <si>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。先用库存、供给、订单确认反转；价格本身不能直接等同高景气。｜核心验证：库存周期与价差修复；必选：下游订单、库存、计划新增产能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</si>
  <si>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原油价格变化</t>
    </r>
  </si>
  <si>
    <r>
      <rPr>
        <sz val="9"/>
        <color rgb="FF000000"/>
        <rFont val="微软雅黑"/>
        <family val="2"/>
        <charset val="134"/>
      </rPr>
      <t xml:space="preserve">WTI/</t>
    </r>
    <r>
      <rPr>
        <sz val="9"/>
        <color rgb="FF000000"/>
        <rFont val="Linux Libertine G"/>
        <family val="2"/>
      </rPr>
      <t xml:space="preserve">布伦特</t>
    </r>
  </si>
  <si>
    <t xml:space="preserve">72</t>
  </si>
  <si>
    <r>
      <rPr>
        <sz val="9"/>
        <color rgb="FF000000"/>
        <rFont val="Linux Libertine G"/>
        <family val="2"/>
      </rPr>
      <t xml:space="preserve">美元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桶</t>
    </r>
  </si>
  <si>
    <r>
      <rPr>
        <sz val="9"/>
        <color rgb="FF000000"/>
        <rFont val="微软雅黑"/>
        <family val="2"/>
        <charset val="134"/>
      </rPr>
      <t xml:space="preserve">60-80=10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80-90=8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90-100=6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&gt;100=4</t>
    </r>
    <r>
      <rPr>
        <sz val="9"/>
        <color rgb="FF000000"/>
        <rFont val="Linux Libertine G"/>
        <family val="2"/>
      </rPr>
      <t xml:space="preserve">分</t>
    </r>
  </si>
  <si>
    <t xml:space="preserve">油价中枢回落，成本压力缓解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</si>
  <si>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煤化工原料煤价格</t>
    </r>
  </si>
  <si>
    <t xml:space="preserve">秦皇岛动力煤</t>
  </si>
  <si>
    <t xml:space="preserve">680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</si>
  <si>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吨</t>
    </r>
  </si>
  <si>
    <r>
      <rPr>
        <sz val="9"/>
        <color rgb="FF000000"/>
        <rFont val="微软雅黑"/>
        <family val="2"/>
        <charset val="134"/>
      </rPr>
      <t xml:space="preserve">&lt;700=10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,800-900=6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,900-1000=4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,&gt;1000=2</t>
    </r>
    <r>
      <rPr>
        <sz val="9"/>
        <color rgb="FF000000"/>
        <rFont val="Linux Libertine G"/>
        <family val="2"/>
      </rPr>
      <t xml:space="preserve">分</t>
    </r>
  </si>
  <si>
    <t xml:space="preserve">30%</t>
  </si>
  <si>
    <t xml:space="preserve">煤价处于低位，煤化工成本优势明显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</si>
  <si>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化工品产能利用率</t>
    </r>
  </si>
  <si>
    <t xml:space="preserve">卓创资讯</t>
  </si>
  <si>
    <t xml:space="preserve">74</t>
  </si>
  <si>
    <r>
      <rPr>
        <sz val="9"/>
        <color rgb="FF000000"/>
        <rFont val="微软雅黑"/>
        <family val="2"/>
        <charset val="134"/>
      </rPr>
      <t xml:space="preserve">&gt;80%=10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,&lt;65%=2</t>
    </r>
    <r>
      <rPr>
        <sz val="9"/>
        <color rgb="FF000000"/>
        <rFont val="Linux Libertine G"/>
        <family val="2"/>
      </rPr>
      <t xml:space="preserve">分</t>
    </r>
  </si>
  <si>
    <t xml:space="preserve">产能利用率回升，供需格局改善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</si>
  <si>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新增产能投放计划</t>
    </r>
  </si>
  <si>
    <r>
      <rPr>
        <sz val="9"/>
        <color rgb="FF000000"/>
        <rFont val="Linux Libertine G"/>
        <family val="2"/>
      </rPr>
      <t xml:space="preserve">公司公告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行业协会</t>
    </r>
  </si>
  <si>
    <t xml:space="preserve">+3.5</t>
  </si>
  <si>
    <t xml:space="preserve">放缓</t>
  </si>
  <si>
    <r>
      <rPr>
        <sz val="9"/>
        <color rgb="FF000000"/>
        <rFont val="微软雅黑"/>
        <family val="2"/>
        <charset val="134"/>
      </rPr>
      <t xml:space="preserve">&lt;2%=10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,&gt;12%=2</t>
    </r>
    <r>
      <rPr>
        <sz val="9"/>
        <color rgb="FF000000"/>
        <rFont val="Linux Libertine G"/>
        <family val="2"/>
      </rPr>
      <t xml:space="preserve">分</t>
    </r>
  </si>
  <si>
    <t xml:space="preserve">产能投放放缓，供给压力减轻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</si>
  <si>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中国化工产品价格指数</t>
    </r>
    <r>
      <rPr>
        <sz val="9"/>
        <color rgb="FF000000"/>
        <rFont val="微软雅黑"/>
        <family val="2"/>
        <charset val="134"/>
      </rPr>
      <t xml:space="preserve">(CCPI)</t>
    </r>
  </si>
  <si>
    <t xml:space="preserve">4850</t>
  </si>
  <si>
    <r>
      <rPr>
        <sz val="9"/>
        <color rgb="FF000000"/>
        <rFont val="微软雅黑"/>
        <family val="2"/>
        <charset val="134"/>
      </rPr>
      <t xml:space="preserve">&gt;5500=10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,5000-5500=8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,4500-5000=6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,4000-4500=4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,&lt;4000=2</t>
    </r>
    <r>
      <rPr>
        <sz val="9"/>
        <color rgb="FF000000"/>
        <rFont val="Linux Libertine G"/>
        <family val="2"/>
      </rPr>
      <t xml:space="preserve">分</t>
    </r>
  </si>
  <si>
    <t xml:space="preserve">化工品价格温和上涨，价差修复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</si>
  <si>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主要化工品价差</t>
    </r>
  </si>
  <si>
    <t xml:space="preserve">百川盈孚</t>
  </si>
  <si>
    <t xml:space="preserve">+5</t>
  </si>
  <si>
    <r>
      <rPr>
        <sz val="9"/>
        <color rgb="FF000000"/>
        <rFont val="微软雅黑"/>
        <family val="2"/>
        <charset val="134"/>
      </rPr>
      <t xml:space="preserve">%vs</t>
    </r>
    <r>
      <rPr>
        <sz val="9"/>
        <color rgb="FF000000"/>
        <rFont val="Linux Libertine G"/>
        <family val="2"/>
      </rPr>
      <t xml:space="preserve">均值</t>
    </r>
  </si>
  <si>
    <r>
      <rPr>
        <sz val="9"/>
        <color rgb="FF000000"/>
        <rFont val="微软雅黑"/>
        <family val="2"/>
        <charset val="134"/>
      </rPr>
      <t xml:space="preserve">&gt;</t>
    </r>
    <r>
      <rPr>
        <sz val="9"/>
        <color rgb="FF000000"/>
        <rFont val="Linux Libertine G"/>
        <family val="2"/>
      </rPr>
      <t xml:space="preserve">历史均值</t>
    </r>
    <r>
      <rPr>
        <sz val="9"/>
        <color rgb="FF000000"/>
        <rFont val="微软雅黑"/>
        <family val="2"/>
        <charset val="134"/>
      </rPr>
      <t xml:space="preserve">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</si>
  <si>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价差改善，企业盈利空间扩大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</si>
  <si>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化工品库存天数</t>
    </r>
  </si>
  <si>
    <t xml:space="preserve">18</t>
  </si>
  <si>
    <t xml:space="preserve">天</t>
  </si>
  <si>
    <r>
      <rPr>
        <sz val="9"/>
        <color rgb="FF000000"/>
        <rFont val="微软雅黑"/>
        <family val="2"/>
        <charset val="134"/>
      </rPr>
      <t xml:space="preserve">&lt;15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</si>
  <si>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40%</t>
  </si>
  <si>
    <t xml:space="preserve">库存健康，去库接近尾声</t>
  </si>
  <si>
    <r>
      <rPr>
        <sz val="11"/>
        <color theme="1"/>
        <rFont val="Linux Libertine G"/>
        <family val="2"/>
      </rPr>
      <t xml:space="preserve">采用同比、环比、历史分位三维评分；按去库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改善方向计分。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</si>
  <si>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化工品出口增速</t>
    </r>
  </si>
  <si>
    <t xml:space="preserve">+12.5</t>
  </si>
  <si>
    <t xml:space="preserve">65%</t>
  </si>
  <si>
    <t xml:space="preserve">出口强劲，外需支撑景气度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</si>
  <si>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化工企业季度</t>
    </r>
    <r>
      <rPr>
        <sz val="9"/>
        <color rgb="FF000000"/>
        <rFont val="微软雅黑"/>
        <family val="2"/>
        <charset val="134"/>
      </rPr>
      <t xml:space="preserve">ROE</t>
    </r>
  </si>
  <si>
    <t xml:space="preserve">7.5</t>
  </si>
  <si>
    <r>
      <rPr>
        <sz val="9"/>
        <color rgb="FF000000"/>
        <rFont val="微软雅黑"/>
        <family val="2"/>
        <charset val="134"/>
      </rPr>
      <t xml:space="preserve">&gt;12%=10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</si>
  <si>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50%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</si>
  <si>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盈利修复，</t>
    </r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回升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</si>
  <si>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化工行业固定资产投资增速</t>
    </r>
  </si>
  <si>
    <t xml:space="preserve">+8.5</t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</si>
  <si>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,&lt;-5%=2</t>
    </r>
    <r>
      <rPr>
        <sz val="9"/>
        <color rgb="FF000000"/>
        <rFont val="Linux Libertine G"/>
        <family val="2"/>
      </rPr>
      <t xml:space="preserve">分</t>
    </r>
  </si>
  <si>
    <t xml:space="preserve">投资回暖，扩产意愿增强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</si>
  <si>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化工原料同比</t>
    </r>
  </si>
  <si>
    <t xml:space="preserve">+2.5</t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</si>
  <si>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,-3-0%=6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,-6--3%=4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,&lt;-6%=2</t>
    </r>
    <r>
      <rPr>
        <sz val="9"/>
        <color rgb="FF000000"/>
        <rFont val="Linux Libertine G"/>
        <family val="2"/>
      </rPr>
      <t xml:space="preserve">分</t>
    </r>
  </si>
  <si>
    <t xml:space="preserve">价格同比转正，通缩压力缓解</t>
  </si>
  <si>
    <t xml:space="preserve">行业景气度量化跟踪体系（参数优化版）— 钢铁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</si>
  <si>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。先用库存、供给、订单确认反转；价格本身不能直接等同高景气。｜核心验证：需求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去库与利润修复；必选：地产施工、基建实物量、库存变化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</si>
  <si>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铁矿石价格变化</t>
    </r>
  </si>
  <si>
    <r>
      <rPr>
        <sz val="9"/>
        <color rgb="FF000000"/>
        <rFont val="Linux Libertine G"/>
        <family val="2"/>
      </rPr>
      <t xml:space="preserve">普氏</t>
    </r>
    <r>
      <rPr>
        <sz val="9"/>
        <color rgb="FF000000"/>
        <rFont val="Linux Libertine G"/>
        <family val="2"/>
        <charset val="1"/>
      </rPr>
      <t xml:space="preserve">62%</t>
    </r>
    <r>
      <rPr>
        <sz val="9"/>
        <color rgb="FF000000"/>
        <rFont val="Linux Libertine G"/>
        <family val="2"/>
      </rPr>
      <t xml:space="preserve">指数</t>
    </r>
  </si>
  <si>
    <t xml:space="preserve">105</t>
  </si>
  <si>
    <r>
      <rPr>
        <sz val="9"/>
        <color rgb="FF000000"/>
        <rFont val="Linux Libertine G"/>
        <family val="2"/>
      </rPr>
      <t xml:space="preserve">美元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吨</t>
    </r>
  </si>
  <si>
    <r>
      <rPr>
        <sz val="9"/>
        <color rgb="FF000000"/>
        <rFont val="微软雅黑"/>
        <family val="2"/>
        <charset val="134"/>
      </rPr>
      <t xml:space="preserve">80-100=10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100-120=8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120-140=6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&gt;140=4</t>
    </r>
    <r>
      <rPr>
        <sz val="9"/>
        <color rgb="FF000000"/>
        <rFont val="Linux Libertine G"/>
        <family val="2"/>
      </rPr>
      <t xml:space="preserve">分</t>
    </r>
  </si>
  <si>
    <t xml:space="preserve">矿价回落，成本压力减轻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</si>
  <si>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焦煤价格变化</t>
    </r>
  </si>
  <si>
    <r>
      <rPr>
        <sz val="9"/>
        <color rgb="FF000000"/>
        <rFont val="微软雅黑"/>
        <family val="2"/>
        <charset val="134"/>
      </rPr>
      <t xml:space="preserve">CCI</t>
    </r>
    <r>
      <rPr>
        <sz val="9"/>
        <color rgb="FF000000"/>
        <rFont val="Linux Libertine G"/>
        <family val="2"/>
      </rPr>
      <t xml:space="preserve">指数</t>
    </r>
  </si>
  <si>
    <t xml:space="preserve">1650</t>
  </si>
  <si>
    <r>
      <rPr>
        <sz val="9"/>
        <color rgb="FF000000"/>
        <rFont val="微软雅黑"/>
        <family val="2"/>
        <charset val="134"/>
      </rPr>
      <t xml:space="preserve">&lt;1500=10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,1500-1800=8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,1800-2200=6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,2200-2600=4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,&gt;2600=2</t>
    </r>
    <r>
      <rPr>
        <sz val="9"/>
        <color rgb="FF000000"/>
        <rFont val="Linux Libertine G"/>
        <family val="2"/>
      </rPr>
      <t xml:space="preserve">分</t>
    </r>
  </si>
  <si>
    <t xml:space="preserve">焦煤价格回落，焦炭成本下降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</si>
  <si>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高炉开工率</t>
    </r>
  </si>
  <si>
    <t xml:space="preserve">Mysteel</t>
  </si>
  <si>
    <t xml:space="preserve">82</t>
  </si>
  <si>
    <r>
      <rPr>
        <sz val="9"/>
        <color rgb="FF000000"/>
        <rFont val="微软雅黑"/>
        <family val="2"/>
        <charset val="134"/>
      </rPr>
      <t xml:space="preserve">&gt;85%=10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,80-85%=8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,&lt;70%=2</t>
    </r>
    <r>
      <rPr>
        <sz val="9"/>
        <color rgb="FF000000"/>
        <rFont val="Linux Libertine G"/>
        <family val="2"/>
      </rPr>
      <t xml:space="preserve">分</t>
    </r>
  </si>
  <si>
    <t xml:space="preserve">开工率回升，生产积极性改善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</si>
  <si>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钢材社会库存变化</t>
    </r>
  </si>
  <si>
    <t xml:space="preserve">-4.2</t>
  </si>
  <si>
    <t xml:space="preserve">%MoM</t>
  </si>
  <si>
    <t xml:space="preserve">去库</t>
  </si>
  <si>
    <t xml:space="preserve">38%</t>
  </si>
  <si>
    <t xml:space="preserve">库存去化顺利，供需格局改善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</si>
  <si>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螺纹钢现货价格</t>
    </r>
  </si>
  <si>
    <t xml:space="preserve">上海钢联</t>
  </si>
  <si>
    <t xml:space="preserve">3450</t>
  </si>
  <si>
    <r>
      <rPr>
        <sz val="9"/>
        <color rgb="FF000000"/>
        <rFont val="微软雅黑"/>
        <family val="2"/>
        <charset val="134"/>
      </rPr>
      <t xml:space="preserve">&gt;4000=10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,3500-4000=8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,3000-3500=6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,2500-3000=4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,&lt;2500=2</t>
    </r>
    <r>
      <rPr>
        <sz val="9"/>
        <color rgb="FF000000"/>
        <rFont val="Linux Libertine G"/>
        <family val="2"/>
      </rPr>
      <t xml:space="preserve">分</t>
    </r>
  </si>
  <si>
    <t xml:space="preserve">钢价温和回升，盈利边际改善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</si>
  <si>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热轧板卷价格</t>
    </r>
  </si>
  <si>
    <t xml:space="preserve">3650</t>
  </si>
  <si>
    <r>
      <rPr>
        <sz val="9"/>
        <color rgb="FF000000"/>
        <rFont val="微软雅黑"/>
        <family val="2"/>
        <charset val="134"/>
      </rPr>
      <t xml:space="preserve">&gt;4200=10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,3800-4200=8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,3400-3800=6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,3000-3400=4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,&lt;3000=2</t>
    </r>
    <r>
      <rPr>
        <sz val="9"/>
        <color rgb="FF000000"/>
        <rFont val="Linux Libertine G"/>
        <family val="2"/>
      </rPr>
      <t xml:space="preserve">分</t>
    </r>
  </si>
  <si>
    <t xml:space="preserve">板材价格回升，制造业需求支撑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</si>
  <si>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钢厂盈利面</t>
    </r>
  </si>
  <si>
    <t xml:space="preserve">55</t>
  </si>
  <si>
    <r>
      <rPr>
        <sz val="9"/>
        <color rgb="FF000000"/>
        <rFont val="微软雅黑"/>
        <family val="2"/>
        <charset val="134"/>
      </rPr>
      <t xml:space="preserve">&gt;70%=10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,50-70%=8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,10-30%=4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,&lt;10%=2</t>
    </r>
    <r>
      <rPr>
        <sz val="9"/>
        <color rgb="FF000000"/>
        <rFont val="Linux Libertine G"/>
        <family val="2"/>
      </rPr>
      <t xml:space="preserve">分</t>
    </r>
  </si>
  <si>
    <t xml:space="preserve">盈利面扩大，过半钢厂实现盈利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</si>
  <si>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钢材表观消费量</t>
    </r>
  </si>
  <si>
    <t xml:space="preserve">1.05</t>
  </si>
  <si>
    <r>
      <rPr>
        <sz val="9"/>
        <color rgb="FF000000"/>
        <rFont val="Linux Libertine G"/>
        <family val="2"/>
      </rPr>
      <t xml:space="preserve">亿吨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年化</t>
    </r>
  </si>
  <si>
    <r>
      <rPr>
        <sz val="9"/>
        <color rgb="FF000000"/>
        <rFont val="微软雅黑"/>
        <family val="2"/>
        <charset val="134"/>
      </rPr>
      <t xml:space="preserve">&gt;1.1</t>
    </r>
    <r>
      <rPr>
        <sz val="9"/>
        <color rgb="FF000000"/>
        <rFont val="Linux Libertine G"/>
        <family val="2"/>
      </rPr>
      <t xml:space="preserve">亿年化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,1.0-1.1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,0.9-1.0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,0.8-0.9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,&lt;0.8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</si>
  <si>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表观消费回升，需求端改善</t>
  </si>
  <si>
    <r>
      <rPr>
        <sz val="11"/>
        <color theme="1"/>
        <rFont val="Linux Libertine G"/>
        <family val="2"/>
      </rPr>
      <t xml:space="preserve">采用季调同比</t>
    </r>
    <r>
      <rPr>
        <sz val="11"/>
        <color theme="1"/>
        <rFont val="Linux Libertine G"/>
        <family val="2"/>
        <charset val="1"/>
      </rPr>
      <t xml:space="preserve">+3</t>
    </r>
    <r>
      <rPr>
        <sz val="11"/>
        <color theme="1"/>
        <rFont val="Linux Libertine G"/>
        <family val="2"/>
      </rPr>
      <t xml:space="preserve">个月环比；单月值用</t>
    </r>
    <r>
      <rPr>
        <sz val="11"/>
        <color theme="1"/>
        <rFont val="Linux Libertine G"/>
        <family val="2"/>
        <charset val="1"/>
      </rPr>
      <t xml:space="preserve">3</t>
    </r>
    <r>
      <rPr>
        <sz val="11"/>
        <color theme="1"/>
        <rFont val="Linux Libertine G"/>
        <family val="2"/>
      </rPr>
      <t xml:space="preserve">个月移动均值过滤。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</si>
  <si>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钢铁企业季度净利润</t>
    </r>
  </si>
  <si>
    <t xml:space="preserve">35</t>
  </si>
  <si>
    <t xml:space="preserve">亿元</t>
  </si>
  <si>
    <r>
      <rPr>
        <sz val="9"/>
        <color rgb="FF000000"/>
        <rFont val="微软雅黑"/>
        <family val="2"/>
        <charset val="134"/>
      </rPr>
      <t xml:space="preserve">&gt;50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</si>
  <si>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扭亏为盈，利润端改善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</si>
  <si>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钢铁行业产能利用率</t>
    </r>
  </si>
  <si>
    <t xml:space="preserve">77</t>
  </si>
  <si>
    <t xml:space="preserve">产能利用率回升，供需趋于平衡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</si>
  <si>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黑色金属冶炼同比</t>
    </r>
  </si>
  <si>
    <t xml:space="preserve">+1.8</t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</si>
  <si>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</si>
  <si>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行业景气度量化跟踪体系（参数优化版）— 有色金属</t>
  </si>
  <si>
    <r>
      <rPr>
        <b val="true"/>
        <sz val="9"/>
        <color rgb="FF000000"/>
        <rFont val="Linux Libertine G"/>
        <family val="2"/>
      </rPr>
      <t xml:space="preserve">默认阶段框架：资源品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宏观供需｜先行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=45%/40%/15%</t>
    </r>
    <r>
      <rPr>
        <b val="true"/>
        <sz val="9"/>
        <color rgb="FF000000"/>
        <rFont val="Linux Libertine G"/>
        <family val="2"/>
      </rPr>
      <t xml:space="preserve">。库存、加工费、美元和价格共同确认。｜核心验证：库存、供给约束与需求弹性；必选：库存、</t>
    </r>
    <r>
      <rPr>
        <b val="true"/>
        <sz val="9"/>
        <color rgb="FF000000"/>
        <rFont val="Linux Libertine G"/>
        <family val="2"/>
        <charset val="1"/>
      </rPr>
      <t xml:space="preserve">TC/RC</t>
    </r>
    <r>
      <rPr>
        <b val="true"/>
        <sz val="9"/>
        <color rgb="FF000000"/>
        <rFont val="Linux Libertine G"/>
        <family val="2"/>
      </rPr>
      <t xml:space="preserve">、美元、矿端扰动</t>
    </r>
  </si>
  <si>
    <r>
      <rPr>
        <sz val="9"/>
        <color rgb="FF000000"/>
        <rFont val="微软雅黑"/>
        <family val="2"/>
        <charset val="134"/>
      </rPr>
      <t xml:space="preserve">1-LME</t>
    </r>
    <r>
      <rPr>
        <sz val="9"/>
        <color rgb="FF000000"/>
        <rFont val="Linux Libertine G"/>
        <family val="2"/>
      </rPr>
      <t xml:space="preserve">铜库存变化</t>
    </r>
  </si>
  <si>
    <t xml:space="preserve">LME</t>
  </si>
  <si>
    <t xml:space="preserve">-12</t>
  </si>
  <si>
    <r>
      <rPr>
        <sz val="9"/>
        <color rgb="FF000000"/>
        <rFont val="微软雅黑"/>
        <family val="2"/>
        <charset val="134"/>
      </rPr>
      <t xml:space="preserve">&lt;-10%=10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,&gt;20%=2</t>
    </r>
    <r>
      <rPr>
        <sz val="9"/>
        <color rgb="FF000000"/>
        <rFont val="Linux Libertine G"/>
        <family val="2"/>
      </rPr>
      <t xml:space="preserve">分</t>
    </r>
  </si>
  <si>
    <t xml:space="preserve">全球库存去化，供给偏紧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</si>
  <si>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45%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</si>
  <si>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铜精矿</t>
    </r>
    <r>
      <rPr>
        <sz val="9"/>
        <color rgb="FF000000"/>
        <rFont val="微软雅黑"/>
        <family val="2"/>
        <charset val="134"/>
      </rPr>
      <t xml:space="preserve">TC/RC</t>
    </r>
  </si>
  <si>
    <t xml:space="preserve">SMM</t>
  </si>
  <si>
    <t xml:space="preserve">25</t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</si>
  <si>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</si>
  <si>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15%</t>
  </si>
  <si>
    <t xml:space="preserve">加工费极低，铜矿供给紧张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</si>
  <si>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美元指数</t>
    </r>
  </si>
  <si>
    <t xml:space="preserve">美联储</t>
  </si>
  <si>
    <t xml:space="preserve">99.5</t>
  </si>
  <si>
    <r>
      <rPr>
        <sz val="9"/>
        <color rgb="FF000000"/>
        <rFont val="微软雅黑"/>
        <family val="2"/>
        <charset val="134"/>
      </rPr>
      <t xml:space="preserve">&lt;100=10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,100-103=8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,103-106=6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,106-110=4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,&gt;110=2</t>
    </r>
    <r>
      <rPr>
        <sz val="9"/>
        <color rgb="FF000000"/>
        <rFont val="Linux Libertine G"/>
        <family val="2"/>
      </rPr>
      <t xml:space="preserve">分</t>
    </r>
  </si>
  <si>
    <t xml:space="preserve">美元走弱，利好大宗商品定价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</si>
  <si>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全球矿山资本开支增速</t>
    </r>
  </si>
  <si>
    <t xml:space="preserve">Wood Mackenzie</t>
  </si>
  <si>
    <t xml:space="preserve">+18</t>
  </si>
  <si>
    <t xml:space="preserve">资本开支增加，远期供给有望改善</t>
  </si>
  <si>
    <r>
      <rPr>
        <sz val="9"/>
        <color rgb="FF000000"/>
        <rFont val="微软雅黑"/>
        <family val="2"/>
        <charset val="134"/>
      </rPr>
      <t xml:space="preserve">5-LME</t>
    </r>
    <r>
      <rPr>
        <sz val="9"/>
        <color rgb="FF000000"/>
        <rFont val="Linux Libertine G"/>
        <family val="2"/>
      </rPr>
      <t xml:space="preserve">铜现货价格</t>
    </r>
  </si>
  <si>
    <t xml:space="preserve">9800</t>
  </si>
  <si>
    <r>
      <rPr>
        <sz val="9"/>
        <color rgb="FF000000"/>
        <rFont val="微软雅黑"/>
        <family val="2"/>
        <charset val="134"/>
      </rPr>
      <t xml:space="preserve">&gt;9500=10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,8500-9500=8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,7500-8500=6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,6500-7500=4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,&lt;6500=2</t>
    </r>
    <r>
      <rPr>
        <sz val="9"/>
        <color rgb="FF000000"/>
        <rFont val="Linux Libertine G"/>
        <family val="2"/>
      </rPr>
      <t xml:space="preserve">分</t>
    </r>
  </si>
  <si>
    <t xml:space="preserve">85%</t>
  </si>
  <si>
    <r>
      <rPr>
        <sz val="9"/>
        <color rgb="FF000000"/>
        <rFont val="Linux Libertine G"/>
        <family val="2"/>
      </rPr>
      <t xml:space="preserve">铜价处于历史高位，新能源</t>
    </r>
    <r>
      <rPr>
        <sz val="9"/>
        <color rgb="FF000000"/>
        <rFont val="Linux Libertine G"/>
        <family val="2"/>
        <charset val="1"/>
      </rPr>
      <t xml:space="preserve">+AI</t>
    </r>
    <r>
      <rPr>
        <sz val="9"/>
        <color rgb="FF000000"/>
        <rFont val="Linux Libertine G"/>
        <family val="2"/>
      </rPr>
      <t xml:space="preserve">需求强劲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</si>
  <si>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40%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</si>
  <si>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铝现货价格</t>
    </r>
  </si>
  <si>
    <t xml:space="preserve">20500</t>
  </si>
  <si>
    <r>
      <rPr>
        <sz val="9"/>
        <color rgb="FF000000"/>
        <rFont val="微软雅黑"/>
        <family val="2"/>
        <charset val="134"/>
      </rPr>
      <t xml:space="preserve">&gt;20000=10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,18000-20000=8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,16000-18000=6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,14000-16000=4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,&lt;14000=2</t>
    </r>
    <r>
      <rPr>
        <sz val="9"/>
        <color rgb="FF000000"/>
        <rFont val="Linux Libertine G"/>
        <family val="2"/>
      </rPr>
      <t xml:space="preserve">分</t>
    </r>
  </si>
  <si>
    <t xml:space="preserve">铝价高位运行，氧化铝成本支撑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</si>
  <si>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有色金属冶炼加工费</t>
    </r>
  </si>
  <si>
    <t xml:space="preserve">+8</t>
  </si>
  <si>
    <r>
      <rPr>
        <sz val="9"/>
        <color rgb="FF000000"/>
        <rFont val="微软雅黑"/>
        <family val="2"/>
        <charset val="134"/>
      </rPr>
      <t xml:space="preserve">&gt;</t>
    </r>
    <r>
      <rPr>
        <sz val="9"/>
        <color rgb="FF000000"/>
        <rFont val="Linux Libertine G"/>
        <family val="2"/>
      </rPr>
      <t xml:space="preserve">均值</t>
    </r>
    <r>
      <rPr>
        <sz val="9"/>
        <color rgb="FF000000"/>
        <rFont val="微软雅黑"/>
        <family val="2"/>
        <charset val="134"/>
      </rPr>
      <t xml:space="preserve">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</si>
  <si>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加工费改善，冶炼端利润修复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</si>
  <si>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中国有色金属消费量</t>
    </r>
  </si>
  <si>
    <t xml:space="preserve">中国有色金属工业协会</t>
  </si>
  <si>
    <t xml:space="preserve">+7.5</t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</si>
  <si>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</si>
  <si>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消费量稳健增长，新能源需求拉动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</si>
  <si>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有色企业季度净利润</t>
    </r>
  </si>
  <si>
    <t xml:space="preserve">180</t>
  </si>
  <si>
    <r>
      <rPr>
        <sz val="9"/>
        <color rgb="FF000000"/>
        <rFont val="微软雅黑"/>
        <family val="2"/>
        <charset val="134"/>
      </rPr>
      <t xml:space="preserve">&gt;100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</si>
  <si>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72%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</si>
  <si>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业绩爆发，小金属板块净利增</t>
    </r>
    <r>
      <rPr>
        <sz val="9"/>
        <color rgb="FF000000"/>
        <rFont val="微软雅黑"/>
        <family val="2"/>
        <charset val="134"/>
      </rPr>
      <t xml:space="preserve">93%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</si>
  <si>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有色金属库存周转天数</t>
    </r>
  </si>
  <si>
    <t xml:space="preserve">38</t>
  </si>
  <si>
    <r>
      <rPr>
        <sz val="9"/>
        <color rgb="FF000000"/>
        <rFont val="微软雅黑"/>
        <family val="2"/>
        <charset val="134"/>
      </rPr>
      <t xml:space="preserve">&lt;30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</si>
  <si>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库存周转加快，运营效率提升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</si>
  <si>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有色金属冶炼同比</t>
    </r>
  </si>
  <si>
    <t xml:space="preserve">75%</t>
  </si>
  <si>
    <t xml:space="preserve">价格同比大涨，行业景气度高企</t>
  </si>
  <si>
    <t xml:space="preserve">行业景气度量化跟踪体系（参数优化版）— 电子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</si>
  <si>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。订单、库存和利用率优先；不同子行业拆分后再汇总。｜核心验证：库存去化与需求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产能利用率；必选：订单、库存周转、存储价格、终端出货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</si>
  <si>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全球半导体销售额增速</t>
    </r>
  </si>
  <si>
    <t xml:space="preserve">SIA/WSTS</t>
  </si>
  <si>
    <t xml:space="preserve">+18.5</t>
  </si>
  <si>
    <r>
      <rPr>
        <sz val="9"/>
        <color rgb="FF000000"/>
        <rFont val="微软雅黑"/>
        <family val="2"/>
        <charset val="134"/>
      </rPr>
      <t xml:space="preserve">&gt;20%=10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</si>
  <si>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半导体周期强劲复苏，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需求驱动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</si>
  <si>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存储芯片价格变化</t>
    </r>
  </si>
  <si>
    <t xml:space="preserve">DRAMeXchange</t>
  </si>
  <si>
    <t xml:space="preserve">+22</t>
  </si>
  <si>
    <r>
      <rPr>
        <sz val="9"/>
        <color rgb="FF000000"/>
        <rFont val="Linux Libertine G"/>
        <family val="2"/>
      </rPr>
      <t xml:space="preserve">涨价</t>
    </r>
    <r>
      <rPr>
        <sz val="9"/>
        <color rgb="FF000000"/>
        <rFont val="Linux Libertine G"/>
        <family val="2"/>
        <charset val="1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涨价</t>
    </r>
    <r>
      <rPr>
        <sz val="9"/>
        <color rgb="FF000000"/>
        <rFont val="Linux Libertine G"/>
        <family val="2"/>
        <charset val="1"/>
      </rPr>
      <t xml:space="preserve">5-10%=8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持平</t>
    </r>
    <r>
      <rPr>
        <sz val="9"/>
        <color rgb="FF000000"/>
        <rFont val="Linux Libertine G"/>
        <family val="2"/>
        <charset val="1"/>
      </rPr>
      <t xml:space="preserve">=5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跌价</t>
    </r>
    <r>
      <rPr>
        <sz val="9"/>
        <color rgb="FF000000"/>
        <rFont val="Linux Libertine G"/>
        <family val="2"/>
        <charset val="1"/>
      </rPr>
      <t xml:space="preserve">5-10%=3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跌价</t>
    </r>
    <r>
      <rPr>
        <sz val="9"/>
        <color rgb="FF000000"/>
        <rFont val="Linux Libertine G"/>
        <family val="2"/>
        <charset val="1"/>
      </rPr>
      <t xml:space="preserve">&gt;10%=1</t>
    </r>
    <r>
      <rPr>
        <sz val="9"/>
        <color rgb="FF000000"/>
        <rFont val="Linux Libertine G"/>
        <family val="2"/>
      </rPr>
      <t xml:space="preserve">分</t>
    </r>
  </si>
  <si>
    <t xml:space="preserve">82%</t>
  </si>
  <si>
    <r>
      <rPr>
        <sz val="9"/>
        <color rgb="FF000000"/>
        <rFont val="Linux Libertine G"/>
        <family val="2"/>
      </rPr>
      <t xml:space="preserve">存储超级周期，</t>
    </r>
    <r>
      <rPr>
        <sz val="9"/>
        <color rgb="FF000000"/>
        <rFont val="Linux Libertine G"/>
        <family val="2"/>
        <charset val="1"/>
      </rPr>
      <t xml:space="preserve">HBM</t>
    </r>
    <r>
      <rPr>
        <sz val="9"/>
        <color rgb="FF000000"/>
        <rFont val="Linux Libertine G"/>
        <family val="2"/>
      </rPr>
      <t xml:space="preserve">需求爆发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</si>
  <si>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硅片出货量增速</t>
    </r>
  </si>
  <si>
    <t xml:space="preserve">SEMI</t>
  </si>
  <si>
    <t xml:space="preserve">+15.2</t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</si>
  <si>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</si>
  <si>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68%</t>
  </si>
  <si>
    <t xml:space="preserve">硅片需求回暖，晶圆厂扩产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</si>
  <si>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设备商订单增速</t>
    </r>
  </si>
  <si>
    <r>
      <rPr>
        <sz val="9"/>
        <color rgb="FF000000"/>
        <rFont val="Linux Libertine G"/>
        <family val="2"/>
      </rPr>
      <t xml:space="preserve">应用材料</t>
    </r>
    <r>
      <rPr>
        <sz val="9"/>
        <color rgb="FF000000"/>
        <rFont val="Linux Libertine G"/>
        <family val="2"/>
        <charset val="1"/>
      </rPr>
      <t xml:space="preserve">/ASML</t>
    </r>
    <r>
      <rPr>
        <sz val="9"/>
        <color rgb="FF000000"/>
        <rFont val="Linux Libertine G"/>
        <family val="2"/>
      </rPr>
      <t xml:space="preserve">财报</t>
    </r>
  </si>
  <si>
    <t xml:space="preserve">+28</t>
  </si>
  <si>
    <r>
      <rPr>
        <sz val="9"/>
        <color rgb="FF000000"/>
        <rFont val="微软雅黑"/>
        <family val="2"/>
        <charset val="134"/>
      </rPr>
      <t xml:space="preserve">&gt;40%=10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</si>
  <si>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设备订单高增，扩产周期确认</t>
  </si>
  <si>
    <r>
      <rPr>
        <sz val="11"/>
        <color theme="1"/>
        <rFont val="Linux Libertine G"/>
        <family val="2"/>
      </rPr>
      <t xml:space="preserve">滚动</t>
    </r>
    <r>
      <rPr>
        <sz val="11"/>
        <color theme="1"/>
        <rFont val="Linux Libertine G"/>
        <family val="2"/>
        <charset val="1"/>
      </rPr>
      <t xml:space="preserve">3M/4Q</t>
    </r>
    <r>
      <rPr>
        <sz val="11"/>
        <color theme="1"/>
        <rFont val="Linux Libertine G"/>
        <family val="2"/>
      </rPr>
      <t xml:space="preserve">同比；以交付、收入或现金流确认，政策</t>
    </r>
    <r>
      <rPr>
        <sz val="11"/>
        <color theme="1"/>
        <rFont val="Linux Libertine G"/>
        <family val="2"/>
        <charset val="1"/>
      </rPr>
      <t xml:space="preserve">/</t>
    </r>
    <r>
      <rPr>
        <sz val="11"/>
        <color theme="1"/>
        <rFont val="Linux Libertine G"/>
        <family val="2"/>
      </rPr>
      <t xml:space="preserve">规划单项权重≤</t>
    </r>
    <r>
      <rPr>
        <sz val="11"/>
        <color theme="1"/>
        <rFont val="Linux Libertine G"/>
        <family val="2"/>
        <charset val="1"/>
      </rPr>
      <t xml:space="preserve">8%</t>
    </r>
    <r>
      <rPr>
        <sz val="11"/>
        <color theme="1"/>
        <rFont val="Linux Libertine G"/>
        <family val="2"/>
      </rPr>
      <t xml:space="preserve">。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</si>
  <si>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下游客户库存周转天数</t>
    </r>
  </si>
  <si>
    <t xml:space="preserve">下游公司财报</t>
  </si>
  <si>
    <t xml:space="preserve">58</t>
  </si>
  <si>
    <t xml:space="preserve">去库完成</t>
  </si>
  <si>
    <r>
      <rPr>
        <sz val="9"/>
        <color rgb="FF000000"/>
        <rFont val="Linux Libertine G"/>
        <family val="2"/>
      </rPr>
      <t xml:space="preserve">去库完成</t>
    </r>
    <r>
      <rPr>
        <sz val="9"/>
        <color rgb="FF000000"/>
        <rFont val="Linux Libertine G"/>
        <family val="2"/>
        <charset val="1"/>
      </rPr>
      <t xml:space="preserve">&lt;60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去库中</t>
    </r>
    <r>
      <rPr>
        <sz val="9"/>
        <color rgb="FF000000"/>
        <rFont val="Linux Libertine G"/>
        <family val="2"/>
        <charset val="1"/>
      </rPr>
      <t xml:space="preserve">60-80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=7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高位</t>
    </r>
    <r>
      <rPr>
        <sz val="9"/>
        <color rgb="FF000000"/>
        <rFont val="Linux Libertine G"/>
        <family val="2"/>
        <charset val="1"/>
      </rPr>
      <t xml:space="preserve">80-100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补库初期</t>
    </r>
    <r>
      <rPr>
        <sz val="9"/>
        <color rgb="FF000000"/>
        <rFont val="Linux Libertine G"/>
        <family val="2"/>
        <charset val="1"/>
      </rPr>
      <t xml:space="preserve">100-120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补库后期</t>
    </r>
    <r>
      <rPr>
        <sz val="9"/>
        <color rgb="FF000000"/>
        <rFont val="Linux Libertine G"/>
        <family val="2"/>
        <charset val="1"/>
      </rPr>
      <t xml:space="preserve">&gt;120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Linux Libertine G"/>
        <family val="2"/>
        <charset val="1"/>
      </rPr>
      <t xml:space="preserve">=3</t>
    </r>
    <r>
      <rPr>
        <sz val="9"/>
        <color rgb="FF000000"/>
        <rFont val="Linux Libertine G"/>
        <family val="2"/>
      </rPr>
      <t xml:space="preserve">分</t>
    </r>
  </si>
  <si>
    <t xml:space="preserve">库存去化完成，补库周期即将启动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</si>
  <si>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晶圆厂产能利用率</t>
    </r>
  </si>
  <si>
    <r>
      <rPr>
        <sz val="9"/>
        <color rgb="FF000000"/>
        <rFont val="Linux Libertine G"/>
        <family val="2"/>
      </rPr>
      <t xml:space="preserve">台积电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中芯国际</t>
    </r>
  </si>
  <si>
    <t xml:space="preserve">88</t>
  </si>
  <si>
    <r>
      <rPr>
        <sz val="9"/>
        <color rgb="FF000000"/>
        <rFont val="微软雅黑"/>
        <family val="2"/>
        <charset val="134"/>
      </rPr>
      <t xml:space="preserve">&gt;90%=10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,80-90%=8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,&lt;60%=2</t>
    </r>
    <r>
      <rPr>
        <sz val="9"/>
        <color rgb="FF000000"/>
        <rFont val="Linux Libertine G"/>
        <family val="2"/>
      </rPr>
      <t xml:space="preserve">分</t>
    </r>
  </si>
  <si>
    <t xml:space="preserve">产能利用率高位，供需偏紧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</si>
  <si>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智能手机出货量增速</t>
    </r>
  </si>
  <si>
    <t xml:space="preserve">IDC/Counterpoint</t>
  </si>
  <si>
    <r>
      <rPr>
        <sz val="9"/>
        <color rgb="FF000000"/>
        <rFont val="Linux Libertine G"/>
        <family val="2"/>
      </rPr>
      <t xml:space="preserve">手机出货回暖，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手机换机潮</t>
    </r>
  </si>
  <si>
    <r>
      <rPr>
        <sz val="9"/>
        <color rgb="FF000000"/>
        <rFont val="微软雅黑"/>
        <family val="2"/>
        <charset val="134"/>
      </rPr>
      <t xml:space="preserve">8-PC</t>
    </r>
    <r>
      <rPr>
        <sz val="9"/>
        <color rgb="FF000000"/>
        <rFont val="Linux Libertine G"/>
        <family val="2"/>
      </rPr>
      <t xml:space="preserve">出货量增速</t>
    </r>
  </si>
  <si>
    <t xml:space="preserve">IDC/Gartner</t>
  </si>
  <si>
    <t xml:space="preserve">+3.2</t>
  </si>
  <si>
    <r>
      <rPr>
        <sz val="9"/>
        <color rgb="FF000000"/>
        <rFont val="微软雅黑"/>
        <family val="2"/>
        <charset val="134"/>
      </rPr>
      <t xml:space="preserve">PC</t>
    </r>
    <r>
      <rPr>
        <sz val="9"/>
        <color rgb="FF000000"/>
        <rFont val="Linux Libertine G"/>
        <family val="2"/>
      </rPr>
      <t xml:space="preserve">出货温和复苏，</t>
    </r>
    <r>
      <rPr>
        <sz val="9"/>
        <color rgb="FF000000"/>
        <rFont val="微软雅黑"/>
        <family val="2"/>
        <charset val="134"/>
      </rPr>
      <t xml:space="preserve">AI PC</t>
    </r>
    <r>
      <rPr>
        <sz val="9"/>
        <color rgb="FF000000"/>
        <rFont val="Linux Libertine G"/>
        <family val="2"/>
      </rPr>
      <t xml:space="preserve">渗透</t>
    </r>
  </si>
  <si>
    <r>
      <rPr>
        <sz val="9"/>
        <color rgb="FF000000"/>
        <rFont val="微软雅黑"/>
        <family val="2"/>
        <charset val="134"/>
      </rPr>
      <t xml:space="preserve">9-MLCC</t>
    </r>
    <r>
      <rPr>
        <sz val="9"/>
        <color rgb="FF000000"/>
        <rFont val="Linux Libertine G"/>
        <family val="2"/>
      </rPr>
      <t xml:space="preserve">出货量</t>
    </r>
  </si>
  <si>
    <r>
      <rPr>
        <sz val="9"/>
        <color rgb="FF000000"/>
        <rFont val="Linux Libertine G"/>
        <family val="2"/>
      </rPr>
      <t xml:space="preserve">村田</t>
    </r>
    <r>
      <rPr>
        <sz val="9"/>
        <color rgb="FF000000"/>
        <rFont val="Linux Libertine G"/>
        <family val="2"/>
        <charset val="1"/>
      </rPr>
      <t xml:space="preserve">/TDK</t>
    </r>
  </si>
  <si>
    <t xml:space="preserve">480</t>
  </si>
  <si>
    <r>
      <rPr>
        <sz val="9"/>
        <color rgb="FF000000"/>
        <rFont val="Linux Libertine G"/>
        <family val="2"/>
      </rPr>
      <t xml:space="preserve">亿颗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</si>
  <si>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,450-500=8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,400-450=6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,350-400=4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,&lt;350=2</t>
    </r>
    <r>
      <rPr>
        <sz val="9"/>
        <color rgb="FF000000"/>
        <rFont val="Linux Libertine G"/>
        <family val="2"/>
      </rPr>
      <t xml:space="preserve">分</t>
    </r>
  </si>
  <si>
    <t xml:space="preserve">被动元件出货回升，消费电子复苏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</si>
  <si>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电子企业季度毛利率</t>
    </r>
  </si>
  <si>
    <t xml:space="preserve">28</t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</si>
  <si>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</si>
  <si>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毛利率改善，产品结构优化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</si>
  <si>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电子行业固定资产投资增速</t>
    </r>
  </si>
  <si>
    <t xml:space="preserve">+12</t>
  </si>
  <si>
    <t xml:space="preserve">投资高增，产能扩张积极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</si>
  <si>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电子元器件进口金额增速</t>
    </r>
  </si>
  <si>
    <t xml:space="preserve">+15</t>
  </si>
  <si>
    <t xml:space="preserve">进口高增，国内需求旺盛</t>
  </si>
  <si>
    <t xml:space="preserve">行业景气度量化跟踪体系（参数优化版）— 家用电器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</si>
  <si>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利润交叉确认，使用季调数据。｜核心验证：更新需求、出口和产品结构；必选：地产竣工、海外订单、排产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</si>
  <si>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房地产竣工面积增速</t>
    </r>
  </si>
  <si>
    <t xml:space="preserve">-8.5</t>
  </si>
  <si>
    <t xml:space="preserve">25%</t>
  </si>
  <si>
    <t xml:space="preserve">竣工下滑，后周期需求承压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</si>
  <si>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商品房销售面积增速</t>
    </r>
  </si>
  <si>
    <t xml:space="preserve">-5.2</t>
  </si>
  <si>
    <t xml:space="preserve">销售低迷，新增需求不足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</si>
  <si>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铜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钢等原材料价格</t>
    </r>
  </si>
  <si>
    <r>
      <rPr>
        <sz val="9"/>
        <color rgb="FF000000"/>
        <rFont val="微软雅黑"/>
        <family val="2"/>
        <charset val="134"/>
      </rPr>
      <t xml:space="preserve">LME/</t>
    </r>
    <r>
      <rPr>
        <sz val="9"/>
        <color rgb="FF000000"/>
        <rFont val="Linux Libertine G"/>
        <family val="2"/>
      </rPr>
      <t xml:space="preserve">上海期货</t>
    </r>
  </si>
  <si>
    <t xml:space="preserve">-2.5</t>
  </si>
  <si>
    <t xml:space="preserve">原材料成本下降，利润端改善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</si>
  <si>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家电企业排产计划</t>
    </r>
  </si>
  <si>
    <t xml:space="preserve">产业在线</t>
  </si>
  <si>
    <t xml:space="preserve">排产温和增长，出口订单支撑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</si>
  <si>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空调销量增速</t>
    </r>
  </si>
  <si>
    <t xml:space="preserve">空调销售旺季，出口强劲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</si>
  <si>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冰箱销量增速</t>
    </r>
  </si>
  <si>
    <t xml:space="preserve">+6.5</t>
  </si>
  <si>
    <t xml:space="preserve">冰箱销售平稳，更新需求为主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</si>
  <si>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洗衣机销量增速</t>
    </r>
  </si>
  <si>
    <t xml:space="preserve">+4.2</t>
  </si>
  <si>
    <t xml:space="preserve">洗衣机销售温和增长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</si>
  <si>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家电出口金额增速</t>
    </r>
  </si>
  <si>
    <t xml:space="preserve">70%</t>
  </si>
  <si>
    <t xml:space="preserve">出口高增，海外需求旺盛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</si>
  <si>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家电企业季度净利润率</t>
    </r>
  </si>
  <si>
    <t xml:space="preserve">8.5</t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</si>
  <si>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</si>
  <si>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净利率改善，成本红利释放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</si>
  <si>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20%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</si>
  <si>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家电行业库存周转天数</t>
    </r>
  </si>
  <si>
    <t xml:space="preserve">42</t>
  </si>
  <si>
    <r>
      <rPr>
        <sz val="9"/>
        <color rgb="FF000000"/>
        <rFont val="微软雅黑"/>
        <family val="2"/>
        <charset val="134"/>
      </rPr>
      <t xml:space="preserve">&lt;40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</si>
  <si>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家电零售均价变化</t>
    </r>
  </si>
  <si>
    <t xml:space="preserve">奥维云网</t>
  </si>
  <si>
    <t xml:space="preserve">均价温和上涨，产品结构升级</t>
  </si>
  <si>
    <t xml:space="preserve">行业景气度量化跟踪体系（参数优化版）— 食品饮料</t>
  </si>
  <si>
    <r>
      <rPr>
        <b val="true"/>
        <sz val="9"/>
        <color rgb="FF000000"/>
        <rFont val="Linux Libertine G"/>
        <family val="2"/>
      </rPr>
      <t xml:space="preserve">默认阶段框架：防御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成熟｜先行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=30%/45%/25%</t>
    </r>
    <r>
      <rPr>
        <b val="true"/>
        <sz val="9"/>
        <color rgb="FF000000"/>
        <rFont val="Linux Libertine G"/>
        <family val="2"/>
      </rPr>
      <t xml:space="preserve">。同步经营和现金流优先；先行指标只作边际变化确认。｜核心验证：动销、渠道与价格带；必选：经销商库存、终端动销、批价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</si>
  <si>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粮食价格变化</t>
    </r>
  </si>
  <si>
    <t xml:space="preserve">+2.8</t>
  </si>
  <si>
    <r>
      <rPr>
        <sz val="9"/>
        <color rgb="FF000000"/>
        <rFont val="微软雅黑"/>
        <family val="2"/>
        <charset val="134"/>
      </rPr>
      <t xml:space="preserve">&lt;3%=10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,&gt;10%=2</t>
    </r>
    <r>
      <rPr>
        <sz val="9"/>
        <color rgb="FF000000"/>
        <rFont val="Linux Libertine G"/>
        <family val="2"/>
      </rPr>
      <t xml:space="preserve">分</t>
    </r>
  </si>
  <si>
    <t xml:space="preserve">粮价温和上涨，成本端可控</t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</si>
  <si>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30%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</si>
  <si>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包材价格变化</t>
    </r>
  </si>
  <si>
    <t xml:space="preserve">生意社</t>
  </si>
  <si>
    <t xml:space="preserve">-4.5</t>
  </si>
  <si>
    <t xml:space="preserve">包材成本下降，利润端改善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</si>
  <si>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消费者信心指数</t>
    </r>
  </si>
  <si>
    <t xml:space="preserve">信心指数低迷，消费意愿偏弱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</si>
  <si>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社会消费品零售总额增速</t>
    </r>
  </si>
  <si>
    <t xml:space="preserve">+5.2</t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</si>
  <si>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</si>
  <si>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社零温和增长，消费复苏缓慢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</si>
  <si>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白酒批价</t>
    </r>
  </si>
  <si>
    <t xml:space="preserve">今日酒价</t>
  </si>
  <si>
    <t xml:space="preserve">2650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</si>
  <si>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瓶</t>
    </r>
  </si>
  <si>
    <r>
      <rPr>
        <sz val="9"/>
        <color rgb="FF000000"/>
        <rFont val="微软雅黑"/>
        <family val="2"/>
        <charset val="134"/>
      </rPr>
      <t xml:space="preserve">&gt;2800=10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,2500-2800=8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,2200-2500=6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,2000-2200=4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,&lt;2000=2</t>
    </r>
    <r>
      <rPr>
        <sz val="9"/>
        <color rgb="FF000000"/>
        <rFont val="Linux Libertine G"/>
        <family val="2"/>
      </rPr>
      <t xml:space="preserve">分</t>
    </r>
  </si>
  <si>
    <t xml:space="preserve">茅台批价坚挺，高端酒需求稳定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</si>
  <si>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乳制品产量增速</t>
    </r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</si>
  <si>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,-3-0%=4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,&lt;-3%=2</t>
    </r>
    <r>
      <rPr>
        <sz val="9"/>
        <color rgb="FF000000"/>
        <rFont val="Linux Libertine G"/>
        <family val="2"/>
      </rPr>
      <t xml:space="preserve">分</t>
    </r>
  </si>
  <si>
    <t xml:space="preserve">乳制品产量温和增长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</si>
  <si>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啤酒产量增速</t>
    </r>
  </si>
  <si>
    <t xml:space="preserve">啤酒产量平稳，旺季来临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</si>
  <si>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调味品产量增速</t>
    </r>
  </si>
  <si>
    <t xml:space="preserve">中国调味品协会</t>
  </si>
  <si>
    <t xml:space="preserve">调味品产量温和增长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</si>
  <si>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食品饮料企业季度</t>
    </r>
    <r>
      <rPr>
        <sz val="9"/>
        <color rgb="FF000000"/>
        <rFont val="微软雅黑"/>
        <family val="2"/>
        <charset val="134"/>
      </rPr>
      <t xml:space="preserve">ROE</t>
    </r>
  </si>
  <si>
    <t xml:space="preserve">16</t>
  </si>
  <si>
    <r>
      <rPr>
        <sz val="9"/>
        <color rgb="FF000000"/>
        <rFont val="微软雅黑"/>
        <family val="2"/>
        <charset val="134"/>
      </rPr>
      <t xml:space="preserve">&gt;20%=10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</si>
  <si>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 ROE</t>
    </r>
    <r>
      <rPr>
        <sz val="9"/>
        <color rgb="FF000000"/>
        <rFont val="Linux Libertine G"/>
        <family val="2"/>
      </rPr>
      <t xml:space="preserve">稳健，盈利能力维持高位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</si>
  <si>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25%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</si>
  <si>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食品饮料行业毛利率</t>
    </r>
  </si>
  <si>
    <t xml:space="preserve">48</t>
  </si>
  <si>
    <r>
      <rPr>
        <sz val="9"/>
        <color rgb="FF000000"/>
        <rFont val="微软雅黑"/>
        <family val="2"/>
        <charset val="134"/>
      </rPr>
      <t xml:space="preserve">&gt;50%=10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,&lt;20%=2</t>
    </r>
    <r>
      <rPr>
        <sz val="9"/>
        <color rgb="FF000000"/>
        <rFont val="Linux Libertine G"/>
        <family val="2"/>
      </rPr>
      <t xml:space="preserve">分</t>
    </r>
  </si>
  <si>
    <t xml:space="preserve">毛利率改善，成本红利释放</t>
  </si>
  <si>
    <r>
      <rPr>
        <sz val="9"/>
        <color rgb="FF000000"/>
        <rFont val="微软雅黑"/>
        <family val="2"/>
        <charset val="134"/>
      </rPr>
      <t xml:space="preserve">11-CPI</t>
    </r>
    <r>
      <rPr>
        <sz val="9"/>
        <color rgb="FF000000"/>
        <rFont val="Linux Libertine G"/>
        <family val="2"/>
      </rPr>
      <t xml:space="preserve">非食品项同比</t>
    </r>
  </si>
  <si>
    <r>
      <rPr>
        <sz val="9"/>
        <color rgb="FF000000"/>
        <rFont val="微软雅黑"/>
        <family val="2"/>
        <charset val="134"/>
      </rPr>
      <t xml:space="preserve">&gt;2%=10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,&lt;-1%=2</t>
    </r>
    <r>
      <rPr>
        <sz val="9"/>
        <color rgb="FF000000"/>
        <rFont val="Linux Libertine G"/>
        <family val="2"/>
      </rPr>
      <t xml:space="preserve">分</t>
    </r>
  </si>
  <si>
    <t xml:space="preserve">非食品通胀温和，终端价格稳定</t>
  </si>
  <si>
    <t xml:space="preserve">行业景气度量化跟踪体系（参数优化版）— 纺织服饰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</si>
  <si>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利润交叉确认，使用季调数据。｜核心验证：海外库存、订单与汇率；必选：海外零售库存、订单、汇率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</si>
  <si>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棉花价格变化</t>
    </r>
  </si>
  <si>
    <r>
      <rPr>
        <sz val="9"/>
        <color rgb="FF000000"/>
        <rFont val="Linux Libertine G"/>
        <family val="2"/>
      </rPr>
      <t xml:space="preserve">郑商所</t>
    </r>
    <r>
      <rPr>
        <sz val="9"/>
        <color rgb="FF000000"/>
        <rFont val="Linux Libertine G"/>
        <family val="2"/>
        <charset val="1"/>
      </rPr>
      <t xml:space="preserve">/ICE</t>
    </r>
  </si>
  <si>
    <t xml:space="preserve">棉价回落，纺企成本压力缓解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</si>
  <si>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化纤价格变化</t>
    </r>
  </si>
  <si>
    <t xml:space="preserve">CCFEI</t>
  </si>
  <si>
    <t xml:space="preserve">-3.8</t>
  </si>
  <si>
    <t xml:space="preserve">化纤价格下行，成本端改善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</si>
  <si>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美国服装零售库存</t>
    </r>
  </si>
  <si>
    <t xml:space="preserve">美国商务部</t>
  </si>
  <si>
    <t xml:space="preserve">海外去库顺利，订单有望回流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</si>
  <si>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人民币汇率</t>
    </r>
  </si>
  <si>
    <t xml:space="preserve">中国外汇交易中心</t>
  </si>
  <si>
    <t xml:space="preserve">7.18</t>
  </si>
  <si>
    <t xml:space="preserve">贬值</t>
  </si>
  <si>
    <r>
      <rPr>
        <sz val="9"/>
        <color rgb="FF000000"/>
        <rFont val="Linux Libertine G"/>
        <family val="2"/>
      </rPr>
      <t xml:space="preserve">升值</t>
    </r>
    <r>
      <rPr>
        <sz val="9"/>
        <color rgb="FF000000"/>
        <rFont val="Linux Libertine G"/>
        <family val="2"/>
        <charset val="1"/>
      </rPr>
      <t xml:space="preserve">&gt;3%=10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升值</t>
    </r>
    <r>
      <rPr>
        <sz val="9"/>
        <color rgb="FF000000"/>
        <rFont val="Linux Libertine G"/>
        <family val="2"/>
        <charset val="1"/>
      </rPr>
      <t xml:space="preserve">0-3%=8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持平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贬值</t>
    </r>
    <r>
      <rPr>
        <sz val="9"/>
        <color rgb="FF000000"/>
        <rFont val="Linux Libertine G"/>
        <family val="2"/>
        <charset val="1"/>
      </rPr>
      <t xml:space="preserve">0-3%=4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贬值</t>
    </r>
    <r>
      <rPr>
        <sz val="9"/>
        <color rgb="FF000000"/>
        <rFont val="Linux Libertine G"/>
        <family val="2"/>
        <charset val="1"/>
      </rPr>
      <t xml:space="preserve">&gt;3%=2</t>
    </r>
    <r>
      <rPr>
        <sz val="9"/>
        <color rgb="FF000000"/>
        <rFont val="Linux Libertine G"/>
        <family val="2"/>
      </rPr>
      <t xml:space="preserve">分</t>
    </r>
  </si>
  <si>
    <t xml:space="preserve">汇率小幅贬值，利好出口竞争力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</si>
  <si>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纺织品出口金额增速</t>
    </r>
  </si>
  <si>
    <t xml:space="preserve">纺织品出口回暖，外需改善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</si>
  <si>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服装出口金额增速</t>
    </r>
  </si>
  <si>
    <t xml:space="preserve">+6.2</t>
  </si>
  <si>
    <t xml:space="preserve">服装出口温和增长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</si>
  <si>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柯桥纺织价格指数</t>
    </r>
  </si>
  <si>
    <t xml:space="preserve">柯桥指数</t>
  </si>
  <si>
    <t xml:space="preserve">104</t>
  </si>
  <si>
    <r>
      <rPr>
        <sz val="9"/>
        <color rgb="FF000000"/>
        <rFont val="微软雅黑"/>
        <family val="2"/>
        <charset val="134"/>
      </rPr>
      <t xml:space="preserve">&gt;105=10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,102-105=8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,100-102=6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,98-100=4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,&lt;98=2</t>
    </r>
    <r>
      <rPr>
        <sz val="9"/>
        <color rgb="FF000000"/>
        <rFont val="Linux Libertine G"/>
        <family val="2"/>
      </rPr>
      <t xml:space="preserve">分</t>
    </r>
  </si>
  <si>
    <t xml:space="preserve">价格指数温和回升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</si>
  <si>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纺服企业开工率</t>
    </r>
  </si>
  <si>
    <t xml:space="preserve">中国纺织工业联合会</t>
  </si>
  <si>
    <t xml:space="preserve">78</t>
  </si>
  <si>
    <t xml:space="preserve">开工率回升，订单边际改善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</si>
  <si>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纺服企业季度净利润率</t>
    </r>
  </si>
  <si>
    <t xml:space="preserve">5.5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</si>
  <si>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利润率改善，成本红利释放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</si>
  <si>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纺服行业库存周转天数</t>
    </r>
  </si>
  <si>
    <t xml:space="preserve">68</t>
  </si>
  <si>
    <r>
      <rPr>
        <sz val="9"/>
        <color rgb="FF000000"/>
        <rFont val="微软雅黑"/>
        <family val="2"/>
        <charset val="134"/>
      </rPr>
      <t xml:space="preserve">&lt;60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,75-90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,90-105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</si>
  <si>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社会消费品零售</t>
    </r>
    <r>
      <rPr>
        <sz val="9"/>
        <color rgb="FF000000"/>
        <rFont val="微软雅黑"/>
        <family val="2"/>
        <charset val="134"/>
      </rPr>
      <t xml:space="preserve">-</t>
    </r>
    <r>
      <rPr>
        <sz val="9"/>
        <color rgb="FF000000"/>
        <rFont val="Linux Libertine G"/>
        <family val="2"/>
      </rPr>
      <t xml:space="preserve">服装类</t>
    </r>
  </si>
  <si>
    <t xml:space="preserve">+3.8</t>
  </si>
  <si>
    <t xml:space="preserve">服装零售温和增长</t>
  </si>
  <si>
    <t xml:space="preserve">行业景气度量化跟踪体系（参数优化版）— 轻工制造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</si>
  <si>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利润交叉确认，使用季调数据。｜核心验证：地产后周期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出口与价差；必选：竣工、海外地产、原料与产品价差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</si>
  <si>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纸浆价格变化</t>
    </r>
  </si>
  <si>
    <r>
      <rPr>
        <sz val="9"/>
        <color rgb="FF000000"/>
        <rFont val="Linux Libertine G"/>
        <family val="2"/>
      </rPr>
      <t xml:space="preserve">针叶浆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阔叶浆</t>
    </r>
  </si>
  <si>
    <t xml:space="preserve">纸浆价格回落，造纸成本改善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</si>
  <si>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木材价格变化</t>
    </r>
  </si>
  <si>
    <t xml:space="preserve">木材指数</t>
  </si>
  <si>
    <t xml:space="preserve">木材价格下行，家具成本下降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</si>
  <si>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房地产竣工面积增速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</si>
  <si>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美国新房销售</t>
    </r>
  </si>
  <si>
    <t xml:space="preserve">美国房市回暖，出口订单有望改善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</si>
  <si>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瓦楞纸价格</t>
    </r>
  </si>
  <si>
    <t xml:space="preserve">2800</t>
  </si>
  <si>
    <r>
      <rPr>
        <sz val="9"/>
        <color rgb="FF000000"/>
        <rFont val="微软雅黑"/>
        <family val="2"/>
        <charset val="134"/>
      </rPr>
      <t xml:space="preserve">&gt;3500=10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,3200-3500=8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,2900-3200=6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,2600-2900=4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,&lt;2600=2</t>
    </r>
    <r>
      <rPr>
        <sz val="9"/>
        <color rgb="FF000000"/>
        <rFont val="Linux Libertine G"/>
        <family val="2"/>
      </rPr>
      <t xml:space="preserve">分</t>
    </r>
  </si>
  <si>
    <t xml:space="preserve">32%</t>
  </si>
  <si>
    <t xml:space="preserve">瓦楞纸价格低迷，包装需求偏弱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</si>
  <si>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双胶纸价格</t>
    </r>
  </si>
  <si>
    <t xml:space="preserve">5200</t>
  </si>
  <si>
    <r>
      <rPr>
        <sz val="9"/>
        <color rgb="FF000000"/>
        <rFont val="微软雅黑"/>
        <family val="2"/>
        <charset val="134"/>
      </rPr>
      <t xml:space="preserve">&gt;6000=10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,5500-6000=8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,5000-5500=6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,4500-5000=4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,&lt;4500=2</t>
    </r>
    <r>
      <rPr>
        <sz val="9"/>
        <color rgb="FF000000"/>
        <rFont val="Linux Libertine G"/>
        <family val="2"/>
      </rPr>
      <t xml:space="preserve">分</t>
    </r>
  </si>
  <si>
    <t xml:space="preserve">文化纸价格承压，出版需求平淡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</si>
  <si>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家具零售额增速</t>
    </r>
  </si>
  <si>
    <t xml:space="preserve">+1.5</t>
  </si>
  <si>
    <t xml:space="preserve">家具零售温和增长，更新需求为主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</si>
  <si>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造纸企业开工率</t>
    </r>
  </si>
  <si>
    <t xml:space="preserve">开工率回升，供需边际改善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</si>
  <si>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轻工企业季度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</si>
  <si>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Q1 ROE</t>
    </r>
    <r>
      <rPr>
        <sz val="9"/>
        <color rgb="FF000000"/>
        <rFont val="Linux Libertine G"/>
        <family val="2"/>
      </rPr>
      <t xml:space="preserve">改善，盈利能力修复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</si>
  <si>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轻工行业库存周转天数</t>
    </r>
  </si>
  <si>
    <r>
      <rPr>
        <sz val="9"/>
        <color rgb="FF000000"/>
        <rFont val="微软雅黑"/>
        <family val="2"/>
        <charset val="134"/>
      </rPr>
      <t xml:space="preserve">&lt;50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,80-95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,&gt;95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</si>
  <si>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轻工行业固定资产投资</t>
    </r>
  </si>
  <si>
    <t xml:space="preserve">投资温和增长，产能扩张谨慎</t>
  </si>
  <si>
    <t xml:space="preserve">行业景气度量化跟踪体系（参数优化版）— 医药生物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</si>
  <si>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。订单、库存和利用率优先；不同子行业拆分后再汇总。｜核心验证：创新、诊疗与政策支付；必选：</t>
    </r>
    <r>
      <rPr>
        <b val="true"/>
        <sz val="9"/>
        <color rgb="FF000000"/>
        <rFont val="Linux Libertine G"/>
        <family val="2"/>
        <charset val="1"/>
      </rPr>
      <t xml:space="preserve">IND/</t>
    </r>
    <r>
      <rPr>
        <b val="true"/>
        <sz val="9"/>
        <color rgb="FF000000"/>
        <rFont val="Linux Libertine G"/>
        <family val="2"/>
      </rPr>
      <t xml:space="preserve">注册、医保政策、研发融资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</si>
  <si>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数量</t>
    </r>
  </si>
  <si>
    <t xml:space="preserve">CDE</t>
  </si>
  <si>
    <t xml:space="preserve">185</t>
  </si>
  <si>
    <r>
      <rPr>
        <sz val="9"/>
        <color rgb="FF000000"/>
        <rFont val="Linux Libertine G"/>
        <family val="2"/>
      </rPr>
      <t xml:space="preserve">个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</si>
  <si>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</si>
  <si>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创新药申报活跃，研发管线丰富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</si>
  <si>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医保谈判降价幅度</t>
    </r>
  </si>
  <si>
    <t xml:space="preserve">国家医保局</t>
  </si>
  <si>
    <t xml:space="preserve">45</t>
  </si>
  <si>
    <t xml:space="preserve">温和</t>
  </si>
  <si>
    <r>
      <rPr>
        <sz val="9"/>
        <color rgb="FF000000"/>
        <rFont val="微软雅黑"/>
        <family val="2"/>
        <charset val="134"/>
      </rPr>
      <t xml:space="preserve">&lt;40%=10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,&gt;70%=2</t>
    </r>
    <r>
      <rPr>
        <sz val="9"/>
        <color rgb="FF000000"/>
        <rFont val="Linux Libertine G"/>
        <family val="2"/>
      </rPr>
      <t xml:space="preserve">分</t>
    </r>
  </si>
  <si>
    <t xml:space="preserve">降价幅度可控，创新药定价环境改善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</si>
  <si>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原料药价格变化</t>
    </r>
  </si>
  <si>
    <t xml:space="preserve">健康网</t>
  </si>
  <si>
    <t xml:space="preserve">原料药价格回落，制剂成本改善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</si>
  <si>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全球生物医药融资额</t>
    </r>
  </si>
  <si>
    <t xml:space="preserve">PitchBook</t>
  </si>
  <si>
    <r>
      <rPr>
        <sz val="9"/>
        <color rgb="FF000000"/>
        <rFont val="微软雅黑"/>
        <family val="2"/>
        <charset val="134"/>
      </rPr>
      <t xml:space="preserve">&gt;20%=10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</si>
  <si>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融资回暖，创新药估值修复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</si>
  <si>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医药制造业收入增速</t>
    </r>
  </si>
  <si>
    <t xml:space="preserve">制造业收入稳健增长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</si>
  <si>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化学药品原药产量</t>
    </r>
  </si>
  <si>
    <t xml:space="preserve">原料药产量温和增长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</si>
  <si>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医疗器械出口增速</t>
    </r>
  </si>
  <si>
    <t xml:space="preserve">器械出口强劲，海外需求旺盛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</si>
  <si>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医院诊疗人次增速</t>
    </r>
  </si>
  <si>
    <t xml:space="preserve">国家卫健委</t>
  </si>
  <si>
    <t xml:space="preserve">诊疗人次恢复，院内需求回暖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</si>
  <si>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医药企业季度毛利率</t>
    </r>
  </si>
  <si>
    <r>
      <rPr>
        <sz val="9"/>
        <color rgb="FF000000"/>
        <rFont val="微软雅黑"/>
        <family val="2"/>
        <charset val="134"/>
      </rPr>
      <t xml:space="preserve">&gt;60%=10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</si>
  <si>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毛利率稳健，产品结构优化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</si>
  <si>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医药企业研发费用率</t>
    </r>
  </si>
  <si>
    <t xml:space="preserve">12</t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</si>
  <si>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,&lt;2%=2</t>
    </r>
    <r>
      <rPr>
        <sz val="9"/>
        <color rgb="FF000000"/>
        <rFont val="Linux Libertine G"/>
        <family val="2"/>
      </rPr>
      <t xml:space="preserve">分</t>
    </r>
  </si>
  <si>
    <t xml:space="preserve">研发投入维持高位，创新转型加速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</si>
  <si>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医药制造业利润增速</t>
    </r>
  </si>
  <si>
    <t xml:space="preserve">利润增速回升，盈利能力改善</t>
  </si>
  <si>
    <t xml:space="preserve">行业景气度量化跟踪体系（参数优化版）— 公用事业</t>
  </si>
  <si>
    <r>
      <rPr>
        <b val="true"/>
        <sz val="9"/>
        <color rgb="FF000000"/>
        <rFont val="Linux Libertine G"/>
        <family val="2"/>
      </rPr>
      <t xml:space="preserve">默认阶段框架：防御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成熟｜先行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=30%/45%/25%</t>
    </r>
    <r>
      <rPr>
        <b val="true"/>
        <sz val="9"/>
        <color rgb="FF000000"/>
        <rFont val="Linux Libertine G"/>
        <family val="2"/>
      </rPr>
      <t xml:space="preserve">。同步经营和现金流优先；先行指标只作边际变化确认。｜核心验证：利用小时、燃料传导与资本回报；必选：来水、燃料、电价机制、装机进度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</si>
  <si>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动力煤价格变化</t>
    </r>
  </si>
  <si>
    <t xml:space="preserve">28%</t>
  </si>
  <si>
    <t xml:space="preserve">煤价大幅回落，火电成本显著改善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</si>
  <si>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天然气进口价格</t>
    </r>
  </si>
  <si>
    <t xml:space="preserve">-5.5</t>
  </si>
  <si>
    <t xml:space="preserve">气价回落，燃气发电成本下降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</si>
  <si>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来水情况</t>
    </r>
    <r>
      <rPr>
        <sz val="9"/>
        <color rgb="FF000000"/>
        <rFont val="微软雅黑"/>
        <family val="2"/>
        <charset val="134"/>
      </rPr>
      <t xml:space="preserve">(</t>
    </r>
    <r>
      <rPr>
        <sz val="9"/>
        <color rgb="FF000000"/>
        <rFont val="Linux Libertine G"/>
        <family val="2"/>
      </rPr>
      <t xml:space="preserve">三峡出库流量</t>
    </r>
    <r>
      <rPr>
        <sz val="9"/>
        <color rgb="FF000000"/>
        <rFont val="微软雅黑"/>
        <family val="2"/>
        <charset val="134"/>
      </rPr>
      <t xml:space="preserve">)</t>
    </r>
  </si>
  <si>
    <t xml:space="preserve">长江水利委员会</t>
  </si>
  <si>
    <t xml:space="preserve">18500</t>
  </si>
  <si>
    <t xml:space="preserve">m³/s</t>
  </si>
  <si>
    <t xml:space="preserve">充沛</t>
  </si>
  <si>
    <r>
      <rPr>
        <sz val="9"/>
        <color rgb="FF000000"/>
        <rFont val="微软雅黑"/>
        <family val="2"/>
        <charset val="134"/>
      </rPr>
      <t xml:space="preserve">&gt;20000=10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,15000-20000=8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,10000-15000=6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,5000-10000=4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,&lt;5000=2</t>
    </r>
    <r>
      <rPr>
        <sz val="9"/>
        <color rgb="FF000000"/>
        <rFont val="Linux Libertine G"/>
        <family val="2"/>
      </rPr>
      <t xml:space="preserve">分</t>
    </r>
  </si>
  <si>
    <t xml:space="preserve">来水充沛，水电出力提升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</si>
  <si>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新能源装机规划</t>
    </r>
  </si>
  <si>
    <t xml:space="preserve">国家能源局</t>
  </si>
  <si>
    <t xml:space="preserve">120</t>
  </si>
  <si>
    <t xml:space="preserve">GW</t>
  </si>
  <si>
    <t xml:space="preserve">高增</t>
  </si>
  <si>
    <r>
      <rPr>
        <sz val="9"/>
        <color rgb="FF000000"/>
        <rFont val="微软雅黑"/>
        <family val="2"/>
        <charset val="134"/>
      </rPr>
      <t xml:space="preserve">&gt;100=10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,50-70=6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,&lt;30=2</t>
    </r>
    <r>
      <rPr>
        <sz val="9"/>
        <color rgb="FF000000"/>
        <rFont val="Linux Libertine G"/>
        <family val="2"/>
      </rPr>
      <t xml:space="preserve">分</t>
    </r>
  </si>
  <si>
    <t xml:space="preserve">新能源装机规划创新高，绿电转型加速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</si>
  <si>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全社会用电量增速</t>
    </r>
  </si>
  <si>
    <t xml:space="preserve">用电量稳健增长，经济活力回升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</si>
  <si>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火电利用小时数</t>
    </r>
  </si>
  <si>
    <t xml:space="preserve">1180</t>
  </si>
  <si>
    <r>
      <rPr>
        <sz val="9"/>
        <color rgb="FF000000"/>
        <rFont val="Linux Libertine G"/>
        <family val="2"/>
      </rPr>
      <t xml:space="preserve">小时</t>
    </r>
    <r>
      <rPr>
        <sz val="9"/>
        <color rgb="FF000000"/>
        <rFont val="Linux Libertine G"/>
        <family val="2"/>
        <charset val="1"/>
      </rPr>
      <t xml:space="preserve">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Linux Libertine G"/>
        <family val="2"/>
        <charset val="1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</si>
  <si>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&gt;4200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,4000-4200=8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,3800-4000=6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,3600-3800=4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,&lt;3600=2</t>
    </r>
    <r>
      <rPr>
        <sz val="9"/>
        <color rgb="FF000000"/>
        <rFont val="Linux Libertine G"/>
        <family val="2"/>
      </rPr>
      <t xml:space="preserve">分</t>
    </r>
  </si>
  <si>
    <t xml:space="preserve">火电利用小时回升，煤电需求改善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</si>
  <si>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水电利用小时数</t>
    </r>
  </si>
  <si>
    <t xml:space="preserve">980</t>
  </si>
  <si>
    <r>
      <rPr>
        <sz val="9"/>
        <color rgb="FF000000"/>
        <rFont val="微软雅黑"/>
        <family val="2"/>
        <charset val="134"/>
      </rPr>
      <t xml:space="preserve">&gt;3800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,3500-3800=8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,3200-3500=6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,2900-3200=4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,&lt;2900=2</t>
    </r>
    <r>
      <rPr>
        <sz val="9"/>
        <color rgb="FF000000"/>
        <rFont val="Linux Libertine G"/>
        <family val="2"/>
      </rPr>
      <t xml:space="preserve">分</t>
    </r>
  </si>
  <si>
    <t xml:space="preserve">水电利用小时高增，来水偏丰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</si>
  <si>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风电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光伏利用小时数</t>
    </r>
  </si>
  <si>
    <r>
      <rPr>
        <sz val="9"/>
        <color rgb="FF000000"/>
        <rFont val="微软雅黑"/>
        <family val="2"/>
        <charset val="134"/>
      </rPr>
      <t xml:space="preserve">&gt;</t>
    </r>
    <r>
      <rPr>
        <sz val="9"/>
        <color rgb="FF000000"/>
        <rFont val="Linux Libertine G"/>
        <family val="2"/>
      </rPr>
      <t xml:space="preserve">均值</t>
    </r>
    <r>
      <rPr>
        <sz val="9"/>
        <color rgb="FF000000"/>
        <rFont val="微软雅黑"/>
        <family val="2"/>
        <charset val="134"/>
      </rPr>
      <t xml:space="preserve">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</si>
  <si>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新能源利用小时改善，消纳好转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</si>
  <si>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电力企业季度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</si>
  <si>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Q1 ROE</t>
    </r>
    <r>
      <rPr>
        <sz val="9"/>
        <color rgb="FF000000"/>
        <rFont val="Linux Libertine G"/>
        <family val="2"/>
      </rPr>
      <t xml:space="preserve">改善，煤价红利释放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</si>
  <si>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电力行业资产负债率</t>
    </r>
  </si>
  <si>
    <t xml:space="preserve">62</t>
  </si>
  <si>
    <r>
      <rPr>
        <sz val="9"/>
        <color rgb="FF000000"/>
        <rFont val="微软雅黑"/>
        <family val="2"/>
        <charset val="134"/>
      </rPr>
      <t xml:space="preserve">&lt;60%=10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,60-65%=8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,&gt;75%=2</t>
    </r>
    <r>
      <rPr>
        <sz val="9"/>
        <color rgb="FF000000"/>
        <rFont val="Linux Libertine G"/>
        <family val="2"/>
      </rPr>
      <t xml:space="preserve">分</t>
    </r>
  </si>
  <si>
    <t xml:space="preserve">负债率下降，财务结构优化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</si>
  <si>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电力行业固定资产投资</t>
    </r>
  </si>
  <si>
    <r>
      <rPr>
        <sz val="9"/>
        <color rgb="FF000000"/>
        <rFont val="Linux Libertine G"/>
        <family val="2"/>
      </rPr>
      <t xml:space="preserve">投资高增，电网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新能源建设加速</t>
    </r>
  </si>
  <si>
    <t xml:space="preserve">行业景气度量化跟踪体系（参数优化版）— 交通运输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</si>
  <si>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利润交叉确认，使用季调数据。｜核心验证：运价、运量与供给；必选：运力投放、运价、油价</t>
    </r>
  </si>
  <si>
    <r>
      <rPr>
        <sz val="9"/>
        <color rgb="FF000000"/>
        <rFont val="微软雅黑"/>
        <family val="2"/>
        <charset val="134"/>
      </rPr>
      <t xml:space="preserve">1-BDI</t>
    </r>
    <r>
      <rPr>
        <sz val="9"/>
        <color rgb="FF000000"/>
        <rFont val="Linux Libertine G"/>
        <family val="2"/>
      </rPr>
      <t xml:space="preserve">指数</t>
    </r>
  </si>
  <si>
    <t xml:space="preserve">波罗的海交易所</t>
  </si>
  <si>
    <t xml:space="preserve">1850</t>
  </si>
  <si>
    <r>
      <rPr>
        <sz val="9"/>
        <color rgb="FF000000"/>
        <rFont val="微软雅黑"/>
        <family val="2"/>
        <charset val="134"/>
      </rPr>
      <t xml:space="preserve">&gt;2000=10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,1500-2000=8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,1000-1500=6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,500-1000=4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,&lt;500=2</t>
    </r>
    <r>
      <rPr>
        <sz val="9"/>
        <color rgb="FF000000"/>
        <rFont val="Linux Libertine G"/>
        <family val="2"/>
      </rPr>
      <t xml:space="preserve">分</t>
    </r>
  </si>
  <si>
    <t xml:space="preserve">干散货运价回升，大宗商品贸易活跃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</si>
  <si>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原油运输指数</t>
    </r>
    <r>
      <rPr>
        <sz val="9"/>
        <color rgb="FF000000"/>
        <rFont val="微软雅黑"/>
        <family val="2"/>
        <charset val="134"/>
      </rPr>
      <t xml:space="preserve">(BDTI)</t>
    </r>
  </si>
  <si>
    <t xml:space="preserve">1150</t>
  </si>
  <si>
    <r>
      <rPr>
        <sz val="9"/>
        <color rgb="FF000000"/>
        <rFont val="微软雅黑"/>
        <family val="2"/>
        <charset val="134"/>
      </rPr>
      <t xml:space="preserve">&gt;1200=10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,900-1200=8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,600-900=6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,400-600=4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,&lt;400=2</t>
    </r>
    <r>
      <rPr>
        <sz val="9"/>
        <color rgb="FF000000"/>
        <rFont val="Linux Libertine G"/>
        <family val="2"/>
      </rPr>
      <t xml:space="preserve">分</t>
    </r>
  </si>
  <si>
    <t xml:space="preserve">油运运价高位，红海绕行支撑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</si>
  <si>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集装箱运价指数</t>
    </r>
    <r>
      <rPr>
        <sz val="9"/>
        <color rgb="FF000000"/>
        <rFont val="微软雅黑"/>
        <family val="2"/>
        <charset val="134"/>
      </rPr>
      <t xml:space="preserve">(CCFI)</t>
    </r>
  </si>
  <si>
    <t xml:space="preserve">上海航运交易所</t>
  </si>
  <si>
    <t xml:space="preserve">1250</t>
  </si>
  <si>
    <r>
      <rPr>
        <sz val="9"/>
        <color rgb="FF000000"/>
        <rFont val="微软雅黑"/>
        <family val="2"/>
        <charset val="134"/>
      </rPr>
      <t xml:space="preserve">&gt;1200=10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,1000-1200=8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,800-1000=6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,600-800=4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,&lt;600=2</t>
    </r>
    <r>
      <rPr>
        <sz val="9"/>
        <color rgb="FF000000"/>
        <rFont val="Linux Libertine G"/>
        <family val="2"/>
      </rPr>
      <t xml:space="preserve">分</t>
    </r>
  </si>
  <si>
    <t xml:space="preserve">集运运价回升，出口需求强劲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</si>
  <si>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航空煤油价格</t>
    </r>
  </si>
  <si>
    <t xml:space="preserve">IATA</t>
  </si>
  <si>
    <t xml:space="preserve">航油价格回落，航空成本改善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</si>
  <si>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港口货物吞吐量增速</t>
    </r>
  </si>
  <si>
    <t xml:space="preserve">交通运输部</t>
  </si>
  <si>
    <t xml:space="preserve">+5.5</t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</si>
  <si>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,0-3%=6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,-3-0%=4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,&lt;-3%=2</t>
    </r>
    <r>
      <rPr>
        <sz val="9"/>
        <color rgb="FF000000"/>
        <rFont val="Linux Libertine G"/>
        <family val="2"/>
      </rPr>
      <t xml:space="preserve">分</t>
    </r>
  </si>
  <si>
    <t xml:space="preserve">港口吞吐量增长，贸易活动活跃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</si>
  <si>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民航客运量增速</t>
    </r>
  </si>
  <si>
    <t xml:space="preserve">民航局</t>
  </si>
  <si>
    <t xml:space="preserve">+16.5</t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</si>
  <si>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</si>
  <si>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民航客运强劲恢复，出行需求旺盛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</si>
  <si>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铁路货运量增速</t>
    </r>
  </si>
  <si>
    <t xml:space="preserve">国铁集团</t>
  </si>
  <si>
    <t xml:space="preserve">+4.5</t>
  </si>
  <si>
    <t xml:space="preserve">铁路货运平稳增长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</si>
  <si>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快递业务量增速</t>
    </r>
  </si>
  <si>
    <t xml:space="preserve">国家邮政局</t>
  </si>
  <si>
    <t xml:space="preserve">快递业务量高增，电商消费活跃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</si>
  <si>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交运企业季度净利润</t>
    </r>
  </si>
  <si>
    <t xml:space="preserve">85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</si>
  <si>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净利润改善，油运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航空贡献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</si>
  <si>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交运行业资产负债率</t>
    </r>
  </si>
  <si>
    <r>
      <rPr>
        <sz val="9"/>
        <color rgb="FF000000"/>
        <rFont val="微软雅黑"/>
        <family val="2"/>
        <charset val="134"/>
      </rPr>
      <t xml:space="preserve">&lt;55%=10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,60-65%=6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</si>
  <si>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交运行业固定资产投资</t>
    </r>
  </si>
  <si>
    <t xml:space="preserve">投资温和增长，基础设施完善</t>
  </si>
  <si>
    <t xml:space="preserve">行业景气度量化跟踪体系（参数优化版）— 房地产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</si>
  <si>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。先用库存、供给、订单确认反转；价格本身不能直接等同高景气。｜核心验证：融资、销售与库存去化；必选：按揭利率、融资、限购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供给、城市库存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</si>
  <si>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百城土地成交面积增速</t>
    </r>
  </si>
  <si>
    <t xml:space="preserve">中指院</t>
  </si>
  <si>
    <t xml:space="preserve">-15</t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</si>
  <si>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</si>
  <si>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22%</t>
  </si>
  <si>
    <t xml:space="preserve">土地成交低迷，房企拿地谨慎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</si>
  <si>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房企拿地金额增速</t>
    </r>
  </si>
  <si>
    <t xml:space="preserve">-18</t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</si>
  <si>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,&lt;-20%=2</t>
    </r>
    <r>
      <rPr>
        <sz val="9"/>
        <color rgb="FF000000"/>
        <rFont val="Linux Libertine G"/>
        <family val="2"/>
      </rPr>
      <t xml:space="preserve">分</t>
    </r>
  </si>
  <si>
    <t xml:space="preserve">20%</t>
  </si>
  <si>
    <t xml:space="preserve">拿地金额大幅下滑，投资意愿弱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</si>
  <si>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房贷利率</t>
    </r>
  </si>
  <si>
    <t xml:space="preserve">央行</t>
  </si>
  <si>
    <t xml:space="preserve">3.45</t>
  </si>
  <si>
    <r>
      <rPr>
        <sz val="9"/>
        <color rgb="FF000000"/>
        <rFont val="微软雅黑"/>
        <family val="2"/>
        <charset val="134"/>
      </rPr>
      <t xml:space="preserve">&lt;3.5%=10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,3.5-4.0%=8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,4.0-4.5%=6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,4.5-5.0%=4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,&gt;5.0%=2</t>
    </r>
    <r>
      <rPr>
        <sz val="9"/>
        <color rgb="FF000000"/>
        <rFont val="Linux Libertine G"/>
        <family val="2"/>
      </rPr>
      <t xml:space="preserve">分</t>
    </r>
  </si>
  <si>
    <t xml:space="preserve">利率处于历史低位，但刺激效果有限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</si>
  <si>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房地产信托发行规模</t>
    </r>
  </si>
  <si>
    <t xml:space="preserve">用益信托</t>
  </si>
  <si>
    <t xml:space="preserve">-25</t>
  </si>
  <si>
    <t xml:space="preserve">18%</t>
  </si>
  <si>
    <t xml:space="preserve">信托融资萎缩，房企资金链紧张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</si>
  <si>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商品房销售面积增速</t>
    </r>
  </si>
  <si>
    <t xml:space="preserve">销售持续低迷，市场信心不足</t>
  </si>
  <si>
    <r>
      <rPr>
        <sz val="9"/>
        <color rgb="FF000000"/>
        <rFont val="微软雅黑"/>
        <family val="2"/>
        <charset val="134"/>
      </rPr>
      <t xml:space="preserve">6-70</t>
    </r>
    <r>
      <rPr>
        <sz val="9"/>
        <color rgb="FF000000"/>
        <rFont val="Linux Libertine G"/>
        <family val="2"/>
      </rPr>
      <t xml:space="preserve">城新建商品住宅价格指数</t>
    </r>
  </si>
  <si>
    <t xml:space="preserve">-0.8</t>
  </si>
  <si>
    <r>
      <rPr>
        <sz val="9"/>
        <color rgb="FF000000"/>
        <rFont val="微软雅黑"/>
        <family val="2"/>
        <charset val="134"/>
      </rPr>
      <t xml:space="preserve">&gt;0.5%=10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,0-0.5%=8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,-0.5-0%=6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,-1--0.5%=4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,&lt;-1%=2</t>
    </r>
    <r>
      <rPr>
        <sz val="9"/>
        <color rgb="FF000000"/>
        <rFont val="Linux Libertine G"/>
        <family val="2"/>
      </rPr>
      <t xml:space="preserve">分</t>
    </r>
  </si>
  <si>
    <t xml:space="preserve">房价环比下跌，市场调整持续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</si>
  <si>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二手房挂牌量变化</t>
    </r>
  </si>
  <si>
    <t xml:space="preserve">贝壳研究院</t>
  </si>
  <si>
    <t xml:space="preserve">挂牌量增加，供给压力加大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</si>
  <si>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房地产新开工面积增速</t>
    </r>
  </si>
  <si>
    <t xml:space="preserve">-22</t>
  </si>
  <si>
    <t xml:space="preserve">新开工大幅下滑，供给端收缩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</si>
  <si>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房地产竣工面积增速</t>
    </r>
  </si>
  <si>
    <t xml:space="preserve">竣工下滑，后周期产业承压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</si>
  <si>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房企季度净利润</t>
    </r>
  </si>
  <si>
    <t xml:space="preserve">-35</t>
  </si>
  <si>
    <t xml:space="preserve">亏损</t>
  </si>
  <si>
    <r>
      <rPr>
        <sz val="9"/>
        <color rgb="FF000000"/>
        <rFont val="微软雅黑"/>
        <family val="2"/>
        <charset val="134"/>
      </rPr>
      <t xml:space="preserve">&gt;100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</si>
  <si>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多数房企亏损，盈利能力恶化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</si>
  <si>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房地产投资增速</t>
    </r>
  </si>
  <si>
    <t xml:space="preserve">-10.5</t>
  </si>
  <si>
    <t xml:space="preserve">投资持续下滑，拖累经济增长</t>
  </si>
  <si>
    <t xml:space="preserve">行业景气度量化跟踪体系（参数优化版）— 商贸零售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</si>
  <si>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利润交叉确认，使用季调数据。｜核心验证：客流、同店和渠道效率；必选：消费者信心、可支配收入、流量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</si>
  <si>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社会消费品零售总额增速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</si>
  <si>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消费者信心指数</t>
    </r>
  </si>
  <si>
    <t xml:space="preserve">信心指数低迷，消费意愿不足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</si>
  <si>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人均可支配收入增速</t>
    </r>
  </si>
  <si>
    <t xml:space="preserve">+5.8</t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</si>
  <si>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,4-6%=6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,&lt;2%=2</t>
    </r>
    <r>
      <rPr>
        <sz val="9"/>
        <color rgb="FF000000"/>
        <rFont val="Linux Libertine G"/>
        <family val="2"/>
      </rPr>
      <t xml:space="preserve">分</t>
    </r>
  </si>
  <si>
    <t xml:space="preserve">收入增速放缓，消费能力受限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</si>
  <si>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网购渗透率</t>
    </r>
  </si>
  <si>
    <t xml:space="preserve">商务部</t>
  </si>
  <si>
    <t xml:space="preserve">28.5</t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</si>
  <si>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,27-30%=8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,24-27%=6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,21-24%=4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,&lt;21%=2</t>
    </r>
    <r>
      <rPr>
        <sz val="9"/>
        <color rgb="FF000000"/>
        <rFont val="Linux Libertine G"/>
        <family val="2"/>
      </rPr>
      <t xml:space="preserve">分</t>
    </r>
  </si>
  <si>
    <t xml:space="preserve">线上渗透率提升，渠道结构优化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</si>
  <si>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网上零售额增速</t>
    </r>
  </si>
  <si>
    <t xml:space="preserve">线上零售强劲，电商活力充沛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</si>
  <si>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限额以上零售企业收入</t>
    </r>
  </si>
  <si>
    <t xml:space="preserve">+4.8</t>
  </si>
  <si>
    <t xml:space="preserve">限额以上零售温和增长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</si>
  <si>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超市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百货销售额增速</t>
    </r>
  </si>
  <si>
    <t xml:space="preserve">线下零售缓慢复苏</t>
  </si>
  <si>
    <t xml:space="preserve">快递高增，电商消费活跃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</si>
  <si>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零售企业季度净利润率</t>
    </r>
  </si>
  <si>
    <t xml:space="preserve">3.5</t>
  </si>
  <si>
    <r>
      <rPr>
        <sz val="9"/>
        <color rgb="FF000000"/>
        <rFont val="微软雅黑"/>
        <family val="2"/>
        <charset val="134"/>
      </rPr>
      <t xml:space="preserve">&gt;5%=10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,1-3%=6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</si>
  <si>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利润率改善，但仍处低位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</si>
  <si>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零售行业库存周转天数</t>
    </r>
  </si>
  <si>
    <r>
      <rPr>
        <sz val="9"/>
        <color rgb="FF000000"/>
        <rFont val="微软雅黑"/>
        <family val="2"/>
        <charset val="134"/>
      </rPr>
      <t xml:space="preserve">11-CPI</t>
    </r>
    <r>
      <rPr>
        <sz val="9"/>
        <color rgb="FF000000"/>
        <rFont val="Linux Libertine G"/>
        <family val="2"/>
      </rPr>
      <t xml:space="preserve">同比</t>
    </r>
  </si>
  <si>
    <t xml:space="preserve">+0.3</t>
  </si>
  <si>
    <t xml:space="preserve">通胀温和，终端价格稳定</t>
  </si>
  <si>
    <t xml:space="preserve">行业景气度量化跟踪体系（参数优化版）— 社会服务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</si>
  <si>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利润交叉确认，使用季调数据。｜核心验证：预订、客流与价格；必选：预订、客座率、出行意愿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</si>
  <si>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居民可支配收入增速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</si>
  <si>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节假日旅游预订量</t>
    </r>
  </si>
  <si>
    <r>
      <rPr>
        <sz val="9"/>
        <color rgb="FF000000"/>
        <rFont val="Linux Libertine G"/>
        <family val="2"/>
      </rPr>
      <t xml:space="preserve">携程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去哪儿</t>
    </r>
  </si>
  <si>
    <t xml:space="preserve">旅游预订火爆，出行需求旺盛</t>
  </si>
  <si>
    <t xml:space="preserve">节假日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</si>
  <si>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航空客座率</t>
    </r>
  </si>
  <si>
    <t xml:space="preserve">客座率回升，航空运力恢复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</si>
  <si>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酒店</t>
    </r>
    <r>
      <rPr>
        <sz val="9"/>
        <color rgb="FF000000"/>
        <rFont val="微软雅黑"/>
        <family val="2"/>
        <charset val="134"/>
      </rPr>
      <t xml:space="preserve">RevPAR</t>
    </r>
  </si>
  <si>
    <t xml:space="preserve">STR</t>
  </si>
  <si>
    <t xml:space="preserve">380</t>
  </si>
  <si>
    <t xml:space="preserve">元</t>
  </si>
  <si>
    <r>
      <rPr>
        <sz val="9"/>
        <color rgb="FF000000"/>
        <rFont val="微软雅黑"/>
        <family val="2"/>
        <charset val="134"/>
      </rPr>
      <t xml:space="preserve">&gt;400=10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,350-400=8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,300-350=6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,250-300=4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,&lt;250=2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</si>
  <si>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RevPAR</t>
    </r>
    <r>
      <rPr>
        <sz val="9"/>
        <color rgb="FF000000"/>
        <rFont val="Linux Libertine G"/>
        <family val="2"/>
      </rPr>
      <t xml:space="preserve">回升，酒店经营改善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</si>
  <si>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国内旅游人次</t>
    </r>
  </si>
  <si>
    <t xml:space="preserve">文旅部</t>
  </si>
  <si>
    <t xml:space="preserve">旅游人次高增，消费场景恢复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</si>
  <si>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国内旅游收入</t>
    </r>
  </si>
  <si>
    <t xml:space="preserve">+25</t>
  </si>
  <si>
    <t xml:space="preserve">旅游收入增长，消费升级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</si>
  <si>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餐饮收入增速</t>
    </r>
  </si>
  <si>
    <t xml:space="preserve">餐饮收入回暖，线下消费活跃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</si>
  <si>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电影票房收入</t>
    </r>
  </si>
  <si>
    <r>
      <rPr>
        <sz val="9"/>
        <color rgb="FF000000"/>
        <rFont val="Linux Libertine G"/>
        <family val="2"/>
      </rPr>
      <t xml:space="preserve">猫眼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灯塔</t>
    </r>
  </si>
  <si>
    <r>
      <rPr>
        <sz val="9"/>
        <color rgb="FF000000"/>
        <rFont val="Linux Libertine G"/>
        <family val="2"/>
      </rPr>
      <t xml:space="preserve">亿元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</si>
  <si>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&gt;50=10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</si>
  <si>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票房温和增长，内容供给恢复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</si>
  <si>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社会服务企业季度净利润</t>
    </r>
  </si>
  <si>
    <t xml:space="preserve">15</t>
  </si>
  <si>
    <r>
      <rPr>
        <sz val="9"/>
        <color rgb="FF000000"/>
        <rFont val="微软雅黑"/>
        <family val="2"/>
        <charset val="134"/>
      </rPr>
      <t xml:space="preserve">&gt;20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</si>
  <si>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利润改善，旅游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酒店贡献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</si>
  <si>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社会服务行业毛利率</t>
    </r>
  </si>
  <si>
    <r>
      <rPr>
        <sz val="9"/>
        <color rgb="FF000000"/>
        <rFont val="微软雅黑"/>
        <family val="2"/>
        <charset val="134"/>
      </rPr>
      <t xml:space="preserve">&gt;40%=10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,&lt;10%=2</t>
    </r>
    <r>
      <rPr>
        <sz val="9"/>
        <color rgb="FF000000"/>
        <rFont val="Linux Libertine G"/>
        <family val="2"/>
      </rPr>
      <t xml:space="preserve">分</t>
    </r>
  </si>
  <si>
    <t xml:space="preserve">毛利率改善，成本管控见效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</si>
  <si>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服务业</t>
    </r>
    <r>
      <rPr>
        <sz val="9"/>
        <color rgb="FF000000"/>
        <rFont val="微软雅黑"/>
        <family val="2"/>
        <charset val="134"/>
      </rPr>
      <t xml:space="preserve">PMI</t>
    </r>
  </si>
  <si>
    <t xml:space="preserve">49.6</t>
  </si>
  <si>
    <r>
      <rPr>
        <sz val="9"/>
        <color rgb="FF000000"/>
        <rFont val="微软雅黑"/>
        <family val="2"/>
        <charset val="134"/>
      </rPr>
      <t xml:space="preserve">&gt;55=10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,52-55=8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,48-50=4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,&lt;48=2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</si>
  <si>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服务业</t>
    </r>
    <r>
      <rPr>
        <sz val="9"/>
        <color rgb="FF000000"/>
        <rFont val="Linux Libertine G"/>
        <family val="2"/>
        <charset val="1"/>
      </rPr>
      <t xml:space="preserve">PMI</t>
    </r>
    <r>
      <rPr>
        <sz val="9"/>
        <color rgb="FF000000"/>
        <rFont val="Linux Libertine G"/>
        <family val="2"/>
      </rPr>
      <t xml:space="preserve">跌破荣枯线，景气回落</t>
    </r>
  </si>
  <si>
    <t xml:space="preserve">行业景气度量化跟踪体系（参数优化版）— 综合</t>
  </si>
  <si>
    <r>
      <rPr>
        <b val="true"/>
        <sz val="9"/>
        <color rgb="FF000000"/>
        <rFont val="Linux Libertine G"/>
        <family val="2"/>
      </rPr>
      <t xml:space="preserve">默认阶段框架：扩张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=45%/40%/15%</t>
    </r>
    <r>
      <rPr>
        <b val="true"/>
        <sz val="9"/>
        <color rgb="FF000000"/>
        <rFont val="Linux Libertine G"/>
        <family val="2"/>
      </rPr>
      <t xml:space="preserve">。订单、需求和利润三段式确认，避免单一宏观指标主导。｜核心验证：宏观扩散与企业盈利；必选：</t>
    </r>
    <r>
      <rPr>
        <b val="true"/>
        <sz val="9"/>
        <color rgb="FF000000"/>
        <rFont val="Linux Libertine G"/>
        <family val="2"/>
        <charset val="1"/>
      </rPr>
      <t xml:space="preserve">PMI</t>
    </r>
    <r>
      <rPr>
        <b val="true"/>
        <sz val="9"/>
        <color rgb="FF000000"/>
        <rFont val="Linux Libertine G"/>
        <family val="2"/>
      </rPr>
      <t xml:space="preserve">新订单、社融、政策脉冲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</si>
  <si>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宏观经济景气指数</t>
    </r>
  </si>
  <si>
    <t xml:space="preserve">102</t>
  </si>
  <si>
    <t xml:space="preserve">景气指数略高于临界，经济温和扩张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</si>
  <si>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制造业</t>
    </r>
    <r>
      <rPr>
        <sz val="9"/>
        <color rgb="FF000000"/>
        <rFont val="微软雅黑"/>
        <family val="2"/>
        <charset val="134"/>
      </rPr>
      <t xml:space="preserve">PMI</t>
    </r>
  </si>
  <si>
    <t xml:space="preserve">50.3</t>
  </si>
  <si>
    <r>
      <rPr>
        <sz val="9"/>
        <color rgb="FF000000"/>
        <rFont val="微软雅黑"/>
        <family val="2"/>
        <charset val="134"/>
      </rPr>
      <t xml:space="preserve">&gt;52=10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,50-52=8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,48-50=6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,45-48=4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</si>
  <si>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PMI</t>
    </r>
    <r>
      <rPr>
        <sz val="9"/>
        <color rgb="FF000000"/>
        <rFont val="Linux Libertine G"/>
        <family val="2"/>
      </rPr>
      <t xml:space="preserve">连续扩张，制造业韧性显现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</si>
  <si>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新增社融规模</t>
    </r>
  </si>
  <si>
    <t xml:space="preserve">3.8</t>
  </si>
  <si>
    <r>
      <rPr>
        <sz val="9"/>
        <color rgb="FF000000"/>
        <rFont val="Linux Libertine G"/>
        <family val="2"/>
      </rPr>
      <t xml:space="preserve">万亿元</t>
    </r>
    <r>
      <rPr>
        <sz val="9"/>
        <color rgb="FF000000"/>
        <rFont val="Linux Libertine G"/>
        <family val="2"/>
        <charset val="1"/>
      </rPr>
      <t xml:space="preserve">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Linux Libertine G"/>
        <family val="2"/>
        <charset val="1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</si>
  <si>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&gt;4=10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,3-4=8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,2-3=6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,1-2=4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,&lt;1=2</t>
    </r>
    <r>
      <rPr>
        <sz val="9"/>
        <color rgb="FF000000"/>
        <rFont val="Linux Libertine G"/>
        <family val="2"/>
      </rPr>
      <t xml:space="preserve">分</t>
    </r>
  </si>
  <si>
    <t xml:space="preserve">社融稳健增长，信用环境宽松</t>
  </si>
  <si>
    <r>
      <rPr>
        <sz val="9"/>
        <color rgb="FF000000"/>
        <rFont val="微软雅黑"/>
        <family val="2"/>
        <charset val="134"/>
      </rPr>
      <t xml:space="preserve">4-GDP</t>
    </r>
    <r>
      <rPr>
        <sz val="9"/>
        <color rgb="FF000000"/>
        <rFont val="Linux Libertine G"/>
        <family val="2"/>
      </rPr>
      <t xml:space="preserve">增速</t>
    </r>
  </si>
  <si>
    <r>
      <rPr>
        <sz val="9"/>
        <color rgb="FF000000"/>
        <rFont val="微软雅黑"/>
        <family val="2"/>
        <charset val="134"/>
      </rPr>
      <t xml:space="preserve">&gt;6%=10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,5-6%=8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</si>
  <si>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GDP</t>
    </r>
    <r>
      <rPr>
        <sz val="9"/>
        <color rgb="FF000000"/>
        <rFont val="Linux Libertine G"/>
        <family val="2"/>
      </rPr>
      <t xml:space="preserve">增速稳健，经济韧性较强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</si>
  <si>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工业增加值增速</t>
    </r>
  </si>
  <si>
    <t xml:space="preserve">工业生产加快，制造业复苏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</si>
  <si>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固定资产投资增速</t>
    </r>
  </si>
  <si>
    <t xml:space="preserve">投资增速温和，基建支撑明显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</si>
  <si>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企业盈利增速</t>
    </r>
  </si>
  <si>
    <t xml:space="preserve">企业盈利改善，利润端修复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</si>
  <si>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失业率</t>
    </r>
  </si>
  <si>
    <t xml:space="preserve">5.1</t>
  </si>
  <si>
    <r>
      <rPr>
        <sz val="9"/>
        <color rgb="FF000000"/>
        <rFont val="微软雅黑"/>
        <family val="2"/>
        <charset val="134"/>
      </rPr>
      <t xml:space="preserve">&lt;4.5%=10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,4.5-5.0%=8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,5.0-5.5%=6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,5.5-6.0%=4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,&gt;6.0%=2</t>
    </r>
    <r>
      <rPr>
        <sz val="9"/>
        <color rgb="FF000000"/>
        <rFont val="Linux Libertine G"/>
        <family val="2"/>
      </rPr>
      <t xml:space="preserve">分</t>
    </r>
  </si>
  <si>
    <t xml:space="preserve">失业率略高，就业压力仍存</t>
  </si>
  <si>
    <t xml:space="preserve">行业景气度量化跟踪体系（参数优化版）— 建筑材料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</si>
  <si>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。先用库存、供给、订单确认反转；价格本身不能直接等同高景气。｜核心验证：地产基建实物量与库存；必选：新开工、基建项目、库存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</si>
  <si>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水泥熟料价格</t>
    </r>
  </si>
  <si>
    <t xml:space="preserve">数字水泥网</t>
  </si>
  <si>
    <t xml:space="preserve">320</t>
  </si>
  <si>
    <t xml:space="preserve">水泥价格低迷，需求端疲软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</si>
  <si>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玻璃原片价格</t>
    </r>
  </si>
  <si>
    <t xml:space="preserve">1550</t>
  </si>
  <si>
    <r>
      <rPr>
        <sz val="9"/>
        <color rgb="FF000000"/>
        <rFont val="微软雅黑"/>
        <family val="2"/>
        <charset val="134"/>
      </rPr>
      <t xml:space="preserve">&gt;1800=10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,1600-1800=8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,1400-1600=6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,1200-1400=4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,&lt;1200=2</t>
    </r>
    <r>
      <rPr>
        <sz val="9"/>
        <color rgb="FF000000"/>
        <rFont val="Linux Libertine G"/>
        <family val="2"/>
      </rPr>
      <t xml:space="preserve">分</t>
    </r>
  </si>
  <si>
    <t xml:space="preserve">玻璃价格回落，地产需求拖累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</si>
  <si>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房地产新开工面积增速</t>
    </r>
  </si>
  <si>
    <t xml:space="preserve">新开工大幅下滑，需求端收缩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</si>
  <si>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基建投资增速</t>
    </r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</si>
  <si>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,&lt;3%=2</t>
    </r>
    <r>
      <rPr>
        <sz val="9"/>
        <color rgb="FF000000"/>
        <rFont val="Linux Libertine G"/>
        <family val="2"/>
      </rPr>
      <t xml:space="preserve">分</t>
    </r>
  </si>
  <si>
    <t xml:space="preserve">基建投资发力，对冲地产下滑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</si>
  <si>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水泥出货量</t>
    </r>
  </si>
  <si>
    <t xml:space="preserve">水泥出货下滑，施工需求不足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</si>
  <si>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玻璃库存天数</t>
    </r>
  </si>
  <si>
    <t xml:space="preserve">22</t>
  </si>
  <si>
    <t xml:space="preserve">玻璃库存累积，供给压力加大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</si>
  <si>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水泥磨机开工率</t>
    </r>
  </si>
  <si>
    <t xml:space="preserve">52</t>
  </si>
  <si>
    <r>
      <rPr>
        <sz val="9"/>
        <color rgb="FF000000"/>
        <rFont val="微软雅黑"/>
        <family val="2"/>
        <charset val="134"/>
      </rPr>
      <t xml:space="preserve">&gt;70%=10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,&lt;40%=2</t>
    </r>
    <r>
      <rPr>
        <sz val="9"/>
        <color rgb="FF000000"/>
        <rFont val="Linux Libertine G"/>
        <family val="2"/>
      </rPr>
      <t xml:space="preserve">分</t>
    </r>
  </si>
  <si>
    <t xml:space="preserve">开工率低位，产能利用率不足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</si>
  <si>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建材出口金额增速</t>
    </r>
  </si>
  <si>
    <t xml:space="preserve">建材出口温和增长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</si>
  <si>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建材企业季度净利润</t>
    </r>
  </si>
  <si>
    <t xml:space="preserve">8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</si>
  <si>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利润大幅下滑，多数企业亏损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</si>
  <si>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建材行业产能利用率</t>
    </r>
  </si>
  <si>
    <t xml:space="preserve">产能利用率低位，产能过剩严重</t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</si>
  <si>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建材类同比</t>
    </r>
  </si>
  <si>
    <t xml:space="preserve">-1.5</t>
  </si>
  <si>
    <t xml:space="preserve">建材价格同比下跌，通缩压力</t>
  </si>
  <si>
    <t xml:space="preserve">行业景气度量化跟踪体系（参数优化版）— 建筑装饰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</si>
  <si>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。政策与规划只作确认项，必须由招标、交付、回款和利润验证。｜核心验证：财政资金、订单与回款；必选：专项债、项目开工、新签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</si>
  <si>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基建投资计划</t>
    </r>
  </si>
  <si>
    <r>
      <rPr>
        <sz val="9"/>
        <color rgb="FF000000"/>
        <rFont val="Linux Libertine G"/>
        <family val="2"/>
      </rPr>
      <t xml:space="preserve">发改委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财政部</t>
    </r>
  </si>
  <si>
    <t xml:space="preserve">万亿元</t>
  </si>
  <si>
    <r>
      <rPr>
        <sz val="9"/>
        <color rgb="FF000000"/>
        <rFont val="微软雅黑"/>
        <family val="2"/>
        <charset val="134"/>
      </rPr>
      <t xml:space="preserve">&gt;20=10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,&lt;5=2</t>
    </r>
    <r>
      <rPr>
        <sz val="9"/>
        <color rgb="FF000000"/>
        <rFont val="Linux Libertine G"/>
        <family val="2"/>
      </rPr>
      <t xml:space="preserve">分</t>
    </r>
  </si>
  <si>
    <t xml:space="preserve">基建计划规模创新高，政策发力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</si>
  <si>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专项债发行规模</t>
    </r>
  </si>
  <si>
    <t xml:space="preserve">财政部</t>
  </si>
  <si>
    <t xml:space="preserve">4.2</t>
  </si>
  <si>
    <t xml:space="preserve">专项债发行加速，资金到位改善</t>
  </si>
  <si>
    <t xml:space="preserve">房建新开工萎缩，房建业务承压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</si>
  <si>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钢材价格变化</t>
    </r>
  </si>
  <si>
    <t xml:space="preserve">钢材价格回落，成本端改善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</si>
  <si>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建筑业</t>
    </r>
    <r>
      <rPr>
        <sz val="9"/>
        <color rgb="FF000000"/>
        <rFont val="微软雅黑"/>
        <family val="2"/>
        <charset val="134"/>
      </rPr>
      <t xml:space="preserve">PMI</t>
    </r>
  </si>
  <si>
    <t xml:space="preserve">48.0</t>
  </si>
  <si>
    <r>
      <rPr>
        <sz val="9"/>
        <color rgb="FF000000"/>
        <rFont val="微软雅黑"/>
        <family val="2"/>
        <charset val="134"/>
      </rPr>
      <t xml:space="preserve">&gt;58=10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,55-58=8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,52-55=6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,50-52=4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</si>
  <si>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建筑业</t>
    </r>
    <r>
      <rPr>
        <sz val="9"/>
        <color rgb="FF000000"/>
        <rFont val="Linux Libertine G"/>
        <family val="2"/>
        <charset val="1"/>
      </rPr>
      <t xml:space="preserve">PMI</t>
    </r>
    <r>
      <rPr>
        <sz val="9"/>
        <color rgb="FF000000"/>
        <rFont val="Linux Libertine G"/>
        <family val="2"/>
      </rPr>
      <t xml:space="preserve">跌破荣枯线，景气回落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</si>
  <si>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建筑业新签合同额增速</t>
    </r>
  </si>
  <si>
    <t xml:space="preserve">新签合同温和增长，基建订单支撑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</si>
  <si>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建筑业总产值增速</t>
    </r>
  </si>
  <si>
    <t xml:space="preserve">产值增速温和，基建对冲房建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</si>
  <si>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建筑企业订单保障倍数</t>
    </r>
  </si>
  <si>
    <t xml:space="preserve">1.8</t>
  </si>
  <si>
    <t xml:space="preserve">倍</t>
  </si>
  <si>
    <r>
      <rPr>
        <sz val="9"/>
        <color rgb="FF000000"/>
        <rFont val="微软雅黑"/>
        <family val="2"/>
        <charset val="134"/>
      </rPr>
      <t xml:space="preserve">&gt;2.5=10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,&lt;1.0=2</t>
    </r>
    <r>
      <rPr>
        <sz val="9"/>
        <color rgb="FF000000"/>
        <rFont val="Linux Libertine G"/>
        <family val="2"/>
      </rPr>
      <t xml:space="preserve">分</t>
    </r>
  </si>
  <si>
    <t xml:space="preserve">订单保障倍数下降，未来收入承压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</si>
  <si>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建筑企业季度净利润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</si>
  <si>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利润下滑，房建拖累明显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</si>
  <si>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建筑行业资产负债率</t>
    </r>
  </si>
  <si>
    <r>
      <rPr>
        <sz val="9"/>
        <color rgb="FF000000"/>
        <rFont val="微软雅黑"/>
        <family val="2"/>
        <charset val="134"/>
      </rPr>
      <t xml:space="preserve">&lt;75%=10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,80-85%=6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,85-90%=4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,&gt;90%=2</t>
    </r>
    <r>
      <rPr>
        <sz val="9"/>
        <color rgb="FF000000"/>
        <rFont val="Linux Libertine G"/>
        <family val="2"/>
      </rPr>
      <t xml:space="preserve">分</t>
    </r>
  </si>
  <si>
    <t xml:space="preserve">负债率偏高，财务风险累积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</si>
  <si>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建筑行业应收账款周转</t>
    </r>
  </si>
  <si>
    <t xml:space="preserve">135</t>
  </si>
  <si>
    <r>
      <rPr>
        <sz val="9"/>
        <color rgb="FF000000"/>
        <rFont val="微软雅黑"/>
        <family val="2"/>
        <charset val="134"/>
      </rPr>
      <t xml:space="preserve">&lt;90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,150-180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</si>
  <si>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应收账款周转放缓，回款压力加大</t>
  </si>
  <si>
    <t xml:space="preserve">行业景气度量化跟踪体系（参数优化版）— 电力设备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</si>
  <si>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。政策与规划只作确认项，必须由招标、交付、回款和利润验证。｜核心验证：电网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新能源资本开支与订单；必选：电网投资、招标、海外订单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</si>
  <si>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光伏组件价格</t>
    </r>
  </si>
  <si>
    <t xml:space="preserve">PV InfoLink</t>
  </si>
  <si>
    <t xml:space="preserve">0.82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</si>
  <si>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/W</t>
    </r>
  </si>
  <si>
    <r>
      <rPr>
        <sz val="9"/>
        <color rgb="FF000000"/>
        <rFont val="微软雅黑"/>
        <family val="2"/>
        <charset val="134"/>
      </rPr>
      <t xml:space="preserve">&lt;0.8=10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,0.8-1.0=8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,1.2-1.4=4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,&gt;1.4=2</t>
    </r>
    <r>
      <rPr>
        <sz val="9"/>
        <color rgb="FF000000"/>
        <rFont val="Linux Libertine G"/>
        <family val="2"/>
      </rPr>
      <t xml:space="preserve">分</t>
    </r>
  </si>
  <si>
    <t xml:space="preserve">组件价格触底，产业链利润承压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</si>
  <si>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硅料价格</t>
    </r>
  </si>
  <si>
    <t xml:space="preserve">硅业分会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</si>
  <si>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/kg</t>
    </r>
  </si>
  <si>
    <r>
      <rPr>
        <sz val="9"/>
        <color rgb="FF000000"/>
        <rFont val="微软雅黑"/>
        <family val="2"/>
        <charset val="134"/>
      </rPr>
      <t xml:space="preserve">&lt;40=10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,&gt;100=2</t>
    </r>
    <r>
      <rPr>
        <sz val="9"/>
        <color rgb="FF000000"/>
        <rFont val="Linux Libertine G"/>
        <family val="2"/>
      </rPr>
      <t xml:space="preserve">分</t>
    </r>
  </si>
  <si>
    <t xml:space="preserve">硅料价格低位，成本端改善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</si>
  <si>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锂电池价格</t>
    </r>
  </si>
  <si>
    <t xml:space="preserve">0.52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</si>
  <si>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/Wh</t>
    </r>
  </si>
  <si>
    <r>
      <rPr>
        <sz val="9"/>
        <color rgb="FF000000"/>
        <rFont val="微软雅黑"/>
        <family val="2"/>
        <charset val="134"/>
      </rPr>
      <t xml:space="preserve">&lt;0.5=10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,0.5-0.6=8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,0.6-0.7=6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,0.7-0.8=4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,&gt;0.8=2</t>
    </r>
    <r>
      <rPr>
        <sz val="9"/>
        <color rgb="FF000000"/>
        <rFont val="Linux Libertine G"/>
        <family val="2"/>
      </rPr>
      <t xml:space="preserve">分</t>
    </r>
  </si>
  <si>
    <t xml:space="preserve">电池价格触底，产业链利润压缩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</si>
  <si>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风电招标量</t>
    </r>
  </si>
  <si>
    <r>
      <rPr>
        <sz val="9"/>
        <color rgb="FF000000"/>
        <rFont val="Linux Libertine G"/>
        <family val="2"/>
      </rPr>
      <t xml:space="preserve">金风科技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中国风能协会</t>
    </r>
  </si>
  <si>
    <t xml:space="preserve">风电招标创新高，装机预期强劲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</si>
  <si>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电网投资计划</t>
    </r>
  </si>
  <si>
    <r>
      <rPr>
        <sz val="9"/>
        <color rgb="FF000000"/>
        <rFont val="Linux Libertine G"/>
        <family val="2"/>
      </rPr>
      <t xml:space="preserve">国家电网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南方电网</t>
    </r>
  </si>
  <si>
    <t xml:space="preserve">6500</t>
  </si>
  <si>
    <r>
      <rPr>
        <sz val="9"/>
        <color rgb="FF000000"/>
        <rFont val="微软雅黑"/>
        <family val="2"/>
        <charset val="134"/>
      </rPr>
      <t xml:space="preserve">&gt;6000=10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,5000-6000=8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,4000-5000=6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,3000-4000=4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,&lt;3000=2</t>
    </r>
    <r>
      <rPr>
        <sz val="9"/>
        <color rgb="FF000000"/>
        <rFont val="Linux Libertine G"/>
        <family val="2"/>
      </rPr>
      <t xml:space="preserve">分</t>
    </r>
  </si>
  <si>
    <t xml:space="preserve">电网投资创新高，特高压建设加速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</si>
  <si>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光伏装机量</t>
    </r>
  </si>
  <si>
    <t xml:space="preserve">65</t>
  </si>
  <si>
    <r>
      <rPr>
        <sz val="9"/>
        <color rgb="FF000000"/>
        <rFont val="微软雅黑"/>
        <family val="2"/>
        <charset val="134"/>
      </rPr>
      <t xml:space="preserve">GW(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微软雅黑"/>
        <family val="2"/>
        <charset val="134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</si>
  <si>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&gt;100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,&lt;40=2</t>
    </r>
    <r>
      <rPr>
        <sz val="9"/>
        <color rgb="FF000000"/>
        <rFont val="Linux Libertine G"/>
        <family val="2"/>
      </rPr>
      <t xml:space="preserve">分</t>
    </r>
  </si>
  <si>
    <t xml:space="preserve">光伏装机稳健，分布式贡献大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</si>
  <si>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风电装机量</t>
    </r>
  </si>
  <si>
    <r>
      <rPr>
        <sz val="9"/>
        <color rgb="FF000000"/>
        <rFont val="微软雅黑"/>
        <family val="2"/>
        <charset val="134"/>
      </rPr>
      <t xml:space="preserve">&gt;60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,&lt;30=2</t>
    </r>
    <r>
      <rPr>
        <sz val="9"/>
        <color rgb="FF000000"/>
        <rFont val="Linux Libertine G"/>
        <family val="2"/>
      </rPr>
      <t xml:space="preserve">分</t>
    </r>
  </si>
  <si>
    <t xml:space="preserve">风电装机平稳，海上风电加速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</si>
  <si>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储能装机量</t>
    </r>
  </si>
  <si>
    <t xml:space="preserve">CNESA</t>
  </si>
  <si>
    <r>
      <rPr>
        <sz val="9"/>
        <color rgb="FF000000"/>
        <rFont val="微软雅黑"/>
        <family val="2"/>
        <charset val="134"/>
      </rPr>
      <t xml:space="preserve">GWh(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微软雅黑"/>
        <family val="2"/>
        <charset val="134"/>
      </rPr>
      <t xml:space="preserve">)</t>
    </r>
  </si>
  <si>
    <r>
      <rPr>
        <sz val="9"/>
        <color rgb="FF000000"/>
        <rFont val="微软雅黑"/>
        <family val="2"/>
        <charset val="134"/>
      </rPr>
      <t xml:space="preserve">&gt;50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</si>
  <si>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储能装机高增，工商业储能爆发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</si>
  <si>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电网设备招标量</t>
    </r>
  </si>
  <si>
    <t xml:space="preserve">国家电网</t>
  </si>
  <si>
    <t xml:space="preserve">电网设备招标高增，建设提速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</si>
  <si>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电力设备企业季度净利润</t>
    </r>
  </si>
  <si>
    <r>
      <rPr>
        <sz val="9"/>
        <color rgb="FF000000"/>
        <rFont val="微软雅黑"/>
        <family val="2"/>
        <charset val="134"/>
      </rPr>
      <t xml:space="preserve">&gt;80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,40-80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,0-40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,-40-0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,&lt;-40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</si>
  <si>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利润分化，光伏承压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风电改善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</si>
  <si>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电力设备行业毛利率</t>
    </r>
  </si>
  <si>
    <r>
      <rPr>
        <sz val="9"/>
        <color rgb="FF000000"/>
        <rFont val="微软雅黑"/>
        <family val="2"/>
        <charset val="134"/>
      </rPr>
      <t xml:space="preserve">&gt;25%=10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,&lt;10%=2</t>
    </r>
    <r>
      <rPr>
        <sz val="9"/>
        <color rgb="FF000000"/>
        <rFont val="Linux Libertine G"/>
        <family val="2"/>
      </rPr>
      <t xml:space="preserve">分</t>
    </r>
  </si>
  <si>
    <t xml:space="preserve">毛利率下滑，价格竞争加剧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</si>
  <si>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电力设备出口金额增速</t>
    </r>
  </si>
  <si>
    <t xml:space="preserve">设备出口强劲，海外需求旺盛</t>
  </si>
  <si>
    <t xml:space="preserve">行业景气度量化跟踪体系（参数优化版）— 国防军工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</si>
  <si>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。政策与规划只作确认项，必须由招标、交付、回款和利润验证。｜核心验证：预算、订单与交付节奏；必选：预算、型号进度、订单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合同负债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</si>
  <si>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国防预算增速</t>
    </r>
  </si>
  <si>
    <t xml:space="preserve">全国人大</t>
  </si>
  <si>
    <t xml:space="preserve">7.2</t>
  </si>
  <si>
    <r>
      <rPr>
        <sz val="9"/>
        <color rgb="FF000000"/>
        <rFont val="微软雅黑"/>
        <family val="2"/>
        <charset val="134"/>
      </rPr>
      <t xml:space="preserve">&gt;8%=10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,5-6%=6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,&lt;4%=2</t>
    </r>
    <r>
      <rPr>
        <sz val="9"/>
        <color rgb="FF000000"/>
        <rFont val="Linux Libertine G"/>
        <family val="2"/>
      </rPr>
      <t xml:space="preserve">分</t>
    </r>
  </si>
  <si>
    <t xml:space="preserve">国防预算稳健增长，军品需求确定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</si>
  <si>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军工集团订单公告</t>
    </r>
  </si>
  <si>
    <t xml:space="preserve">上市公司公告</t>
  </si>
  <si>
    <t xml:space="preserve">520</t>
  </si>
  <si>
    <r>
      <rPr>
        <sz val="9"/>
        <color rgb="FF000000"/>
        <rFont val="微软雅黑"/>
        <family val="2"/>
        <charset val="134"/>
      </rPr>
      <t xml:space="preserve">&gt;500=10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,100-300=6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</si>
  <si>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大额订单密集释放，需求景气确认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</si>
  <si>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军品采购计划</t>
    </r>
  </si>
  <si>
    <t xml:space="preserve">全军武器装备采购网</t>
  </si>
  <si>
    <t xml:space="preserve">1200</t>
  </si>
  <si>
    <t xml:space="preserve">项</t>
  </si>
  <si>
    <r>
      <rPr>
        <sz val="9"/>
        <color rgb="FF000000"/>
        <rFont val="微软雅黑"/>
        <family val="2"/>
        <charset val="134"/>
      </rPr>
      <t xml:space="preserve">&gt;1000=10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,400-700=6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,&lt;200=2</t>
    </r>
    <r>
      <rPr>
        <sz val="9"/>
        <color rgb="FF000000"/>
        <rFont val="Linux Libertine G"/>
        <family val="2"/>
      </rPr>
      <t xml:space="preserve">分</t>
    </r>
  </si>
  <si>
    <t xml:space="preserve">采购计划饱满，十四五后期冲刺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</si>
  <si>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地缘政治风险指数</t>
    </r>
  </si>
  <si>
    <t xml:space="preserve">相关智库</t>
  </si>
  <si>
    <t xml:space="preserve">75</t>
  </si>
  <si>
    <t xml:space="preserve">高位</t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</si>
  <si>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,&lt;20=2</t>
    </r>
    <r>
      <rPr>
        <sz val="9"/>
        <color rgb="FF000000"/>
        <rFont val="Linux Libertine G"/>
        <family val="2"/>
      </rPr>
      <t xml:space="preserve">分</t>
    </r>
  </si>
  <si>
    <t xml:space="preserve">地缘风险高位，军品需求刚性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</si>
  <si>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军工企业收入增速</t>
    </r>
  </si>
  <si>
    <t xml:space="preserve">收入高增长，订单交付加速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</si>
  <si>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军工企业合同负债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</si>
  <si>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</si>
  <si>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合同负债高增，在手订单充裕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</si>
  <si>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航空发动机产量</t>
    </r>
  </si>
  <si>
    <t xml:space="preserve">航空工业集团</t>
  </si>
  <si>
    <t xml:space="preserve">航发产量增长，国产替代加速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</si>
  <si>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舰船下水吨位</t>
    </r>
  </si>
  <si>
    <t xml:space="preserve">相关统计</t>
  </si>
  <si>
    <t xml:space="preserve">舰船建设稳步推进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</si>
  <si>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军工企业季度净利润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</si>
  <si>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利润改善，规模效应显现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</si>
  <si>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军工行业研发费用率</t>
    </r>
  </si>
  <si>
    <t xml:space="preserve">9.5</t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</si>
  <si>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,2-4%=4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,&lt;2%=2</t>
    </r>
    <r>
      <rPr>
        <sz val="9"/>
        <color rgb="FF000000"/>
        <rFont val="Linux Libertine G"/>
        <family val="2"/>
      </rPr>
      <t xml:space="preserve">分</t>
    </r>
  </si>
  <si>
    <t xml:space="preserve">研发投入维持高位，技术迭代加速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</si>
  <si>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军工行业资产负债率</t>
    </r>
  </si>
  <si>
    <r>
      <rPr>
        <sz val="9"/>
        <color rgb="FF000000"/>
        <rFont val="微软雅黑"/>
        <family val="2"/>
        <charset val="134"/>
      </rPr>
      <t xml:space="preserve">&lt;50%=10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,50-55%=8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,60-65%=4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,&gt;65%=2</t>
    </r>
    <r>
      <rPr>
        <sz val="9"/>
        <color rgb="FF000000"/>
        <rFont val="Linux Libertine G"/>
        <family val="2"/>
      </rPr>
      <t xml:space="preserve">分</t>
    </r>
  </si>
  <si>
    <t xml:space="preserve">行业景气度量化跟踪体系（参数优化版）— 计算机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</si>
  <si>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</t>
    </r>
    <r>
      <rPr>
        <b val="true"/>
        <sz val="9"/>
        <color rgb="FF000000"/>
        <rFont val="Linux Libertine G"/>
        <family val="2"/>
        <charset val="1"/>
      </rPr>
      <t xml:space="preserve">IT</t>
    </r>
    <r>
      <rPr>
        <b val="true"/>
        <sz val="9"/>
        <color rgb="FF000000"/>
        <rFont val="Linux Libertine G"/>
        <family val="2"/>
      </rPr>
      <t xml:space="preserve">预算、订单和订阅渗透；必选：企业</t>
    </r>
    <r>
      <rPr>
        <b val="true"/>
        <sz val="9"/>
        <color rgb="FF000000"/>
        <rFont val="Linux Libertine G"/>
        <family val="2"/>
        <charset val="1"/>
      </rPr>
      <t xml:space="preserve">IT</t>
    </r>
    <r>
      <rPr>
        <b val="true"/>
        <sz val="9"/>
        <color rgb="FF000000"/>
        <rFont val="Linux Libertine G"/>
        <family val="2"/>
      </rPr>
      <t xml:space="preserve">预算、云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、招标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</si>
  <si>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</t>
    </r>
    <r>
      <rPr>
        <sz val="9"/>
        <color rgb="FF000000"/>
        <rFont val="微软雅黑"/>
        <family val="2"/>
        <charset val="134"/>
      </rPr>
      <t xml:space="preserve">IT</t>
    </r>
    <r>
      <rPr>
        <sz val="9"/>
        <color rgb="FF000000"/>
        <rFont val="Linux Libertine G"/>
        <family val="2"/>
      </rPr>
      <t xml:space="preserve">支出增速</t>
    </r>
  </si>
  <si>
    <t xml:space="preserve">Gartner</t>
  </si>
  <si>
    <r>
      <rPr>
        <sz val="9"/>
        <color rgb="FF000000"/>
        <rFont val="微软雅黑"/>
        <family val="2"/>
        <charset val="134"/>
      </rPr>
      <t xml:space="preserve">IT</t>
    </r>
    <r>
      <rPr>
        <sz val="9"/>
        <color rgb="FF000000"/>
        <rFont val="Linux Libertine G"/>
        <family val="2"/>
      </rPr>
      <t xml:space="preserve">支出稳健增长，数字化转型加速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</si>
  <si>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云计算资本开支</t>
    </r>
  </si>
  <si>
    <r>
      <rPr>
        <sz val="9"/>
        <color rgb="FF000000"/>
        <rFont val="微软雅黑"/>
        <family val="2"/>
        <charset val="134"/>
      </rPr>
      <t xml:space="preserve">AWS/Azure/</t>
    </r>
    <r>
      <rPr>
        <sz val="9"/>
        <color rgb="FF000000"/>
        <rFont val="Linux Libertine G"/>
        <family val="2"/>
      </rPr>
      <t xml:space="preserve">阿里云</t>
    </r>
  </si>
  <si>
    <r>
      <rPr>
        <sz val="9"/>
        <color rgb="FF000000"/>
        <rFont val="Linux Libertine G"/>
        <family val="2"/>
      </rPr>
      <t xml:space="preserve">云厂商</t>
    </r>
    <r>
      <rPr>
        <sz val="9"/>
        <color rgb="FF000000"/>
        <rFont val="Linux Libertine G"/>
        <family val="2"/>
        <charset val="1"/>
      </rPr>
      <t xml:space="preserve">CAPEX</t>
    </r>
    <r>
      <rPr>
        <sz val="9"/>
        <color rgb="FF000000"/>
        <rFont val="Linux Libertine G"/>
        <family val="2"/>
      </rPr>
      <t xml:space="preserve">高增，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基建驱动</t>
    </r>
  </si>
  <si>
    <r>
      <rPr>
        <sz val="9"/>
        <color rgb="FF000000"/>
        <rFont val="微软雅黑"/>
        <family val="2"/>
        <charset val="134"/>
      </rPr>
      <t xml:space="preserve">3-AI</t>
    </r>
    <r>
      <rPr>
        <sz val="9"/>
        <color rgb="FF000000"/>
        <rFont val="Linux Libertine G"/>
        <family val="2"/>
      </rPr>
      <t xml:space="preserve">服务器出货量</t>
    </r>
  </si>
  <si>
    <t xml:space="preserve">IDC</t>
  </si>
  <si>
    <t xml:space="preserve">+55</t>
  </si>
  <si>
    <r>
      <rPr>
        <sz val="9"/>
        <color rgb="FF000000"/>
        <rFont val="微软雅黑"/>
        <family val="2"/>
        <charset val="134"/>
      </rPr>
      <t xml:space="preserve">&gt;50%=10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</si>
  <si>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服务器爆发，算力需求井喷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</si>
  <si>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软件业收入增速</t>
    </r>
  </si>
  <si>
    <t xml:space="preserve">工信部</t>
  </si>
  <si>
    <t xml:space="preserve">+13.5</t>
  </si>
  <si>
    <r>
      <rPr>
        <sz val="9"/>
        <color rgb="FF000000"/>
        <rFont val="Linux Libertine G"/>
        <family val="2"/>
      </rPr>
      <t xml:space="preserve">软件业收入高增，信创</t>
    </r>
    <r>
      <rPr>
        <sz val="9"/>
        <color rgb="FF000000"/>
        <rFont val="Linux Libertine G"/>
        <family val="2"/>
        <charset val="1"/>
      </rPr>
      <t xml:space="preserve">/AI</t>
    </r>
    <r>
      <rPr>
        <sz val="9"/>
        <color rgb="FF000000"/>
        <rFont val="Linux Libertine G"/>
        <family val="2"/>
      </rPr>
      <t xml:space="preserve">驱动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</si>
  <si>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信创采购规模</t>
    </r>
  </si>
  <si>
    <r>
      <rPr>
        <sz val="9"/>
        <color rgb="FF000000"/>
        <rFont val="Linux Libertine G"/>
        <family val="2"/>
      </rPr>
      <t xml:space="preserve">财政部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地方政府</t>
    </r>
  </si>
  <si>
    <t xml:space="preserve">信创采购放量，国产替代加速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</si>
  <si>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企业</t>
    </r>
    <r>
      <rPr>
        <sz val="9"/>
        <color rgb="FF000000"/>
        <rFont val="微软雅黑"/>
        <family val="2"/>
        <charset val="134"/>
      </rPr>
      <t xml:space="preserve">SaaS</t>
    </r>
    <r>
      <rPr>
        <sz val="9"/>
        <color rgb="FF000000"/>
        <rFont val="Linux Libertine G"/>
        <family val="2"/>
      </rPr>
      <t xml:space="preserve">渗透率</t>
    </r>
  </si>
  <si>
    <t xml:space="preserve">艾瑞咨询</t>
  </si>
  <si>
    <r>
      <rPr>
        <sz val="9"/>
        <color rgb="FF000000"/>
        <rFont val="微软雅黑"/>
        <family val="2"/>
        <charset val="134"/>
      </rPr>
      <t xml:space="preserve">SaaS</t>
    </r>
    <r>
      <rPr>
        <sz val="9"/>
        <color rgb="FF000000"/>
        <rFont val="Linux Libertine G"/>
        <family val="2"/>
      </rPr>
      <t xml:space="preserve">渗透率提升，企业数字化深化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</si>
  <si>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网络安全市场规模</t>
    </r>
  </si>
  <si>
    <t xml:space="preserve">CCID</t>
  </si>
  <si>
    <t xml:space="preserve">网安市场高增，合规需求驱动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</si>
  <si>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计算机行业订单增速</t>
    </r>
  </si>
  <si>
    <r>
      <rPr>
        <sz val="9"/>
        <color rgb="FF000000"/>
        <rFont val="Linux Libertine G"/>
        <family val="2"/>
      </rPr>
      <t xml:space="preserve">订单高增，</t>
    </r>
    <r>
      <rPr>
        <sz val="9"/>
        <color rgb="FF000000"/>
        <rFont val="Linux Libertine G"/>
        <family val="2"/>
        <charset val="1"/>
      </rPr>
      <t xml:space="preserve">AI/</t>
    </r>
    <r>
      <rPr>
        <sz val="9"/>
        <color rgb="FF000000"/>
        <rFont val="Linux Libertine G"/>
        <family val="2"/>
      </rPr>
      <t xml:space="preserve">信创需求旺盛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</si>
  <si>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计算机企业季度净利润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</si>
  <si>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业务贡献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</si>
  <si>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计算机行业毛利率</t>
    </r>
  </si>
  <si>
    <r>
      <rPr>
        <sz val="9"/>
        <color rgb="FF000000"/>
        <rFont val="微软雅黑"/>
        <family val="2"/>
        <charset val="134"/>
      </rPr>
      <t xml:space="preserve">&gt;40%=10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,30-35%=6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,&lt;25%=2</t>
    </r>
    <r>
      <rPr>
        <sz val="9"/>
        <color rgb="FF000000"/>
        <rFont val="Linux Libertine G"/>
        <family val="2"/>
      </rPr>
      <t xml:space="preserve">分</t>
    </r>
  </si>
  <si>
    <t xml:space="preserve">毛利率改善，高毛利业务占比提升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</si>
  <si>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软件从业人员增速</t>
    </r>
  </si>
  <si>
    <t xml:space="preserve">从业人员增长，行业扩张积极</t>
  </si>
  <si>
    <t xml:space="preserve">行业景气度量化跟踪体系（参数优化版）— 传媒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</si>
  <si>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利润交叉确认，使用季调数据。｜核心验证：广告预算、内容供给与变现；必选：广告预算、版号、内容排期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</si>
  <si>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互联网广告收入增速</t>
    </r>
  </si>
  <si>
    <t xml:space="preserve">QuestMobile</t>
  </si>
  <si>
    <t xml:space="preserve">+16</t>
  </si>
  <si>
    <r>
      <rPr>
        <sz val="9"/>
        <color rgb="FF000000"/>
        <rFont val="Linux Libertine G"/>
        <family val="2"/>
      </rPr>
      <t xml:space="preserve">广告收入高增，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营销驱动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</si>
  <si>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游戏版号发放数量</t>
    </r>
  </si>
  <si>
    <t xml:space="preserve">国家新闻出版署</t>
  </si>
  <si>
    <r>
      <rPr>
        <sz val="9"/>
        <color rgb="FF000000"/>
        <rFont val="微软雅黑"/>
        <family val="2"/>
        <charset val="134"/>
      </rPr>
      <t xml:space="preserve">&gt;100=10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,&lt;40=2</t>
    </r>
    <r>
      <rPr>
        <sz val="9"/>
        <color rgb="FF000000"/>
        <rFont val="Linux Libertine G"/>
        <family val="2"/>
      </rPr>
      <t xml:space="preserve">分</t>
    </r>
  </si>
  <si>
    <t xml:space="preserve">版号发放常态化，供给端改善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</si>
  <si>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短视频用户时长</t>
    </r>
  </si>
  <si>
    <t xml:space="preserve">用户时长增长，流量红利持续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</si>
  <si>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广告主预算变化</t>
    </r>
  </si>
  <si>
    <t xml:space="preserve">CTR</t>
  </si>
  <si>
    <t xml:space="preserve">广告预算回暖，品牌投放恢复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</si>
  <si>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游戏市场规模</t>
    </r>
  </si>
  <si>
    <t xml:space="preserve">伽马数据</t>
  </si>
  <si>
    <r>
      <rPr>
        <sz val="9"/>
        <color rgb="FF000000"/>
        <rFont val="Linux Libertine G"/>
        <family val="2"/>
      </rPr>
      <t xml:space="preserve">游戏市场高增，新品周期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出海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</si>
  <si>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电影票房收入</t>
    </r>
  </si>
  <si>
    <t xml:space="preserve">票房温和复苏，内容供给恢复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</si>
  <si>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在线视频付费用户数</t>
    </r>
  </si>
  <si>
    <r>
      <rPr>
        <sz val="9"/>
        <color rgb="FF000000"/>
        <rFont val="Linux Libertine G"/>
        <family val="2"/>
      </rPr>
      <t xml:space="preserve">爱奇艺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腾讯视频</t>
    </r>
  </si>
  <si>
    <t xml:space="preserve">2.85</t>
  </si>
  <si>
    <t xml:space="preserve">亿人</t>
  </si>
  <si>
    <r>
      <rPr>
        <sz val="9"/>
        <color rgb="FF000000"/>
        <rFont val="微软雅黑"/>
        <family val="2"/>
        <charset val="134"/>
      </rPr>
      <t xml:space="preserve">&gt;3=10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,2.5-3=8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</si>
  <si>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付费用户增长，</t>
    </r>
    <r>
      <rPr>
        <sz val="9"/>
        <color rgb="FF000000"/>
        <rFont val="Linux Libertine G"/>
        <family val="2"/>
        <charset val="1"/>
      </rPr>
      <t xml:space="preserve">ARPU</t>
    </r>
    <r>
      <rPr>
        <sz val="9"/>
        <color rgb="FF000000"/>
        <rFont val="Linux Libertine G"/>
        <family val="2"/>
      </rPr>
      <t xml:space="preserve">提升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</si>
  <si>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直播电商</t>
    </r>
    <r>
      <rPr>
        <sz val="9"/>
        <color rgb="FF000000"/>
        <rFont val="微软雅黑"/>
        <family val="2"/>
        <charset val="134"/>
      </rPr>
      <t xml:space="preserve">GMV</t>
    </r>
  </si>
  <si>
    <t xml:space="preserve">直播电商高增，内容电商崛起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</si>
  <si>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传媒企业季度净利润</t>
    </r>
  </si>
  <si>
    <r>
      <rPr>
        <sz val="9"/>
        <color rgb="FF000000"/>
        <rFont val="微软雅黑"/>
        <family val="2"/>
        <charset val="134"/>
      </rPr>
      <t xml:space="preserve">&gt;30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,-15-0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</si>
  <si>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利润改善，广告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游戏贡献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</si>
  <si>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传媒行业毛利率</t>
    </r>
  </si>
  <si>
    <t xml:space="preserve">毛利率改善，内容成本优化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</si>
  <si>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传媒行业人均产出</t>
    </r>
  </si>
  <si>
    <t xml:space="preserve">万元</t>
  </si>
  <si>
    <t xml:space="preserve">人均产出提升，效率改善</t>
  </si>
  <si>
    <t xml:space="preserve">行业景气度量化跟踪体系（参数优化版）— 通信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</si>
  <si>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。订单、库存和利用率优先；不同子行业拆分后再汇总。｜核心验证：运营商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云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与订单；必选：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计划、光模块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设备订单</t>
    </r>
  </si>
  <si>
    <r>
      <rPr>
        <sz val="9"/>
        <color rgb="FF000000"/>
        <rFont val="微软雅黑"/>
        <family val="2"/>
        <charset val="134"/>
      </rPr>
      <t xml:space="preserve">1-5G</t>
    </r>
    <r>
      <rPr>
        <sz val="9"/>
        <color rgb="FF000000"/>
        <rFont val="Linux Libertine G"/>
        <family val="2"/>
      </rPr>
      <t xml:space="preserve">基站建设进度</t>
    </r>
  </si>
  <si>
    <t xml:space="preserve">425</t>
  </si>
  <si>
    <t xml:space="preserve">万个</t>
  </si>
  <si>
    <t xml:space="preserve">88%</t>
  </si>
  <si>
    <r>
      <rPr>
        <sz val="9"/>
        <color rgb="FF000000"/>
        <rFont val="微软雅黑"/>
        <family val="2"/>
        <charset val="134"/>
      </rPr>
      <t xml:space="preserve">5G</t>
    </r>
    <r>
      <rPr>
        <sz val="9"/>
        <color rgb="FF000000"/>
        <rFont val="Linux Libertine G"/>
        <family val="2"/>
      </rPr>
      <t xml:space="preserve">基站覆盖完善，网络建设领先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</si>
  <si>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运营商资本开支</t>
    </r>
  </si>
  <si>
    <t xml:space="preserve">三大运营商</t>
  </si>
  <si>
    <t xml:space="preserve">3800</t>
  </si>
  <si>
    <r>
      <rPr>
        <sz val="9"/>
        <color rgb="FF000000"/>
        <rFont val="微软雅黑"/>
        <family val="2"/>
        <charset val="134"/>
      </rPr>
      <t xml:space="preserve">&gt;3500=10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,3000-3500=8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,2500-3000=6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,2000-2500=4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,&lt;2000=2</t>
    </r>
    <r>
      <rPr>
        <sz val="9"/>
        <color rgb="FF000000"/>
        <rFont val="Linux Libertine G"/>
        <family val="2"/>
      </rPr>
      <t xml:space="preserve">分</t>
    </r>
  </si>
  <si>
    <t xml:space="preserve">资本开支高增，算力网络投资加大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</si>
  <si>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光模块出货量</t>
    </r>
  </si>
  <si>
    <t xml:space="preserve">LightCounting</t>
  </si>
  <si>
    <t xml:space="preserve">+45</t>
  </si>
  <si>
    <r>
      <rPr>
        <sz val="9"/>
        <color rgb="FF000000"/>
        <rFont val="Linux Libertine G"/>
        <family val="2"/>
      </rPr>
      <t xml:space="preserve">光模块爆发，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算力互联需求井喷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</si>
  <si>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数据中心建设规模</t>
    </r>
  </si>
  <si>
    <t xml:space="preserve">110</t>
  </si>
  <si>
    <t xml:space="preserve">万架</t>
  </si>
  <si>
    <t xml:space="preserve">数据中心建设加速，智算中心爆发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</si>
  <si>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移动互联网流量</t>
    </r>
  </si>
  <si>
    <r>
      <rPr>
        <sz val="9"/>
        <color rgb="FF000000"/>
        <rFont val="Linux Libertine G"/>
        <family val="2"/>
      </rPr>
      <t xml:space="preserve">流量高增，</t>
    </r>
    <r>
      <rPr>
        <sz val="9"/>
        <color rgb="FF000000"/>
        <rFont val="Linux Libertine G"/>
        <family val="2"/>
        <charset val="1"/>
      </rPr>
      <t xml:space="preserve">5G</t>
    </r>
    <r>
      <rPr>
        <sz val="9"/>
        <color rgb="FF000000"/>
        <rFont val="Linux Libertine G"/>
        <family val="2"/>
      </rPr>
      <t xml:space="preserve">应用渗透</t>
    </r>
  </si>
  <si>
    <r>
      <rPr>
        <sz val="9"/>
        <color rgb="FF000000"/>
        <rFont val="微软雅黑"/>
        <family val="2"/>
        <charset val="134"/>
      </rPr>
      <t xml:space="preserve">6-5G</t>
    </r>
    <r>
      <rPr>
        <sz val="9"/>
        <color rgb="FF000000"/>
        <rFont val="Linux Libertine G"/>
        <family val="2"/>
      </rPr>
      <t xml:space="preserve">用户数</t>
    </r>
  </si>
  <si>
    <t xml:space="preserve">10.5</t>
  </si>
  <si>
    <r>
      <rPr>
        <sz val="9"/>
        <color rgb="FF000000"/>
        <rFont val="微软雅黑"/>
        <family val="2"/>
        <charset val="134"/>
      </rPr>
      <t xml:space="preserve">&gt;10=10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,4-6=4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</si>
  <si>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5G</t>
    </r>
    <r>
      <rPr>
        <sz val="9"/>
        <color rgb="FF000000"/>
        <rFont val="Linux Libertine G"/>
        <family val="2"/>
      </rPr>
      <t xml:space="preserve">用户突破</t>
    </r>
    <r>
      <rPr>
        <sz val="9"/>
        <color rgb="FF000000"/>
        <rFont val="微软雅黑"/>
        <family val="2"/>
        <charset val="134"/>
      </rPr>
      <t xml:space="preserve">10</t>
    </r>
    <r>
      <rPr>
        <sz val="9"/>
        <color rgb="FF000000"/>
        <rFont val="Linux Libertine G"/>
        <family val="2"/>
      </rPr>
      <t xml:space="preserve">亿，渗透率持续提升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</si>
  <si>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电信业务收入</t>
    </r>
  </si>
  <si>
    <t xml:space="preserve">电信收入稳健，新兴业务贡献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</si>
  <si>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通信设备出货量</t>
    </r>
  </si>
  <si>
    <r>
      <rPr>
        <sz val="9"/>
        <color rgb="FF000000"/>
        <rFont val="Linux Libertine G"/>
        <family val="2"/>
      </rPr>
      <t xml:space="preserve">设备出货高增，</t>
    </r>
    <r>
      <rPr>
        <sz val="9"/>
        <color rgb="FF000000"/>
        <rFont val="Linux Libertine G"/>
        <family val="2"/>
        <charset val="1"/>
      </rPr>
      <t xml:space="preserve">5G/</t>
    </r>
    <r>
      <rPr>
        <sz val="9"/>
        <color rgb="FF000000"/>
        <rFont val="Linux Libertine G"/>
        <family val="2"/>
      </rPr>
      <t xml:space="preserve">算力需求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</si>
  <si>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通信企业季度净利润</t>
    </r>
  </si>
  <si>
    <t xml:space="preserve">125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</si>
  <si>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利润高增，运营商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设备商贡献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</si>
  <si>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通信行业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</si>
  <si>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改善，盈利能力提升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</si>
  <si>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通信行业资产负债率</t>
    </r>
  </si>
  <si>
    <t xml:space="preserve">行业景气度量化跟踪体系（参数优化版）— 银行</t>
  </si>
  <si>
    <r>
      <rPr>
        <b val="true"/>
        <sz val="9"/>
        <color rgb="FF000000"/>
        <rFont val="Linux Libertine G"/>
        <family val="2"/>
      </rPr>
      <t xml:space="preserve">默认阶段框架：防御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成熟｜先行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=30%/45%/25%</t>
    </r>
    <r>
      <rPr>
        <b val="true"/>
        <sz val="9"/>
        <color rgb="FF000000"/>
        <rFont val="Linux Libertine G"/>
        <family val="2"/>
      </rPr>
      <t xml:space="preserve">。同步经营和现金流优先；先行指标只作边际变化确认。｜核心验证：信用扩张、息差与资产质量；必选：社融、贷款投放、利率曲线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</si>
  <si>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社融规模增速</t>
    </r>
  </si>
  <si>
    <t xml:space="preserve">+11.5</t>
  </si>
  <si>
    <r>
      <rPr>
        <sz val="9"/>
        <color rgb="FF000000"/>
        <rFont val="微软雅黑"/>
        <family val="2"/>
        <charset val="134"/>
      </rPr>
      <t xml:space="preserve">&gt;12%=10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</si>
  <si>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2-M2</t>
    </r>
    <r>
      <rPr>
        <sz val="9"/>
        <color rgb="FF000000"/>
        <rFont val="Linux Libertine G"/>
        <family val="2"/>
      </rPr>
      <t xml:space="preserve">增速</t>
    </r>
  </si>
  <si>
    <t xml:space="preserve">+8.8</t>
  </si>
  <si>
    <r>
      <rPr>
        <sz val="9"/>
        <color rgb="FF000000"/>
        <rFont val="微软雅黑"/>
        <family val="2"/>
        <charset val="134"/>
      </rPr>
      <t xml:space="preserve">&gt;10%=10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,4-6%=4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</si>
  <si>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M2</t>
    </r>
    <r>
      <rPr>
        <sz val="9"/>
        <color rgb="FF000000"/>
        <rFont val="Linux Libertine G"/>
        <family val="2"/>
      </rPr>
      <t xml:space="preserve">增速回升，流动性充裕</t>
    </r>
  </si>
  <si>
    <r>
      <rPr>
        <sz val="9"/>
        <color rgb="FF000000"/>
        <rFont val="微软雅黑"/>
        <family val="2"/>
        <charset val="134"/>
      </rPr>
      <t xml:space="preserve">3-10</t>
    </r>
    <r>
      <rPr>
        <sz val="9"/>
        <color rgb="FF000000"/>
        <rFont val="Linux Libertine G"/>
        <family val="2"/>
      </rPr>
      <t xml:space="preserve">年期国债收益率</t>
    </r>
  </si>
  <si>
    <t xml:space="preserve">中债登</t>
  </si>
  <si>
    <t xml:space="preserve">2.35</t>
  </si>
  <si>
    <r>
      <rPr>
        <sz val="9"/>
        <color rgb="FF000000"/>
        <rFont val="微软雅黑"/>
        <family val="2"/>
        <charset val="134"/>
      </rPr>
      <t xml:space="preserve">2.5-3.0=10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3.0-3.5=8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3.5-4.0=6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,&lt;1.5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&gt;4.0=4</t>
    </r>
    <r>
      <rPr>
        <sz val="9"/>
        <color rgb="FF000000"/>
        <rFont val="Linux Libertine G"/>
        <family val="2"/>
      </rPr>
      <t xml:space="preserve">分</t>
    </r>
  </si>
  <si>
    <t xml:space="preserve">利率处于低位，息差承压</t>
  </si>
  <si>
    <r>
      <rPr>
        <sz val="9"/>
        <color rgb="FF000000"/>
        <rFont val="微软雅黑"/>
        <family val="2"/>
        <charset val="134"/>
      </rPr>
      <t xml:space="preserve">4-LPR</t>
    </r>
    <r>
      <rPr>
        <sz val="9"/>
        <color rgb="FF000000"/>
        <rFont val="Linux Libertine G"/>
        <family val="2"/>
      </rPr>
      <t xml:space="preserve">利率变化</t>
    </r>
  </si>
  <si>
    <r>
      <rPr>
        <sz val="9"/>
        <color rgb="FF000000"/>
        <rFont val="微软雅黑"/>
        <family val="2"/>
        <charset val="134"/>
      </rPr>
      <t xml:space="preserve">bp(</t>
    </r>
    <r>
      <rPr>
        <sz val="9"/>
        <color rgb="FF000000"/>
        <rFont val="Linux Libertine G"/>
        <family val="2"/>
      </rPr>
      <t xml:space="preserve">累计</t>
    </r>
    <r>
      <rPr>
        <sz val="9"/>
        <color rgb="FF000000"/>
        <rFont val="微软雅黑"/>
        <family val="2"/>
        <charset val="134"/>
      </rPr>
      <t xml:space="preserve">)</t>
    </r>
  </si>
  <si>
    <r>
      <rPr>
        <sz val="9"/>
        <color rgb="FF000000"/>
        <rFont val="Linux Libertine G"/>
        <family val="2"/>
      </rPr>
      <t xml:space="preserve">下调</t>
    </r>
    <r>
      <rPr>
        <sz val="9"/>
        <color rgb="FF000000"/>
        <rFont val="Linux Libertine G"/>
        <family val="2"/>
        <charset val="1"/>
      </rPr>
      <t xml:space="preserve">&gt;20bp=10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下调</t>
    </r>
    <r>
      <rPr>
        <sz val="9"/>
        <color rgb="FF000000"/>
        <rFont val="Linux Libertine G"/>
        <family val="2"/>
        <charset val="1"/>
      </rPr>
      <t xml:space="preserve">10-20bp=8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不变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上调</t>
    </r>
    <r>
      <rPr>
        <sz val="9"/>
        <color rgb="FF000000"/>
        <rFont val="Linux Libertine G"/>
        <family val="2"/>
        <charset val="1"/>
      </rPr>
      <t xml:space="preserve">10-20bp=4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上调</t>
    </r>
    <r>
      <rPr>
        <sz val="9"/>
        <color rgb="FF000000"/>
        <rFont val="Linux Libertine G"/>
        <family val="2"/>
        <charset val="1"/>
      </rPr>
      <t xml:space="preserve">&gt;20bp=2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</si>
  <si>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LPR</t>
    </r>
    <r>
      <rPr>
        <sz val="9"/>
        <color rgb="FF000000"/>
        <rFont val="Linux Libertine G"/>
        <family val="2"/>
      </rPr>
      <t xml:space="preserve">多次下调，刺激信贷需求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</si>
  <si>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人民币贷款增速</t>
    </r>
  </si>
  <si>
    <t xml:space="preserve">+10.5</t>
  </si>
  <si>
    <t xml:space="preserve">贷款增速稳健，信贷需求恢复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</si>
  <si>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净息差</t>
    </r>
    <r>
      <rPr>
        <sz val="9"/>
        <color rgb="FF000000"/>
        <rFont val="微软雅黑"/>
        <family val="2"/>
        <charset val="134"/>
      </rPr>
      <t xml:space="preserve">(NIM)</t>
    </r>
  </si>
  <si>
    <t xml:space="preserve">银保监会</t>
  </si>
  <si>
    <t xml:space="preserve">1.75</t>
  </si>
  <si>
    <r>
      <rPr>
        <sz val="9"/>
        <color rgb="FF000000"/>
        <rFont val="微软雅黑"/>
        <family val="2"/>
        <charset val="134"/>
      </rPr>
      <t xml:space="preserve">&gt;2.2%=10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,1.9-2.2%=8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,1.6-1.9%=6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,1.3-1.6%=4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,&lt;1.3%=2</t>
    </r>
    <r>
      <rPr>
        <sz val="9"/>
        <color rgb="FF000000"/>
        <rFont val="Linux Libertine G"/>
        <family val="2"/>
      </rPr>
      <t xml:space="preserve">分</t>
    </r>
  </si>
  <si>
    <t xml:space="preserve">净息差收窄，盈利能力承压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</si>
  <si>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不良贷款率</t>
    </r>
  </si>
  <si>
    <t xml:space="preserve">1.62</t>
  </si>
  <si>
    <r>
      <rPr>
        <sz val="9"/>
        <color rgb="FF000000"/>
        <rFont val="微软雅黑"/>
        <family val="2"/>
        <charset val="134"/>
      </rPr>
      <t xml:space="preserve">&lt;1.5%=10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,1.5-1.8%=8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,1.8-2.1%=6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,2.1-2.5%=4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,&gt;2.5%=2</t>
    </r>
    <r>
      <rPr>
        <sz val="9"/>
        <color rgb="FF000000"/>
        <rFont val="Linux Libertine G"/>
        <family val="2"/>
      </rPr>
      <t xml:space="preserve">分</t>
    </r>
  </si>
  <si>
    <t xml:space="preserve">不良率可控，资产质量稳定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</si>
  <si>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银行中间业务收入增速</t>
    </r>
  </si>
  <si>
    <t xml:space="preserve">中收增速温和，财富管理恢复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</si>
  <si>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银行季度净利润增速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</si>
  <si>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利润正增，但增速放缓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</si>
  <si>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银行</t>
    </r>
    <r>
      <rPr>
        <sz val="9"/>
        <color rgb="FF000000"/>
        <rFont val="微软雅黑"/>
        <family val="2"/>
        <charset val="134"/>
      </rPr>
      <t xml:space="preserve">ROE</t>
    </r>
  </si>
  <si>
    <t xml:space="preserve">9.8</t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</si>
  <si>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下行，息差收窄拖累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</si>
  <si>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拨备覆盖率</t>
    </r>
  </si>
  <si>
    <t xml:space="preserve">245</t>
  </si>
  <si>
    <r>
      <rPr>
        <sz val="9"/>
        <color rgb="FF000000"/>
        <rFont val="微软雅黑"/>
        <family val="2"/>
        <charset val="134"/>
      </rPr>
      <t xml:space="preserve">&gt;300%=10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,250-300%=8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,200-250%=6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,150-200%=4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,&lt;150%=2</t>
    </r>
    <r>
      <rPr>
        <sz val="9"/>
        <color rgb="FF000000"/>
        <rFont val="Linux Libertine G"/>
        <family val="2"/>
      </rPr>
      <t xml:space="preserve">分</t>
    </r>
  </si>
  <si>
    <t xml:space="preserve">拨备充足，风险抵补能力强</t>
  </si>
  <si>
    <t xml:space="preserve">行业景气度量化跟踪体系（参数优化版）— 非银金融</t>
  </si>
  <si>
    <r>
      <rPr>
        <b val="true"/>
        <sz val="9"/>
        <color rgb="FF000000"/>
        <rFont val="Linux Libertine G"/>
        <family val="2"/>
      </rPr>
      <t xml:space="preserve">默认阶段框架：信用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风险偏好周期｜先行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=35%/45%/20%</t>
    </r>
    <r>
      <rPr>
        <b val="true"/>
        <sz val="9"/>
        <color rgb="FF000000"/>
        <rFont val="Linux Libertine G"/>
        <family val="2"/>
      </rPr>
      <t xml:space="preserve">。信用与资产质量优先；券商、保险、银行不宜混算。｜核心验证：成交活跃、产品发行与投资回报；必选：成交额、两融、基金发行</t>
    </r>
  </si>
  <si>
    <r>
      <rPr>
        <sz val="9"/>
        <color rgb="FF000000"/>
        <rFont val="微软雅黑"/>
        <family val="2"/>
        <charset val="134"/>
      </rPr>
      <t xml:space="preserve">1-A</t>
    </r>
    <r>
      <rPr>
        <sz val="9"/>
        <color rgb="FF000000"/>
        <rFont val="Linux Libertine G"/>
        <family val="2"/>
      </rPr>
      <t xml:space="preserve">股日均成交额</t>
    </r>
  </si>
  <si>
    <t xml:space="preserve">交易所</t>
  </si>
  <si>
    <t xml:space="preserve">11800</t>
  </si>
  <si>
    <r>
      <rPr>
        <sz val="9"/>
        <color rgb="FF000000"/>
        <rFont val="微软雅黑"/>
        <family val="2"/>
        <charset val="134"/>
      </rPr>
      <t xml:space="preserve">&gt;15000=10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,10000-15000=8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,7000-10000=6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,4000-7000=4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,&lt;4000=2</t>
    </r>
    <r>
      <rPr>
        <sz val="9"/>
        <color rgb="FF000000"/>
        <rFont val="Linux Libertine G"/>
        <family val="2"/>
      </rPr>
      <t xml:space="preserve">分</t>
    </r>
  </si>
  <si>
    <t xml:space="preserve">成交额回升，市场活跃度改善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</si>
  <si>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两融余额变化</t>
    </r>
  </si>
  <si>
    <t xml:space="preserve">两融余额回升，杠杆资金入场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</si>
  <si>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新成立基金规模</t>
    </r>
  </si>
  <si>
    <t xml:space="preserve">中基协</t>
  </si>
  <si>
    <t xml:space="preserve">基金发行回暖，居民配置意愿恢复</t>
  </si>
  <si>
    <r>
      <rPr>
        <sz val="9"/>
        <color rgb="FF000000"/>
        <rFont val="微软雅黑"/>
        <family val="2"/>
        <charset val="134"/>
      </rPr>
      <t xml:space="preserve">4-IPO/</t>
    </r>
    <r>
      <rPr>
        <sz val="9"/>
        <color rgb="FF000000"/>
        <rFont val="Linux Libertine G"/>
        <family val="2"/>
      </rPr>
      <t xml:space="preserve">再融资规模</t>
    </r>
  </si>
  <si>
    <t xml:space="preserve">证监会</t>
  </si>
  <si>
    <t xml:space="preserve">850</t>
  </si>
  <si>
    <r>
      <rPr>
        <sz val="9"/>
        <color rgb="FF000000"/>
        <rFont val="微软雅黑"/>
        <family val="2"/>
        <charset val="134"/>
      </rPr>
      <t xml:space="preserve">IPO</t>
    </r>
    <r>
      <rPr>
        <sz val="9"/>
        <color rgb="FF000000"/>
        <rFont val="Linux Libertine G"/>
        <family val="2"/>
      </rPr>
      <t xml:space="preserve">再融资温和，投行业务恢复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</si>
  <si>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券商经纪业务收入</t>
    </r>
  </si>
  <si>
    <t xml:space="preserve">证券业协会</t>
  </si>
  <si>
    <t xml:space="preserve">经纪收入增长，成交活跃度提升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</si>
  <si>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券商投行业务收入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</si>
  <si>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,&lt;-10%=2</t>
    </r>
    <r>
      <rPr>
        <sz val="9"/>
        <color rgb="FF000000"/>
        <rFont val="Linux Libertine G"/>
        <family val="2"/>
      </rPr>
      <t xml:space="preserve">分</t>
    </r>
  </si>
  <si>
    <t xml:space="preserve">投行收入温和增长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</si>
  <si>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保险保费收入增速</t>
    </r>
  </si>
  <si>
    <t xml:space="preserve">保费收入回暖，储蓄型产品热销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</si>
  <si>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保险资金运用收益率</t>
    </r>
  </si>
  <si>
    <t xml:space="preserve">投资收益改善，权益市场回暖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</si>
  <si>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非银企业季度净利润</t>
    </r>
  </si>
  <si>
    <t xml:space="preserve">165</t>
  </si>
  <si>
    <r>
      <rPr>
        <sz val="9"/>
        <color rgb="FF000000"/>
        <rFont val="微软雅黑"/>
        <family val="2"/>
        <charset val="134"/>
      </rPr>
      <t xml:space="preserve">&gt;200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,-100-0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</si>
  <si>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利润改善，券商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保险贡献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</si>
  <si>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券商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</si>
  <si>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改善，但绝对水平仍偏低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</si>
  <si>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保险综合偿付能力充足率</t>
    </r>
  </si>
  <si>
    <t xml:space="preserve">225</t>
  </si>
  <si>
    <r>
      <rPr>
        <sz val="9"/>
        <color rgb="FF000000"/>
        <rFont val="微软雅黑"/>
        <family val="2"/>
        <charset val="134"/>
      </rPr>
      <t xml:space="preserve">&gt;250%=10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,200-250%=8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,150-200%=6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,120-150%=4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,&lt;120%=2</t>
    </r>
    <r>
      <rPr>
        <sz val="9"/>
        <color rgb="FF000000"/>
        <rFont val="Linux Libertine G"/>
        <family val="2"/>
      </rPr>
      <t xml:space="preserve">分</t>
    </r>
  </si>
  <si>
    <t xml:space="preserve">偿付能力充足，风险抵御能力强</t>
  </si>
  <si>
    <t xml:space="preserve">行业景气度量化跟踪体系（参数优化版）— 汽车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</si>
  <si>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利润交叉确认，使用季调数据。｜核心验证：产品周期、出口与库存；必选：库存系数、新品周期、出口订单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</si>
  <si>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汽车经销商库存系数</t>
    </r>
  </si>
  <si>
    <t xml:space="preserve">中国汽车流通协会</t>
  </si>
  <si>
    <t xml:space="preserve">1.55</t>
  </si>
  <si>
    <r>
      <rPr>
        <sz val="9"/>
        <color rgb="FF000000"/>
        <rFont val="微软雅黑"/>
        <family val="2"/>
        <charset val="134"/>
      </rPr>
      <t xml:space="preserve">&lt;1.2=10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,1.2-1.5=8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,1.5-1.8=6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,1.8-2.2=4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,&gt;2.2=2</t>
    </r>
    <r>
      <rPr>
        <sz val="9"/>
        <color rgb="FF000000"/>
        <rFont val="Linux Libertine G"/>
        <family val="2"/>
      </rPr>
      <t xml:space="preserve">分</t>
    </r>
  </si>
  <si>
    <t xml:space="preserve">库存系数回落，去库进展顺利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</si>
  <si>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新能源汽车渗透率</t>
    </r>
  </si>
  <si>
    <t xml:space="preserve">中汽协</t>
  </si>
  <si>
    <t xml:space="preserve">42.5</t>
  </si>
  <si>
    <t xml:space="preserve">渗透率快速提升，电动化加速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</si>
  <si>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动力电池装车量增速</t>
    </r>
  </si>
  <si>
    <t xml:space="preserve">中国汽车动力电池产业创新联盟</t>
  </si>
  <si>
    <t xml:space="preserve">+38</t>
  </si>
  <si>
    <t xml:space="preserve">电池装车高增，新能源车产销两旺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</si>
  <si>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汽车出口量增速</t>
    </r>
  </si>
  <si>
    <t xml:space="preserve">汽车出口强劲，全球化加速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</si>
  <si>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汽车销量增速</t>
    </r>
  </si>
  <si>
    <t xml:space="preserve">+9.5</t>
  </si>
  <si>
    <t xml:space="preserve">汽车销量稳健增长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</si>
  <si>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新能源汽车销量</t>
    </r>
  </si>
  <si>
    <r>
      <rPr>
        <sz val="9"/>
        <color rgb="FF000000"/>
        <rFont val="Linux Libertine G"/>
        <family val="2"/>
      </rPr>
      <t xml:space="preserve">万辆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</si>
  <si>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t xml:space="preserve">新能源车销量高增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</si>
  <si>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乘用车批发量</t>
    </r>
  </si>
  <si>
    <t xml:space="preserve">乘联会</t>
  </si>
  <si>
    <t xml:space="preserve">198</t>
  </si>
  <si>
    <r>
      <rPr>
        <sz val="9"/>
        <color rgb="FF000000"/>
        <rFont val="微软雅黑"/>
        <family val="2"/>
        <charset val="134"/>
      </rPr>
      <t xml:space="preserve">&gt;200=10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,180-200=8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,160-180=6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,140-160=4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,&lt;140=2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</si>
  <si>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乘用车批发接近</t>
    </r>
    <r>
      <rPr>
        <sz val="9"/>
        <color rgb="FF000000"/>
        <rFont val="Linux Libertine G"/>
        <family val="2"/>
        <charset val="1"/>
      </rPr>
      <t xml:space="preserve">200</t>
    </r>
    <r>
      <rPr>
        <sz val="9"/>
        <color rgb="FF000000"/>
        <rFont val="Linux Libertine G"/>
        <family val="2"/>
      </rPr>
      <t xml:space="preserve">万，需求旺盛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</si>
  <si>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汽车制造业</t>
    </r>
    <r>
      <rPr>
        <sz val="9"/>
        <color rgb="FF000000"/>
        <rFont val="微软雅黑"/>
        <family val="2"/>
        <charset val="134"/>
      </rPr>
      <t xml:space="preserve">PMI</t>
    </r>
  </si>
  <si>
    <t xml:space="preserve">52.5</t>
  </si>
  <si>
    <r>
      <rPr>
        <sz val="9"/>
        <color rgb="FF000000"/>
        <rFont val="Linux Libertine G"/>
        <family val="2"/>
      </rPr>
      <t xml:space="preserve">制造业</t>
    </r>
    <r>
      <rPr>
        <sz val="9"/>
        <color rgb="FF000000"/>
        <rFont val="Linux Libertine G"/>
        <family val="2"/>
        <charset val="1"/>
      </rPr>
      <t xml:space="preserve">PMI</t>
    </r>
    <r>
      <rPr>
        <sz val="9"/>
        <color rgb="FF000000"/>
        <rFont val="Linux Libertine G"/>
        <family val="2"/>
      </rPr>
      <t xml:space="preserve">扩张，汽车生产活跃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</si>
  <si>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汽车企业季度净利润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</si>
  <si>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利润高增，出口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新能源贡献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</si>
  <si>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汽车行业产能利用率</t>
    </r>
  </si>
  <si>
    <t xml:space="preserve">产能利用率回升，供需改善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</si>
  <si>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汽车制造业固定资产投资</t>
    </r>
  </si>
  <si>
    <t xml:space="preserve">投资高增，新能源产能扩张</t>
  </si>
  <si>
    <t xml:space="preserve">行业景气度量化跟踪体系（参数优化版）— 机械设备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</si>
  <si>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。订单、库存和利用率优先；不同子行业拆分后再汇总。｜核心验证：制造业资本开支、订单与出口；必选：</t>
    </r>
    <r>
      <rPr>
        <b val="true"/>
        <sz val="9"/>
        <color rgb="FF000000"/>
        <rFont val="Linux Libertine G"/>
        <family val="2"/>
        <charset val="1"/>
      </rPr>
      <t xml:space="preserve">PMI</t>
    </r>
    <r>
      <rPr>
        <b val="true"/>
        <sz val="9"/>
        <color rgb="FF000000"/>
        <rFont val="Linux Libertine G"/>
        <family val="2"/>
      </rPr>
      <t xml:space="preserve">新订单、开工小时、设备订单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</si>
  <si>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制造业固定资产投资增速</t>
    </r>
  </si>
  <si>
    <t xml:space="preserve">制造业投资高增，设备更新需求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</si>
  <si>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挖掘机开工小时数</t>
    </r>
  </si>
  <si>
    <t xml:space="preserve">小松</t>
  </si>
  <si>
    <t xml:space="preserve">108</t>
  </si>
  <si>
    <r>
      <rPr>
        <sz val="9"/>
        <color rgb="FF000000"/>
        <rFont val="Linux Libertine G"/>
        <family val="2"/>
      </rPr>
      <t xml:space="preserve">小时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</si>
  <si>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&gt;120=10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,100-120=8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,80-100=6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,&lt;60=2</t>
    </r>
    <r>
      <rPr>
        <sz val="9"/>
        <color rgb="FF000000"/>
        <rFont val="Linux Libertine G"/>
        <family val="2"/>
      </rPr>
      <t xml:space="preserve">分</t>
    </r>
  </si>
  <si>
    <t xml:space="preserve">开工小时回升，施工活跃度改善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</si>
  <si>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机床订单增速</t>
    </r>
  </si>
  <si>
    <t xml:space="preserve">日本机床工业协会</t>
  </si>
  <si>
    <t xml:space="preserve">机床订单回暖，制造业复苏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</si>
  <si>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工业机器人产量增速</t>
    </r>
  </si>
  <si>
    <t xml:space="preserve">机器人产量高增，自动化升级加速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</si>
  <si>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挖掘机销量增速</t>
    </r>
  </si>
  <si>
    <t xml:space="preserve">中国工程机械工业协会</t>
  </si>
  <si>
    <r>
      <rPr>
        <sz val="9"/>
        <color rgb="FF000000"/>
        <rFont val="Linux Libertine G"/>
        <family val="2"/>
      </rPr>
      <t xml:space="preserve">挖机销量转正，基建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矿山需求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</si>
  <si>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金属切削机床产量</t>
    </r>
  </si>
  <si>
    <t xml:space="preserve">机床产量回升，高端制造需求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</si>
  <si>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叉车销量增速</t>
    </r>
  </si>
  <si>
    <r>
      <rPr>
        <sz val="9"/>
        <color rgb="FF000000"/>
        <rFont val="Linux Libertine G"/>
        <family val="2"/>
      </rPr>
      <t xml:space="preserve">叉车销量高增，物流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仓储需求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</si>
  <si>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机械设备出口增速</t>
    </r>
  </si>
  <si>
    <t xml:space="preserve">机械出口强劲，海外竞争力提升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</si>
  <si>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机械企业季度净利润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</si>
  <si>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利润改善，出口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自动化贡献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</si>
  <si>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机械行业毛利率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</si>
  <si>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机械行业产能利用率</t>
    </r>
  </si>
  <si>
    <t xml:space="preserve">76</t>
  </si>
  <si>
    <t xml:space="preserve">行业景气度量化跟踪体系（参数优化版）— 煤炭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</si>
  <si>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。先用库存、供给、订单确认反转；价格本身不能直接等同高景气。｜核心验证：日耗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库存与供给约束；必选：日耗、港口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电厂库存、进口、安监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</si>
  <si>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动力煤港口库存</t>
    </r>
  </si>
  <si>
    <t xml:space="preserve">秦皇岛港</t>
  </si>
  <si>
    <t xml:space="preserve">万吨</t>
  </si>
  <si>
    <r>
      <rPr>
        <sz val="9"/>
        <color rgb="FF000000"/>
        <rFont val="微软雅黑"/>
        <family val="2"/>
        <charset val="134"/>
      </rPr>
      <t xml:space="preserve">&lt;500=10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,500-600=8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,600-700=6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,700-800=4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,&gt;800=2</t>
    </r>
    <r>
      <rPr>
        <sz val="9"/>
        <color rgb="FF000000"/>
        <rFont val="Linux Libertine G"/>
        <family val="2"/>
      </rPr>
      <t xml:space="preserve">分</t>
    </r>
  </si>
  <si>
    <t xml:space="preserve">港口库存偏低，供给偏紧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</si>
  <si>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焦煤港口库存</t>
    </r>
  </si>
  <si>
    <t xml:space="preserve">京唐港</t>
  </si>
  <si>
    <r>
      <rPr>
        <sz val="9"/>
        <color rgb="FF000000"/>
        <rFont val="微软雅黑"/>
        <family val="2"/>
        <charset val="134"/>
      </rPr>
      <t xml:space="preserve">&lt;200=10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,200-250=8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,250-300=6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,300-350=4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,&gt;350=2</t>
    </r>
    <r>
      <rPr>
        <sz val="9"/>
        <color rgb="FF000000"/>
        <rFont val="Linux Libertine G"/>
        <family val="2"/>
      </rPr>
      <t xml:space="preserve">分</t>
    </r>
  </si>
  <si>
    <t xml:space="preserve">焦煤库存低位，供给紧张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</si>
  <si>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电厂日耗煤量</t>
    </r>
  </si>
  <si>
    <t xml:space="preserve">六大电厂</t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</si>
  <si>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</si>
  <si>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日耗高增，夏季用电高峰来临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</si>
  <si>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进口煤数量增速</t>
    </r>
  </si>
  <si>
    <t xml:space="preserve">进口煤平稳，国内供给充足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</si>
  <si>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动力煤现货价格</t>
    </r>
  </si>
  <si>
    <t xml:space="preserve">860</t>
  </si>
  <si>
    <r>
      <rPr>
        <sz val="9"/>
        <color rgb="FF000000"/>
        <rFont val="微软雅黑"/>
        <family val="2"/>
        <charset val="134"/>
      </rPr>
      <t xml:space="preserve">800-900=10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,700-800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900-1000=8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,600-700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1000-1100=6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&gt;1100=4</t>
    </r>
    <r>
      <rPr>
        <sz val="9"/>
        <color rgb="FF000000"/>
        <rFont val="Linux Libertine G"/>
        <family val="2"/>
      </rPr>
      <t xml:space="preserve">分</t>
    </r>
  </si>
  <si>
    <t xml:space="preserve">煤价中枢回升，供需偏紧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</si>
  <si>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焦煤现货价格</t>
    </r>
  </si>
  <si>
    <t xml:space="preserve">1950</t>
  </si>
  <si>
    <r>
      <rPr>
        <sz val="9"/>
        <color rgb="FF000000"/>
        <rFont val="微软雅黑"/>
        <family val="2"/>
        <charset val="134"/>
      </rPr>
      <t xml:space="preserve">1800-2200=10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,1500-1800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2200-2500=8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,1200-1500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2500-2800=6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,&lt;1200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&gt;2800=4</t>
    </r>
    <r>
      <rPr>
        <sz val="9"/>
        <color rgb="FF000000"/>
        <rFont val="Linux Libertine G"/>
        <family val="2"/>
      </rPr>
      <t xml:space="preserve">分</t>
    </r>
  </si>
  <si>
    <t xml:space="preserve">焦煤价格回升，钢铁需求拉动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</si>
  <si>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焦炭价格</t>
    </r>
  </si>
  <si>
    <t xml:space="preserve">2350</t>
  </si>
  <si>
    <r>
      <rPr>
        <sz val="9"/>
        <color rgb="FF000000"/>
        <rFont val="微软雅黑"/>
        <family val="2"/>
        <charset val="134"/>
      </rPr>
      <t xml:space="preserve">&gt;2500=10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,2200-2500=8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,1900-2200=6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,1600-1900=4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,&lt;1600=2</t>
    </r>
    <r>
      <rPr>
        <sz val="9"/>
        <color rgb="FF000000"/>
        <rFont val="Linux Libertine G"/>
        <family val="2"/>
      </rPr>
      <t xml:space="preserve">分</t>
    </r>
  </si>
  <si>
    <t xml:space="preserve">焦炭价格上涨，成本传导顺畅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</si>
  <si>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煤炭运价指数</t>
    </r>
  </si>
  <si>
    <t xml:space="preserve">CBCFI</t>
  </si>
  <si>
    <t xml:space="preserve">950</t>
  </si>
  <si>
    <r>
      <rPr>
        <sz val="9"/>
        <color rgb="FF000000"/>
        <rFont val="微软雅黑"/>
        <family val="2"/>
        <charset val="134"/>
      </rPr>
      <t xml:space="preserve">&gt;1000=10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,600-800=6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,400-600=4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,&lt;400=2</t>
    </r>
    <r>
      <rPr>
        <sz val="9"/>
        <color rgb="FF000000"/>
        <rFont val="Linux Libertine G"/>
        <family val="2"/>
      </rPr>
      <t xml:space="preserve">分</t>
    </r>
  </si>
  <si>
    <t xml:space="preserve">运价回升，煤炭运输活跃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</si>
  <si>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煤炭企业季度净利润</t>
    </r>
  </si>
  <si>
    <t xml:space="preserve">285</t>
  </si>
  <si>
    <r>
      <rPr>
        <sz val="9"/>
        <color rgb="FF000000"/>
        <rFont val="微软雅黑"/>
        <family val="2"/>
        <charset val="134"/>
      </rPr>
      <t xml:space="preserve">&gt;300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,150-300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,-150-0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,&lt;-150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</si>
  <si>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利润下滑，煤价同比回落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</si>
  <si>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煤炭行业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</si>
  <si>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回落，但仍处较好水平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</si>
  <si>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煤炭行业资产负债率</t>
    </r>
  </si>
  <si>
    <t xml:space="preserve">负债率下降，现金流充裕</t>
  </si>
  <si>
    <t xml:space="preserve">行业景气度量化跟踪体系（参数优化版）— 石油石化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</si>
  <si>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。先用库存、供给、订单确认反转；价格本身不能直接等同高景气。｜核心验证：全球供需、库存与炼化价差；必选：</t>
    </r>
    <r>
      <rPr>
        <b val="true"/>
        <sz val="9"/>
        <color rgb="FF000000"/>
        <rFont val="Linux Libertine G"/>
        <family val="2"/>
        <charset val="1"/>
      </rPr>
      <t xml:space="preserve">OPEC</t>
    </r>
    <r>
      <rPr>
        <b val="true"/>
        <sz val="9"/>
        <color rgb="FF000000"/>
        <rFont val="Linux Libertine G"/>
        <family val="2"/>
      </rPr>
      <t xml:space="preserve">、库存、需求预期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</si>
  <si>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原油价格</t>
    </r>
    <r>
      <rPr>
        <sz val="9"/>
        <color rgb="FF000000"/>
        <rFont val="微软雅黑"/>
        <family val="2"/>
        <charset val="134"/>
      </rPr>
      <t xml:space="preserve">(Brent)</t>
    </r>
  </si>
  <si>
    <t xml:space="preserve">ICE</t>
  </si>
  <si>
    <r>
      <rPr>
        <sz val="9"/>
        <color rgb="FF000000"/>
        <rFont val="微软雅黑"/>
        <family val="2"/>
        <charset val="134"/>
      </rPr>
      <t xml:space="preserve">70-80=10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80-90=8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90-100=6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</t>
    </r>
    <r>
      <rPr>
        <sz val="9"/>
        <color rgb="FF000000"/>
        <rFont val="Linux Libertine G"/>
        <family val="2"/>
      </rPr>
      <t xml:space="preserve">或</t>
    </r>
    <r>
      <rPr>
        <sz val="9"/>
        <color rgb="FF000000"/>
        <rFont val="微软雅黑"/>
        <family val="2"/>
        <charset val="134"/>
      </rPr>
      <t xml:space="preserve">&gt;100=4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</si>
  <si>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2-OPEC+</t>
    </r>
    <r>
      <rPr>
        <sz val="9"/>
        <color rgb="FF000000"/>
        <rFont val="Linux Libertine G"/>
        <family val="2"/>
      </rPr>
      <t xml:space="preserve">产量政策</t>
    </r>
  </si>
  <si>
    <t xml:space="preserve">OPEC</t>
  </si>
  <si>
    <t xml:space="preserve">-50</t>
  </si>
  <si>
    <r>
      <rPr>
        <sz val="9"/>
        <color rgb="FF000000"/>
        <rFont val="Linux Libertine G"/>
        <family val="2"/>
      </rPr>
      <t xml:space="preserve">万桶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日</t>
    </r>
    <r>
      <rPr>
        <sz val="9"/>
        <color rgb="FF000000"/>
        <rFont val="Linux Libertine G"/>
        <family val="2"/>
        <charset val="1"/>
      </rPr>
      <t xml:space="preserve">(</t>
    </r>
    <r>
      <rPr>
        <sz val="9"/>
        <color rgb="FF000000"/>
        <rFont val="Linux Libertine G"/>
        <family val="2"/>
      </rPr>
      <t xml:space="preserve">减产</t>
    </r>
    <r>
      <rPr>
        <sz val="9"/>
        <color rgb="FF000000"/>
        <rFont val="Linux Libertine G"/>
        <family val="2"/>
        <charset val="1"/>
      </rPr>
      <t xml:space="preserve">)</t>
    </r>
  </si>
  <si>
    <t xml:space="preserve">支撑</t>
  </si>
  <si>
    <r>
      <rPr>
        <sz val="9"/>
        <color rgb="FF000000"/>
        <rFont val="Linux Libertine G"/>
        <family val="2"/>
      </rPr>
      <t xml:space="preserve">减产</t>
    </r>
    <r>
      <rPr>
        <sz val="9"/>
        <color rgb="FF000000"/>
        <rFont val="Linux Libertine G"/>
        <family val="2"/>
        <charset val="1"/>
      </rPr>
      <t xml:space="preserve">&gt;100=10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减产</t>
    </r>
    <r>
      <rPr>
        <sz val="9"/>
        <color rgb="FF000000"/>
        <rFont val="Linux Libertine G"/>
        <family val="2"/>
        <charset val="1"/>
      </rPr>
      <t xml:space="preserve">50-100=8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不变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增产</t>
    </r>
    <r>
      <rPr>
        <sz val="9"/>
        <color rgb="FF000000"/>
        <rFont val="Linux Libertine G"/>
        <family val="2"/>
        <charset val="1"/>
      </rPr>
      <t xml:space="preserve">50-100=4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增产</t>
    </r>
    <r>
      <rPr>
        <sz val="9"/>
        <color rgb="FF000000"/>
        <rFont val="Linux Libertine G"/>
        <family val="2"/>
        <charset val="1"/>
      </rPr>
      <t xml:space="preserve">&gt;100=2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</si>
  <si>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OPEC+</t>
    </r>
    <r>
      <rPr>
        <sz val="9"/>
        <color rgb="FF000000"/>
        <rFont val="Linux Libertine G"/>
        <family val="2"/>
      </rPr>
      <t xml:space="preserve">维持减产，供给端有支撑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</si>
  <si>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美国原油库存变化</t>
    </r>
  </si>
  <si>
    <t xml:space="preserve">EIA</t>
  </si>
  <si>
    <t xml:space="preserve">%WoW</t>
  </si>
  <si>
    <r>
      <rPr>
        <sz val="9"/>
        <color rgb="FF000000"/>
        <rFont val="微软雅黑"/>
        <family val="2"/>
        <charset val="134"/>
      </rPr>
      <t xml:space="preserve">&lt;-1%=10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,1-2%=4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,&gt;2%=2</t>
    </r>
    <r>
      <rPr>
        <sz val="9"/>
        <color rgb="FF000000"/>
        <rFont val="Linux Libertine G"/>
        <family val="2"/>
      </rPr>
      <t xml:space="preserve">分</t>
    </r>
  </si>
  <si>
    <t xml:space="preserve">原油库存去化，供需偏紧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</si>
  <si>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全球石油需求预期</t>
    </r>
  </si>
  <si>
    <t xml:space="preserve">IEA/EIA/OPEC</t>
  </si>
  <si>
    <t xml:space="preserve">需求预期温和增长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</si>
  <si>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成品油价格</t>
    </r>
  </si>
  <si>
    <t xml:space="preserve">发改委</t>
  </si>
  <si>
    <t xml:space="preserve">7.85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</si>
  <si>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升</t>
    </r>
  </si>
  <si>
    <r>
      <rPr>
        <sz val="9"/>
        <color rgb="FF000000"/>
        <rFont val="微软雅黑"/>
        <family val="2"/>
        <charset val="134"/>
      </rPr>
      <t xml:space="preserve">&gt;8=10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,7-8=8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,6-7=6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,5-6=4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,&lt;5=2</t>
    </r>
    <r>
      <rPr>
        <sz val="9"/>
        <color rgb="FF000000"/>
        <rFont val="Linux Libertine G"/>
        <family val="2"/>
      </rPr>
      <t xml:space="preserve">分</t>
    </r>
  </si>
  <si>
    <t xml:space="preserve">成品油价格上调，炼化利润改善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</si>
  <si>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炼化开工率</t>
    </r>
  </si>
  <si>
    <t xml:space="preserve">隆众资讯</t>
  </si>
  <si>
    <t xml:space="preserve">炼化开工回升，需求端改善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</si>
  <si>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化工品价差</t>
    </r>
  </si>
  <si>
    <t xml:space="preserve">+6</t>
  </si>
  <si>
    <t xml:space="preserve">化工品价差改善，炼化利润修复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</si>
  <si>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石油制品出口增速</t>
    </r>
  </si>
  <si>
    <t xml:space="preserve">石油制品出口温和增长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</si>
  <si>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石化企业季度净利润</t>
    </r>
  </si>
  <si>
    <t xml:space="preserve">385</t>
  </si>
  <si>
    <r>
      <rPr>
        <sz val="9"/>
        <color rgb="FF000000"/>
        <rFont val="微软雅黑"/>
        <family val="2"/>
        <charset val="134"/>
      </rPr>
      <t xml:space="preserve">&gt;500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,200-500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,-200-0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,&lt;-200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</si>
  <si>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利润改善，炼化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化工贡献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</si>
  <si>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石化行业</t>
    </r>
    <r>
      <rPr>
        <sz val="9"/>
        <color rgb="FF000000"/>
        <rFont val="微软雅黑"/>
        <family val="2"/>
        <charset val="134"/>
      </rPr>
      <t xml:space="preserve">ROE</t>
    </r>
  </si>
  <si>
    <r>
      <rPr>
        <sz val="9"/>
        <color rgb="FF000000"/>
        <rFont val="微软雅黑"/>
        <family val="2"/>
        <charset val="134"/>
      </rPr>
      <t xml:space="preserve">ROE</t>
    </r>
    <r>
      <rPr>
        <sz val="9"/>
        <color rgb="FF000000"/>
        <rFont val="Linux Libertine G"/>
        <family val="2"/>
      </rPr>
      <t xml:space="preserve">改善，盈利能力回升</t>
    </r>
  </si>
  <si>
    <r>
      <rPr>
        <sz val="9"/>
        <color rgb="FF000000"/>
        <rFont val="微软雅黑"/>
        <family val="2"/>
        <charset val="134"/>
      </rPr>
      <t xml:space="preserve">11-PPI</t>
    </r>
    <r>
      <rPr>
        <sz val="9"/>
        <color rgb="FF000000"/>
        <rFont val="Linux Libertine G"/>
        <family val="2"/>
      </rPr>
      <t xml:space="preserve">石油和天然气开采</t>
    </r>
  </si>
  <si>
    <t xml:space="preserve">价格同比大涨，上游景气度高</t>
  </si>
  <si>
    <t xml:space="preserve">行业景气度量化跟踪体系（参数优化版）— 环保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</si>
  <si>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。政策与规划只作确认项，必须由招标、交付、回款和利润验证。｜核心验证：财政支付、订单与回款；必选：财政预算、项目订单、政策落地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</si>
  <si>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环保固定资产投资计划</t>
    </r>
  </si>
  <si>
    <r>
      <rPr>
        <sz val="9"/>
        <color rgb="FF000000"/>
        <rFont val="微软雅黑"/>
        <family val="2"/>
        <charset val="134"/>
      </rPr>
      <t xml:space="preserve">&gt;5000=10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,4000-5000=8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,3000-4000=6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,2000-3000=4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,&lt;2000=2</t>
    </r>
    <r>
      <rPr>
        <sz val="9"/>
        <color rgb="FF000000"/>
        <rFont val="Linux Libertine G"/>
        <family val="2"/>
      </rPr>
      <t xml:space="preserve">分</t>
    </r>
  </si>
  <si>
    <t xml:space="preserve">环保投资计划饱满，政策驱动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</si>
  <si>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环保政策发布数量</t>
    </r>
  </si>
  <si>
    <t xml:space="preserve">生态环境部</t>
  </si>
  <si>
    <r>
      <rPr>
        <sz val="9"/>
        <color rgb="FF000000"/>
        <rFont val="Linux Libertine G"/>
        <family val="2"/>
      </rPr>
      <t xml:space="preserve">项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年</t>
    </r>
  </si>
  <si>
    <t xml:space="preserve">政策发布密集，监管趋严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</si>
  <si>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碳交易价格</t>
    </r>
  </si>
  <si>
    <t xml:space="preserve">全国碳市场</t>
  </si>
  <si>
    <t xml:space="preserve">碳价回升，碳资产价值提升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</si>
  <si>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地方政府环保支出</t>
    </r>
  </si>
  <si>
    <t xml:space="preserve">环保支出增长，财政支持力度加大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</si>
  <si>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污水处理量</t>
    </r>
  </si>
  <si>
    <t xml:space="preserve">住建部</t>
  </si>
  <si>
    <t xml:space="preserve">污水处理量增长，运营业务稳定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</si>
  <si>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垃圾处理量</t>
    </r>
  </si>
  <si>
    <t xml:space="preserve">垃圾处理量增长，焚烧发电需求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</si>
  <si>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环保企业订单金额</t>
    </r>
  </si>
  <si>
    <r>
      <rPr>
        <sz val="9"/>
        <color rgb="FF000000"/>
        <rFont val="Linux Libertine G"/>
        <family val="2"/>
      </rPr>
      <t xml:space="preserve">订单高增，水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固废治理需求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</si>
  <si>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环保设备产量</t>
    </r>
  </si>
  <si>
    <t xml:space="preserve">设备产量增长，更新需求释放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</si>
  <si>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环保企业季度净利润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</si>
  <si>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利润改善，运营业务贡献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</si>
  <si>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环保行业毛利率</t>
    </r>
  </si>
  <si>
    <t xml:space="preserve">毛利率改善，运营占比提升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</si>
  <si>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环保行业应收账款周转</t>
    </r>
  </si>
  <si>
    <r>
      <rPr>
        <sz val="9"/>
        <color rgb="FF000000"/>
        <rFont val="微软雅黑"/>
        <family val="2"/>
        <charset val="134"/>
      </rPr>
      <t xml:space="preserve">&lt;120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,120-150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,150-180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,180-210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,&gt;210</t>
    </r>
    <r>
      <rPr>
        <sz val="9"/>
        <color rgb="FF000000"/>
        <rFont val="Linux Libertine G"/>
        <family val="2"/>
      </rPr>
      <t xml:space="preserve">天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</si>
  <si>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应收账款周转放缓，回款压力仍存</t>
  </si>
  <si>
    <t xml:space="preserve">行业景气度量化跟踪体系（参数优化版）— 美容护理</t>
  </si>
  <si>
    <r>
      <rPr>
        <b val="true"/>
        <sz val="9"/>
        <color rgb="FF000000"/>
        <rFont val="Linux Libertine G"/>
        <family val="2"/>
      </rPr>
      <t xml:space="preserve">默认阶段框架：消费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需求恢复｜先行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=40%/40%/20%</t>
    </r>
    <r>
      <rPr>
        <b val="true"/>
        <sz val="9"/>
        <color rgb="FF000000"/>
        <rFont val="Linux Libertine G"/>
        <family val="2"/>
      </rPr>
      <t xml:space="preserve">。高频需求、渠道库存和价格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利润交叉确认，使用季调数据。｜核心验证：品牌渗透、渠道效率与复购；必选：内容转化、渠道库存、消费信心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</si>
  <si>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居民人均可支配收入增速</t>
    </r>
  </si>
  <si>
    <t xml:space="preserve">收入增速放缓，高端消费承压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</si>
  <si>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化妆品进口金额增速</t>
    </r>
  </si>
  <si>
    <t xml:space="preserve">进口化妆品增长，消费升级</t>
  </si>
  <si>
    <t xml:space="preserve">信心指数低迷，可选消费承压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</si>
  <si>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社交媒体美妆话题热度</t>
    </r>
  </si>
  <si>
    <t xml:space="preserve">相关平台</t>
  </si>
  <si>
    <t xml:space="preserve">社媒热度高增，内容营销活跃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</si>
  <si>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化妆品零售额增速</t>
    </r>
  </si>
  <si>
    <t xml:space="preserve">化妆品零售回暖，国货崛起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</si>
  <si>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医美市场规模</t>
    </r>
  </si>
  <si>
    <t xml:space="preserve">医美市场高增，渗透率提升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</si>
  <si>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个护用品产量</t>
    </r>
  </si>
  <si>
    <t xml:space="preserve">个护产量增长，基础需求稳定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</si>
  <si>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美容护理线上销售额</t>
    </r>
  </si>
  <si>
    <r>
      <rPr>
        <sz val="9"/>
        <color rgb="FF000000"/>
        <rFont val="Linux Libertine G"/>
        <family val="2"/>
      </rPr>
      <t xml:space="preserve">魔镜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欧特欧</t>
    </r>
  </si>
  <si>
    <t xml:space="preserve">线上销售高增，渠道红利持续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</si>
  <si>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美容护理企业季度净利润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</si>
  <si>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利润改善，国货品牌贡献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</si>
  <si>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美容护理行业毛利率</t>
    </r>
  </si>
  <si>
    <t xml:space="preserve">毛利率高位，品牌溢价能力强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</si>
  <si>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美容护理行业销售费用率</t>
    </r>
  </si>
  <si>
    <t xml:space="preserve">32</t>
  </si>
  <si>
    <r>
      <rPr>
        <sz val="9"/>
        <color rgb="FF000000"/>
        <rFont val="微软雅黑"/>
        <family val="2"/>
        <charset val="134"/>
      </rPr>
      <t xml:space="preserve">&lt;30%=10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,&gt;60%=2</t>
    </r>
    <r>
      <rPr>
        <sz val="9"/>
        <color rgb="FF000000"/>
        <rFont val="Linux Libertine G"/>
        <family val="2"/>
      </rPr>
      <t xml:space="preserve">分</t>
    </r>
  </si>
  <si>
    <t xml:space="preserve">费用率下降，品牌效率提升</t>
  </si>
  <si>
    <t xml:space="preserve">行业景气度量化跟踪体系（参数优化版）— 半导体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</si>
  <si>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。订单、库存和利用率优先；不同子行业拆分后再汇总。｜核心验证：库存周期、供给约束与订单；必选：库存、存储价格、订单、</t>
    </r>
    <r>
      <rPr>
        <b val="true"/>
        <sz val="9"/>
        <color rgb="FF000000"/>
        <rFont val="Linux Libertine G"/>
        <family val="2"/>
        <charset val="1"/>
      </rPr>
      <t xml:space="preserve">CAPEX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</si>
  <si>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存储芯片价格变化</t>
    </r>
    <r>
      <rPr>
        <sz val="9"/>
        <color rgb="FF000000"/>
        <rFont val="微软雅黑"/>
        <family val="2"/>
        <charset val="134"/>
      </rPr>
      <t xml:space="preserve">(DRAM/NAND)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</si>
  <si>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设备商订单增速</t>
    </r>
    <r>
      <rPr>
        <sz val="9"/>
        <color rgb="FF000000"/>
        <rFont val="微软雅黑"/>
        <family val="2"/>
        <charset val="134"/>
      </rPr>
      <t xml:space="preserve">(</t>
    </r>
    <r>
      <rPr>
        <sz val="9"/>
        <color rgb="FF000000"/>
        <rFont val="Linux Libertine G"/>
        <family val="2"/>
      </rPr>
      <t xml:space="preserve">应用材料</t>
    </r>
    <r>
      <rPr>
        <sz val="9"/>
        <color rgb="FF000000"/>
        <rFont val="微软雅黑"/>
        <family val="2"/>
        <charset val="134"/>
      </rPr>
      <t xml:space="preserve">/ASML)</t>
    </r>
  </si>
  <si>
    <t xml:space="preserve">公司财报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</si>
  <si>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龙头企业资本开支增速</t>
    </r>
  </si>
  <si>
    <r>
      <rPr>
        <sz val="9"/>
        <color rgb="FF000000"/>
        <rFont val="Linux Libertine G"/>
        <family val="2"/>
      </rPr>
      <t xml:space="preserve">中芯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台积电财报</t>
    </r>
  </si>
  <si>
    <r>
      <rPr>
        <sz val="9"/>
        <color rgb="FF000000"/>
        <rFont val="微软雅黑"/>
        <family val="2"/>
        <charset val="134"/>
      </rPr>
      <t xml:space="preserve">&gt;50%=10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,30-50%=8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,10-30%=6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</si>
  <si>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资本开支增长，但增速放缓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</si>
  <si>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新签订单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合同负债增速</t>
    </r>
  </si>
  <si>
    <r>
      <rPr>
        <sz val="9"/>
        <color rgb="FF000000"/>
        <rFont val="Linux Libertine G"/>
        <family val="2"/>
      </rPr>
      <t xml:space="preserve">设备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材料商财报</t>
    </r>
  </si>
  <si>
    <t xml:space="preserve">爆发</t>
  </si>
  <si>
    <r>
      <rPr>
        <sz val="9"/>
        <color rgb="FF000000"/>
        <rFont val="Linux Libertine G"/>
        <family val="2"/>
      </rPr>
      <t xml:space="preserve">订单爆发，设备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材料商景气确认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</si>
  <si>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进口替代进度</t>
    </r>
    <r>
      <rPr>
        <sz val="9"/>
        <color rgb="FF000000"/>
        <rFont val="微软雅黑"/>
        <family val="2"/>
        <charset val="134"/>
      </rPr>
      <t xml:space="preserve">(</t>
    </r>
    <r>
      <rPr>
        <sz val="9"/>
        <color rgb="FF000000"/>
        <rFont val="Linux Libertine G"/>
        <family val="2"/>
      </rPr>
      <t xml:space="preserve">国产化率提升</t>
    </r>
    <r>
      <rPr>
        <sz val="9"/>
        <color rgb="FF000000"/>
        <rFont val="微软雅黑"/>
        <family val="2"/>
        <charset val="134"/>
      </rPr>
      <t xml:space="preserve">)</t>
    </r>
  </si>
  <si>
    <t xml:space="preserve">产业调研</t>
  </si>
  <si>
    <t xml:space="preserve">pct</t>
  </si>
  <si>
    <t xml:space="preserve">加速</t>
  </si>
  <si>
    <r>
      <rPr>
        <sz val="9"/>
        <color rgb="FF000000"/>
        <rFont val="Linux Libertine G"/>
        <family val="2"/>
      </rPr>
      <t xml:space="preserve">提升</t>
    </r>
    <r>
      <rPr>
        <sz val="9"/>
        <color rgb="FF000000"/>
        <rFont val="Linux Libertine G"/>
        <family val="2"/>
        <charset val="1"/>
      </rPr>
      <t xml:space="preserve">&gt;10pct=10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提升</t>
    </r>
    <r>
      <rPr>
        <sz val="9"/>
        <color rgb="FF000000"/>
        <rFont val="Linux Libertine G"/>
        <family val="2"/>
        <charset val="1"/>
      </rPr>
      <t xml:space="preserve">5-10pct=8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提升</t>
    </r>
    <r>
      <rPr>
        <sz val="9"/>
        <color rgb="FF000000"/>
        <rFont val="Linux Libertine G"/>
        <family val="2"/>
        <charset val="1"/>
      </rPr>
      <t xml:space="preserve">2-5pct=6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持平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下降</t>
    </r>
    <r>
      <rPr>
        <sz val="9"/>
        <color rgb="FF000000"/>
        <rFont val="Linux Libertine G"/>
        <family val="2"/>
        <charset val="1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</si>
  <si>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国产替代加速，设备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材料突破</t>
    </r>
  </si>
  <si>
    <t xml:space="preserve">半年度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</si>
  <si>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晶圆厂产能利用率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</si>
  <si>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半导体设备出货额</t>
    </r>
  </si>
  <si>
    <t xml:space="preserve">设备出货高增，扩产需求旺盛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</si>
  <si>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封测产能利用率</t>
    </r>
  </si>
  <si>
    <r>
      <rPr>
        <sz val="9"/>
        <color rgb="FF000000"/>
        <rFont val="Linux Libertine G"/>
        <family val="2"/>
      </rPr>
      <t xml:space="preserve">日月光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长电科技</t>
    </r>
  </si>
  <si>
    <r>
      <rPr>
        <sz val="9"/>
        <color rgb="FF000000"/>
        <rFont val="微软雅黑"/>
        <family val="2"/>
        <charset val="134"/>
      </rPr>
      <t xml:space="preserve">&gt;85%=10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,&lt;55%=2</t>
    </r>
    <r>
      <rPr>
        <sz val="9"/>
        <color rgb="FF000000"/>
        <rFont val="Linux Libertine G"/>
        <family val="2"/>
      </rPr>
      <t xml:space="preserve">分</t>
    </r>
  </si>
  <si>
    <t xml:space="preserve">封测利用率回升，订单饱满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</si>
  <si>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半导体材料出货量</t>
    </r>
  </si>
  <si>
    <t xml:space="preserve">材料出货增长，国产替代推进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</si>
  <si>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半导体企业季度毛利率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</si>
  <si>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半导体行业净利润增速</t>
    </r>
  </si>
  <si>
    <t xml:space="preserve">+85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</si>
  <si>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净利暴增，存储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设备领涨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</si>
  <si>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半导体行业</t>
    </r>
    <r>
      <rPr>
        <sz val="9"/>
        <color rgb="FF000000"/>
        <rFont val="微软雅黑"/>
        <family val="2"/>
        <charset val="134"/>
      </rPr>
      <t xml:space="preserve">ROE</t>
    </r>
  </si>
  <si>
    <t xml:space="preserve">行业景气度量化跟踪体系（参数优化版）— 新能源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</si>
  <si>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。先用库存、供给、订单确认反转；价格本身不能直接等同高景气。｜核心验证：供给出清与终端需求；必选：供给投放、库存、招标、出口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</si>
  <si>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储能招标量</t>
    </r>
  </si>
  <si>
    <t xml:space="preserve">GWh</t>
  </si>
  <si>
    <t xml:space="preserve">储能招标高增，工商业储能爆发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</si>
  <si>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氢能项目规划</t>
    </r>
  </si>
  <si>
    <r>
      <rPr>
        <sz val="9"/>
        <color rgb="FF000000"/>
        <rFont val="微软雅黑"/>
        <family val="2"/>
        <charset val="134"/>
      </rPr>
      <t xml:space="preserve">&gt;10=10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,2-4=4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,&lt;2=2</t>
    </r>
    <r>
      <rPr>
        <sz val="9"/>
        <color rgb="FF000000"/>
        <rFont val="Linux Libertine G"/>
        <family val="2"/>
      </rPr>
      <t xml:space="preserve">分</t>
    </r>
  </si>
  <si>
    <t xml:space="preserve">氢能规划加码，绿氢项目落地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</si>
  <si>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新能源车渗透率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</si>
  <si>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光伏装机量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</si>
  <si>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风电装机量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</si>
  <si>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储能装机量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</si>
  <si>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新能源车销量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</si>
  <si>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新能源企业季度净利润</t>
    </r>
  </si>
  <si>
    <t xml:space="preserve">95</t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</si>
  <si>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新能源行业毛利率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</si>
  <si>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新能源行业产能利用率</t>
    </r>
  </si>
  <si>
    <t xml:space="preserve">产能利用率偏低，产能过剩</t>
  </si>
  <si>
    <t xml:space="preserve">行业景气度量化跟踪体系（参数优化版）— 医药医疗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</si>
  <si>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。订单、库存和利用率优先；不同子行业拆分后再汇总。｜核心验证：细分商业化与支付环境；必选：注册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审批、医保、研发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</si>
  <si>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医疗器械注册证数量</t>
    </r>
  </si>
  <si>
    <t xml:space="preserve">NMPA</t>
  </si>
  <si>
    <r>
      <rPr>
        <sz val="9"/>
        <color rgb="FF000000"/>
        <rFont val="微软雅黑"/>
        <family val="2"/>
        <charset val="134"/>
      </rPr>
      <t xml:space="preserve">&gt;500=10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,400-500=8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,300-400=6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,200-300=4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,&lt;200=2</t>
    </r>
    <r>
      <rPr>
        <sz val="9"/>
        <color rgb="FF000000"/>
        <rFont val="Linux Libertine G"/>
        <family val="2"/>
      </rPr>
      <t xml:space="preserve">分</t>
    </r>
  </si>
  <si>
    <t xml:space="preserve">器械注册活跃，创新产品涌现</t>
  </si>
  <si>
    <r>
      <rPr>
        <sz val="9"/>
        <color rgb="FF000000"/>
        <rFont val="微软雅黑"/>
        <family val="2"/>
        <charset val="134"/>
      </rPr>
      <t xml:space="preserve">6-CXO</t>
    </r>
    <r>
      <rPr>
        <sz val="9"/>
        <color rgb="FF000000"/>
        <rFont val="Linux Libertine G"/>
        <family val="2"/>
      </rPr>
      <t xml:space="preserve">订单增速</t>
    </r>
  </si>
  <si>
    <r>
      <rPr>
        <sz val="9"/>
        <color rgb="FF000000"/>
        <rFont val="Linux Libertine G"/>
        <family val="2"/>
      </rPr>
      <t xml:space="preserve">药明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康龙化成财报</t>
    </r>
  </si>
  <si>
    <r>
      <rPr>
        <sz val="9"/>
        <color rgb="FF000000"/>
        <rFont val="微软雅黑"/>
        <family val="2"/>
        <charset val="134"/>
      </rPr>
      <t xml:space="preserve">CXO</t>
    </r>
    <r>
      <rPr>
        <sz val="9"/>
        <color rgb="FF000000"/>
        <rFont val="Linux Libertine G"/>
        <family val="2"/>
      </rPr>
      <t xml:space="preserve">订单回暖，全球外包转移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</si>
  <si>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仿制药一致性评价通过数</t>
    </r>
  </si>
  <si>
    <t xml:space="preserve">一致性评价推进，质量升级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</si>
  <si>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医疗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产品获批数量</t>
    </r>
  </si>
  <si>
    <r>
      <rPr>
        <sz val="9"/>
        <color rgb="FF000000"/>
        <rFont val="Linux Libertine G"/>
        <family val="2"/>
      </rPr>
      <t xml:space="preserve">个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年</t>
    </r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</si>
  <si>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医疗产品获批加速，数字化医疗崛起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</si>
  <si>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医药制造业收入增速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</si>
  <si>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化学药品原药产量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</si>
  <si>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医疗器械出口增速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</si>
  <si>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医院诊疗人次增速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</si>
  <si>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医药企业季度毛利率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</si>
  <si>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医药企业研发费用率</t>
    </r>
  </si>
  <si>
    <t xml:space="preserve">13.5</t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</si>
  <si>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医药制造业利润增速</t>
    </r>
  </si>
  <si>
    <t xml:space="preserve">行业景气度量化跟踪体系（参数优化版）— 高端制造</t>
  </si>
  <si>
    <r>
      <rPr>
        <b val="true"/>
        <sz val="9"/>
        <color rgb="FF000000"/>
        <rFont val="Linux Libertine G"/>
        <family val="2"/>
      </rPr>
      <t xml:space="preserve">默认阶段框架：科技制造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订单库存周期｜先行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。订单、库存和利用率优先；不同子行业拆分后再汇总。｜核心验证：国产替代、订单与交付；必选：订单、进口替代、研发转化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</si>
  <si>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工业机器人产量增速</t>
    </r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</si>
  <si>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数控机床进口金额</t>
    </r>
  </si>
  <si>
    <t xml:space="preserve">机床进口增长，高端需求旺盛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</si>
  <si>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高端装备研发支出增速</t>
    </r>
  </si>
  <si>
    <t xml:space="preserve">研发支出高增，技术突破加速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</si>
  <si>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国产替代政策力度</t>
    </r>
  </si>
  <si>
    <r>
      <rPr>
        <sz val="9"/>
        <color rgb="FF000000"/>
        <rFont val="Linux Libertine G"/>
        <family val="2"/>
      </rPr>
      <t xml:space="preserve">工信部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发改委</t>
    </r>
  </si>
  <si>
    <r>
      <rPr>
        <sz val="9"/>
        <color rgb="FF000000"/>
        <rFont val="微软雅黑"/>
        <family val="2"/>
        <charset val="134"/>
      </rPr>
      <t xml:space="preserve">&gt;30=10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,&lt;5=2</t>
    </r>
    <r>
      <rPr>
        <sz val="9"/>
        <color rgb="FF000000"/>
        <rFont val="Linux Libertine G"/>
        <family val="2"/>
      </rPr>
      <t xml:space="preserve">分</t>
    </r>
  </si>
  <si>
    <t xml:space="preserve">政策密集出台，国产替代加速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</si>
  <si>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工业机器人销量</t>
    </r>
  </si>
  <si>
    <t xml:space="preserve">中国机器人产业联盟</t>
  </si>
  <si>
    <t xml:space="preserve">+20</t>
  </si>
  <si>
    <t xml:space="preserve">机器人销量高增，制造业升级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</si>
  <si>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高端装备出口增速</t>
    </r>
  </si>
  <si>
    <t xml:space="preserve">高端装备出口强劲，国际竞争力提升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</si>
  <si>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航空航天器产量</t>
    </r>
  </si>
  <si>
    <r>
      <rPr>
        <sz val="9"/>
        <color rgb="FF000000"/>
        <rFont val="Linux Libertine G"/>
        <family val="2"/>
      </rPr>
      <t xml:space="preserve">航空航天产量增长，国防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民航双驱动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</si>
  <si>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高端制造企业季度净利润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</si>
  <si>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高端制造行业毛利率</t>
    </r>
  </si>
  <si>
    <t xml:space="preserve">毛利率改善，高附加值产品占比提升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</si>
  <si>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高端制造行业产能利用率</t>
    </r>
  </si>
  <si>
    <t xml:space="preserve">行业景气度量化跟踪体系（参数优化版）— 人形机器人</t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</si>
  <si>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。量产、订单、交付优先；热度与规划指标不得主导评分。｜核心验证：量产里程碑与商业订单；必选：量产时间、</t>
    </r>
    <r>
      <rPr>
        <b val="true"/>
        <sz val="9"/>
        <color rgb="FF000000"/>
        <rFont val="Linux Libertine G"/>
        <family val="2"/>
        <charset val="1"/>
      </rPr>
      <t xml:space="preserve">BOM</t>
    </r>
    <r>
      <rPr>
        <b val="true"/>
        <sz val="9"/>
        <color rgb="FF000000"/>
        <rFont val="Linux Libertine G"/>
        <family val="2"/>
      </rPr>
      <t xml:space="preserve">降本、订单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客户验证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</si>
  <si>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人形机器人量产计划</t>
    </r>
  </si>
  <si>
    <r>
      <rPr>
        <sz val="9"/>
        <color rgb="FF000000"/>
        <rFont val="Linux Libertine G"/>
        <family val="2"/>
      </rPr>
      <t xml:space="preserve">特斯拉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优必选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小米</t>
    </r>
  </si>
  <si>
    <t xml:space="preserve">5</t>
  </si>
  <si>
    <t xml:space="preserve">万台</t>
  </si>
  <si>
    <r>
      <rPr>
        <sz val="9"/>
        <color rgb="FF000000"/>
        <rFont val="微软雅黑"/>
        <family val="2"/>
        <charset val="134"/>
      </rPr>
      <t xml:space="preserve">&gt;10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,1-5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,0.5-1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,&lt;0.5</t>
    </r>
    <r>
      <rPr>
        <sz val="9"/>
        <color rgb="FF000000"/>
        <rFont val="Linux Libertine G"/>
        <family val="2"/>
      </rPr>
      <t xml:space="preserve">万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</si>
  <si>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量产计划明确，</t>
    </r>
    <r>
      <rPr>
        <sz val="9"/>
        <color rgb="FF000000"/>
        <rFont val="Linux Libertine G"/>
        <family val="2"/>
        <charset val="1"/>
      </rPr>
      <t xml:space="preserve">2026</t>
    </r>
    <r>
      <rPr>
        <sz val="9"/>
        <color rgb="FF000000"/>
        <rFont val="Linux Libertine G"/>
        <family val="2"/>
      </rPr>
      <t xml:space="preserve">年商业化元年</t>
    </r>
  </si>
  <si>
    <r>
      <rPr>
        <sz val="11"/>
        <color theme="1"/>
        <rFont val="Linux Libertine G"/>
        <family val="2"/>
      </rPr>
      <t xml:space="preserve">目标组权重 </t>
    </r>
    <r>
      <rPr>
        <sz val="11"/>
        <color theme="1"/>
        <rFont val="Linux Libertine G"/>
        <family val="2"/>
        <charset val="1"/>
      </rPr>
      <t xml:space="preserve">55%</t>
    </r>
    <r>
      <rPr>
        <sz val="11"/>
        <color theme="1"/>
        <rFont val="Linux Libertine G"/>
        <family val="2"/>
      </rPr>
      <t xml:space="preserve">；按同组相对重要性归一化。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</si>
  <si>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核心零部件订单</t>
    </r>
  </si>
  <si>
    <r>
      <rPr>
        <sz val="9"/>
        <color rgb="FF000000"/>
        <rFont val="Linux Libertine G"/>
        <family val="2"/>
      </rPr>
      <t xml:space="preserve">绿的谐波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汇川技术</t>
    </r>
  </si>
  <si>
    <t xml:space="preserve">+120</t>
  </si>
  <si>
    <r>
      <rPr>
        <sz val="9"/>
        <color rgb="FF000000"/>
        <rFont val="微软雅黑"/>
        <family val="2"/>
        <charset val="134"/>
      </rPr>
      <t xml:space="preserve">&gt;100%=10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,50-100%=8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,20-50%=6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</si>
  <si>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零部件订单爆发，供应链景气确认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</si>
  <si>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减速器价格变化</t>
    </r>
  </si>
  <si>
    <r>
      <rPr>
        <sz val="9"/>
        <color rgb="FF000000"/>
        <rFont val="微软雅黑"/>
        <family val="2"/>
        <charset val="134"/>
      </rPr>
      <t xml:space="preserve">&lt;-20%=10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,-20-0%=8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,&gt;20%=2</t>
    </r>
    <r>
      <rPr>
        <sz val="9"/>
        <color rgb="FF000000"/>
        <rFont val="Linux Libertine G"/>
        <family val="2"/>
      </rPr>
      <t xml:space="preserve">分</t>
    </r>
  </si>
  <si>
    <t xml:space="preserve">减速器价格下降，规模化降本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</si>
  <si>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伺服电机出货量</t>
    </r>
  </si>
  <si>
    <r>
      <rPr>
        <sz val="9"/>
        <color rgb="FF000000"/>
        <rFont val="Linux Libertine G"/>
        <family val="2"/>
      </rPr>
      <t xml:space="preserve">汇川技术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禾川科技</t>
    </r>
  </si>
  <si>
    <r>
      <rPr>
        <sz val="9"/>
        <color rgb="FF000000"/>
        <rFont val="Linux Libertine G"/>
        <family val="2"/>
      </rPr>
      <t xml:space="preserve">伺服电机出货高增，自动化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机器人双驱动</t>
    </r>
  </si>
  <si>
    <r>
      <rPr>
        <sz val="9"/>
        <color rgb="FF000000"/>
        <rFont val="微软雅黑"/>
        <family val="2"/>
        <charset val="134"/>
      </rPr>
      <t xml:space="preserve">5-AI</t>
    </r>
    <r>
      <rPr>
        <sz val="9"/>
        <color rgb="FF000000"/>
        <rFont val="Linux Libertine G"/>
        <family val="2"/>
      </rPr>
      <t xml:space="preserve">大模型迭代进度</t>
    </r>
  </si>
  <si>
    <r>
      <rPr>
        <sz val="9"/>
        <color rgb="FF000000"/>
        <rFont val="微软雅黑"/>
        <family val="2"/>
        <charset val="134"/>
      </rPr>
      <t xml:space="preserve">OpenAI/</t>
    </r>
    <r>
      <rPr>
        <sz val="9"/>
        <color rgb="FF000000"/>
        <rFont val="Linux Libertine G"/>
        <family val="2"/>
      </rPr>
      <t xml:space="preserve">百度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阿里</t>
    </r>
  </si>
  <si>
    <t xml:space="preserve">V4</t>
  </si>
  <si>
    <t xml:space="preserve">版本</t>
  </si>
  <si>
    <t xml:space="preserve">重大升级</t>
  </si>
  <si>
    <r>
      <rPr>
        <sz val="9"/>
        <color rgb="FF000000"/>
        <rFont val="Linux Libertine G"/>
        <family val="2"/>
      </rPr>
      <t xml:space="preserve">重大升级</t>
    </r>
    <r>
      <rPr>
        <sz val="9"/>
        <color rgb="FF000000"/>
        <rFont val="Linux Libertine G"/>
        <family val="2"/>
        <charset val="1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常规升级</t>
    </r>
    <r>
      <rPr>
        <sz val="9"/>
        <color rgb="FF000000"/>
        <rFont val="Linux Libertine G"/>
        <family val="2"/>
        <charset val="1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小更新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停滞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倒退</t>
    </r>
    <r>
      <rPr>
        <sz val="9"/>
        <color rgb="FF000000"/>
        <rFont val="Linux Libertine G"/>
        <family val="2"/>
        <charset val="1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</si>
  <si>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大模型迭代加速，机器人智能化提升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</si>
  <si>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人形机器人出货量</t>
    </r>
  </si>
  <si>
    <r>
      <rPr>
        <sz val="9"/>
        <color rgb="FF000000"/>
        <rFont val="Linux Libertine G"/>
        <family val="2"/>
      </rPr>
      <t xml:space="preserve">台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月</t>
    </r>
  </si>
  <si>
    <r>
      <rPr>
        <sz val="9"/>
        <color rgb="FF000000"/>
        <rFont val="微软雅黑"/>
        <family val="2"/>
        <charset val="134"/>
      </rPr>
      <t xml:space="preserve">&gt;1000=10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,500-1000=8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,200-500=6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,50-200=4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,&lt;50=2</t>
    </r>
    <r>
      <rPr>
        <sz val="9"/>
        <color rgb="FF000000"/>
        <rFont val="Linux Libertine G"/>
        <family val="2"/>
      </rPr>
      <t xml:space="preserve">分</t>
    </r>
  </si>
  <si>
    <t xml:space="preserve">出货量逐月提升，工厂场景落地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</si>
  <si>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核心零部件国产化率</t>
    </r>
  </si>
  <si>
    <r>
      <rPr>
        <sz val="9"/>
        <color rgb="FF000000"/>
        <rFont val="微软雅黑"/>
        <family val="2"/>
        <charset val="134"/>
      </rPr>
      <t xml:space="preserve">&gt;80%=10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,&lt;20%=2</t>
    </r>
    <r>
      <rPr>
        <sz val="9"/>
        <color rgb="FF000000"/>
        <rFont val="Linux Libertine G"/>
        <family val="2"/>
      </rPr>
      <t xml:space="preserve">分</t>
    </r>
  </si>
  <si>
    <t xml:space="preserve">国产化率提升，供应链自主可控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</si>
  <si>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人形机器人应用场景拓展</t>
    </r>
  </si>
  <si>
    <t xml:space="preserve">个</t>
  </si>
  <si>
    <r>
      <rPr>
        <sz val="9"/>
        <color rgb="FF000000"/>
        <rFont val="Linux Libertine G"/>
        <family val="2"/>
      </rPr>
      <t xml:space="preserve">应用场景拓展，工业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服务双轮驱动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</si>
  <si>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相关上市公司收入增速</t>
    </r>
  </si>
  <si>
    <t xml:space="preserve">产业链收入高增，订单饱满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</si>
  <si>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人形机器人企业净利润</t>
    </r>
  </si>
  <si>
    <t xml:space="preserve">亏损收窄</t>
  </si>
  <si>
    <r>
      <rPr>
        <sz val="9"/>
        <color rgb="FF000000"/>
        <rFont val="微软雅黑"/>
        <family val="2"/>
        <charset val="134"/>
      </rPr>
      <t xml:space="preserve">&gt;10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,-5-0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,&lt;-5</t>
    </r>
    <r>
      <rPr>
        <sz val="9"/>
        <color rgb="FF000000"/>
        <rFont val="Linux Libertine G"/>
        <family val="2"/>
      </rPr>
      <t xml:space="preserve">亿</t>
    </r>
    <r>
      <rPr>
        <sz val="9"/>
        <color rgb="FF000000"/>
        <rFont val="微软雅黑"/>
        <family val="2"/>
        <charset val="134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</si>
  <si>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t xml:space="preserve">多数企业仍亏损，商业化早期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</si>
  <si>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人形机器人行业毛利率</t>
    </r>
  </si>
  <si>
    <t xml:space="preserve">毛利率改善，规模效应显现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</si>
  <si>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人形机器人行业研发投入</t>
    </r>
  </si>
  <si>
    <t xml:space="preserve">研发投入维持高位，技术迭代快</t>
  </si>
  <si>
    <r>
      <rPr>
        <b val="true"/>
        <sz val="14"/>
        <color rgb="FFFFFFFF"/>
        <rFont val="Linux Libertine G"/>
        <family val="2"/>
      </rPr>
      <t xml:space="preserve">行业景气度量化跟踪体系（参数优化版）— </t>
    </r>
    <r>
      <rPr>
        <b val="true"/>
        <sz val="14"/>
        <color rgb="FFFFFFFF"/>
        <rFont val="Linux Libertine G"/>
        <family val="2"/>
        <charset val="1"/>
      </rPr>
      <t xml:space="preserve">AI</t>
    </r>
    <r>
      <rPr>
        <b val="true"/>
        <sz val="14"/>
        <color rgb="FFFFFFFF"/>
        <rFont val="Linux Libertine G"/>
        <family val="2"/>
      </rPr>
      <t xml:space="preserve">算力</t>
    </r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</si>
  <si>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。量产、订单、交付优先；热度与规划指标不得主导评分。｜核心验证：云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、供给与利用率；必选：云厂商</t>
    </r>
    <r>
      <rPr>
        <b val="true"/>
        <sz val="9"/>
        <color rgb="FF000000"/>
        <rFont val="Linux Libertine G"/>
        <family val="2"/>
        <charset val="1"/>
      </rPr>
      <t xml:space="preserve">CAPEX</t>
    </r>
    <r>
      <rPr>
        <b val="true"/>
        <sz val="9"/>
        <color rgb="FF000000"/>
        <rFont val="Linux Libertine G"/>
        <family val="2"/>
      </rPr>
      <t xml:space="preserve">、</t>
    </r>
    <r>
      <rPr>
        <b val="true"/>
        <sz val="9"/>
        <color rgb="FF000000"/>
        <rFont val="Linux Libertine G"/>
        <family val="2"/>
        <charset val="1"/>
      </rPr>
      <t xml:space="preserve">GPU/</t>
    </r>
    <r>
      <rPr>
        <b val="true"/>
        <sz val="9"/>
        <color rgb="FF000000"/>
        <rFont val="Linux Libertine G"/>
        <family val="2"/>
      </rPr>
      <t xml:space="preserve">光模块订单、供给交期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</si>
  <si>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服务器出货量增速</t>
    </r>
  </si>
  <si>
    <t xml:space="preserve">+58</t>
  </si>
  <si>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服务器爆发，算力基建狂飙</t>
    </r>
  </si>
  <si>
    <r>
      <rPr>
        <sz val="9"/>
        <color rgb="FF000000"/>
        <rFont val="微软雅黑"/>
        <family val="2"/>
        <charset val="134"/>
      </rPr>
      <t xml:space="preserve">2-GPU/ASIC</t>
    </r>
    <r>
      <rPr>
        <sz val="9"/>
        <color rgb="FF000000"/>
        <rFont val="Linux Libertine G"/>
        <family val="2"/>
      </rPr>
      <t xml:space="preserve">出货量</t>
    </r>
  </si>
  <si>
    <r>
      <rPr>
        <sz val="9"/>
        <color rgb="FF000000"/>
        <rFont val="Linux Libertine G"/>
        <family val="2"/>
      </rPr>
      <t xml:space="preserve">英伟达</t>
    </r>
    <r>
      <rPr>
        <sz val="9"/>
        <color rgb="FF000000"/>
        <rFont val="Linux Libertine G"/>
        <family val="2"/>
        <charset val="1"/>
      </rPr>
      <t xml:space="preserve">/AMD/</t>
    </r>
    <r>
      <rPr>
        <sz val="9"/>
        <color rgb="FF000000"/>
        <rFont val="Linux Libertine G"/>
        <family val="2"/>
      </rPr>
      <t xml:space="preserve">华为</t>
    </r>
  </si>
  <si>
    <t xml:space="preserve">+62</t>
  </si>
  <si>
    <t xml:space="preserve">90%</t>
  </si>
  <si>
    <r>
      <rPr>
        <sz val="9"/>
        <color rgb="FF000000"/>
        <rFont val="微软雅黑"/>
        <family val="2"/>
        <charset val="134"/>
      </rPr>
      <t xml:space="preserve">GPU/ASIC</t>
    </r>
    <r>
      <rPr>
        <sz val="9"/>
        <color rgb="FF000000"/>
        <rFont val="Linux Libertine G"/>
        <family val="2"/>
      </rPr>
      <t xml:space="preserve">出货井喷，供不应求</t>
    </r>
  </si>
  <si>
    <t xml:space="preserve">+48</t>
  </si>
  <si>
    <r>
      <rPr>
        <sz val="9"/>
        <color rgb="FF000000"/>
        <rFont val="Linux Libertine G"/>
        <family val="2"/>
      </rPr>
      <t xml:space="preserve">光模块爆发，</t>
    </r>
    <r>
      <rPr>
        <sz val="9"/>
        <color rgb="FF000000"/>
        <rFont val="Linux Libertine G"/>
        <family val="2"/>
        <charset val="1"/>
      </rPr>
      <t xml:space="preserve">800G/1.6T</t>
    </r>
    <r>
      <rPr>
        <sz val="9"/>
        <color rgb="FF000000"/>
        <rFont val="Linux Libertine G"/>
        <family val="2"/>
      </rPr>
      <t xml:space="preserve">放量</t>
    </r>
  </si>
  <si>
    <t xml:space="preserve">115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</si>
  <si>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液冷技术渗透率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</si>
  <si>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,&lt;5%=2</t>
    </r>
    <r>
      <rPr>
        <sz val="9"/>
        <color rgb="FF000000"/>
        <rFont val="Linux Libertine G"/>
        <family val="2"/>
      </rPr>
      <t xml:space="preserve">分</t>
    </r>
  </si>
  <si>
    <t xml:space="preserve">液冷渗透率提升，高密度算力需求</t>
  </si>
  <si>
    <r>
      <rPr>
        <sz val="9"/>
        <color rgb="FF000000"/>
        <rFont val="微软雅黑"/>
        <family val="2"/>
        <charset val="134"/>
      </rPr>
      <t xml:space="preserve">6-AI</t>
    </r>
    <r>
      <rPr>
        <sz val="9"/>
        <color rgb="FF000000"/>
        <rFont val="Linux Libertine G"/>
        <family val="2"/>
      </rPr>
      <t xml:space="preserve">算力租赁价格</t>
    </r>
  </si>
  <si>
    <t xml:space="preserve">算力租赁价格上涨，供需偏紧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</si>
  <si>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云计算收入增速</t>
    </r>
  </si>
  <si>
    <r>
      <rPr>
        <sz val="9"/>
        <color rgb="FF000000"/>
        <rFont val="Linux Libertine G"/>
        <family val="2"/>
      </rPr>
      <t xml:space="preserve">阿里云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腾讯云</t>
    </r>
    <r>
      <rPr>
        <sz val="9"/>
        <color rgb="FF000000"/>
        <rFont val="Linux Libertine G"/>
        <family val="2"/>
        <charset val="1"/>
      </rPr>
      <t xml:space="preserve">/AWS</t>
    </r>
  </si>
  <si>
    <r>
      <rPr>
        <sz val="9"/>
        <color rgb="FF000000"/>
        <rFont val="Linux Libertine G"/>
        <family val="2"/>
      </rPr>
      <t xml:space="preserve">云收入高增，</t>
    </r>
    <r>
      <rPr>
        <sz val="9"/>
        <color rgb="FF000000"/>
        <rFont val="Linux Libertine G"/>
        <family val="2"/>
        <charset val="1"/>
      </rPr>
      <t xml:space="preserve">AI</t>
    </r>
    <r>
      <rPr>
        <sz val="9"/>
        <color rgb="FF000000"/>
        <rFont val="Linux Libertine G"/>
        <family val="2"/>
      </rPr>
      <t xml:space="preserve">云服务贡献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</si>
  <si>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算力中心</t>
    </r>
    <r>
      <rPr>
        <sz val="9"/>
        <color rgb="FF000000"/>
        <rFont val="微软雅黑"/>
        <family val="2"/>
        <charset val="134"/>
      </rPr>
      <t xml:space="preserve">PUE</t>
    </r>
    <r>
      <rPr>
        <sz val="9"/>
        <color rgb="FF000000"/>
        <rFont val="Linux Libertine G"/>
        <family val="2"/>
      </rPr>
      <t xml:space="preserve">值</t>
    </r>
  </si>
  <si>
    <t xml:space="preserve">1.28</t>
  </si>
  <si>
    <t xml:space="preserve">改善</t>
  </si>
  <si>
    <r>
      <rPr>
        <sz val="9"/>
        <color rgb="FF000000"/>
        <rFont val="微软雅黑"/>
        <family val="2"/>
        <charset val="134"/>
      </rPr>
      <t xml:space="preserve">&lt;1.2=10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,1.2-1.3=8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,1.3-1.4=6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,1.4-1.5=4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,&gt;1.5=2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</si>
  <si>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PUE</t>
    </r>
    <r>
      <rPr>
        <sz val="9"/>
        <color rgb="FF000000"/>
        <rFont val="Linux Libertine G"/>
        <family val="2"/>
      </rPr>
      <t xml:space="preserve">改善，绿色算力推进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</si>
  <si>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国产</t>
    </r>
    <r>
      <rPr>
        <sz val="9"/>
        <color rgb="FF000000"/>
        <rFont val="微软雅黑"/>
        <family val="2"/>
        <charset val="134"/>
      </rPr>
      <t xml:space="preserve">AI</t>
    </r>
    <r>
      <rPr>
        <sz val="9"/>
        <color rgb="FF000000"/>
        <rFont val="Linux Libertine G"/>
        <family val="2"/>
      </rPr>
      <t xml:space="preserve">芯片出货量</t>
    </r>
  </si>
  <si>
    <r>
      <rPr>
        <sz val="9"/>
        <color rgb="FF000000"/>
        <rFont val="Linux Libertine G"/>
        <family val="2"/>
      </rPr>
      <t xml:space="preserve">华为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寒武纪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海光</t>
    </r>
  </si>
  <si>
    <t xml:space="preserve">国产芯片出货翻倍，自主可控加速</t>
  </si>
  <si>
    <r>
      <rPr>
        <sz val="9"/>
        <color rgb="FF000000"/>
        <rFont val="微软雅黑"/>
        <family val="2"/>
        <charset val="134"/>
      </rPr>
      <t xml:space="preserve">10-AI</t>
    </r>
    <r>
      <rPr>
        <sz val="9"/>
        <color rgb="FF000000"/>
        <rFont val="Linux Libertine G"/>
        <family val="2"/>
      </rPr>
      <t xml:space="preserve">算力企业季度净利润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</si>
  <si>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利润高增，光模块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服务器领涨</t>
    </r>
  </si>
  <si>
    <r>
      <rPr>
        <sz val="9"/>
        <color rgb="FF000000"/>
        <rFont val="微软雅黑"/>
        <family val="2"/>
        <charset val="134"/>
      </rPr>
      <t xml:space="preserve">11-AI</t>
    </r>
    <r>
      <rPr>
        <sz val="9"/>
        <color rgb="FF000000"/>
        <rFont val="Linux Libertine G"/>
        <family val="2"/>
      </rPr>
      <t xml:space="preserve">算力行业毛利率</t>
    </r>
  </si>
  <si>
    <r>
      <rPr>
        <sz val="9"/>
        <color rgb="FF000000"/>
        <rFont val="微软雅黑"/>
        <family val="2"/>
        <charset val="134"/>
      </rPr>
      <t xml:space="preserve">&gt;35%=10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,28-35%=8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,20-28%=6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,12-20%=4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,&lt;12%=2</t>
    </r>
    <r>
      <rPr>
        <sz val="9"/>
        <color rgb="FF000000"/>
        <rFont val="Linux Libertine G"/>
        <family val="2"/>
      </rPr>
      <t xml:space="preserve">分</t>
    </r>
  </si>
  <si>
    <t xml:space="preserve">毛利率改善，高端产品占比提升</t>
  </si>
  <si>
    <r>
      <rPr>
        <sz val="9"/>
        <color rgb="FF000000"/>
        <rFont val="微软雅黑"/>
        <family val="2"/>
        <charset val="134"/>
      </rPr>
      <t xml:space="preserve">12-AI</t>
    </r>
    <r>
      <rPr>
        <sz val="9"/>
        <color rgb="FF000000"/>
        <rFont val="Linux Libertine G"/>
        <family val="2"/>
      </rPr>
      <t xml:space="preserve">算力行业产能利用率</t>
    </r>
  </si>
  <si>
    <t xml:space="preserve">产能利用率高位，供不应求</t>
  </si>
  <si>
    <t xml:space="preserve">行业景气度量化跟踪体系（参数优化版）— 锂电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</si>
  <si>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。先用库存、供给、订单确认反转；价格本身不能直接等同高景气。｜核心验证：供给出清、库存与订单；必选：产能投放、库存、排产、车型订单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</si>
  <si>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碳酸锂价格变化</t>
    </r>
  </si>
  <si>
    <r>
      <rPr>
        <sz val="9"/>
        <color rgb="FF000000"/>
        <rFont val="微软雅黑"/>
        <family val="2"/>
        <charset val="134"/>
      </rPr>
      <t xml:space="preserve">SMM/</t>
    </r>
    <r>
      <rPr>
        <sz val="9"/>
        <color rgb="FF000000"/>
        <rFont val="Linux Libertine G"/>
        <family val="2"/>
      </rPr>
      <t xml:space="preserve">上海有色网</t>
    </r>
  </si>
  <si>
    <r>
      <rPr>
        <sz val="9"/>
        <color rgb="FF000000"/>
        <rFont val="Linux Libertine G"/>
        <family val="2"/>
      </rPr>
      <t xml:space="preserve">万元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吨</t>
    </r>
  </si>
  <si>
    <r>
      <rPr>
        <sz val="9"/>
        <color rgb="FF000000"/>
        <rFont val="微软雅黑"/>
        <family val="2"/>
        <charset val="134"/>
      </rPr>
      <t xml:space="preserve">&lt;7=10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,7-9=8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,9-11=6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,11-13=4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,&gt;13=2</t>
    </r>
    <r>
      <rPr>
        <sz val="9"/>
        <color rgb="FF000000"/>
        <rFont val="Linux Libertine G"/>
        <family val="2"/>
      </rPr>
      <t xml:space="preserve">分</t>
    </r>
  </si>
  <si>
    <t xml:space="preserve">碳酸锂价格触底，成本端改善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</si>
  <si>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氢氧化锂价格变化</t>
    </r>
  </si>
  <si>
    <r>
      <rPr>
        <sz val="9"/>
        <color rgb="FF000000"/>
        <rFont val="微软雅黑"/>
        <family val="2"/>
        <charset val="134"/>
      </rPr>
      <t xml:space="preserve">&lt;8=10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,12-14=4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,&gt;14=2</t>
    </r>
    <r>
      <rPr>
        <sz val="9"/>
        <color rgb="FF000000"/>
        <rFont val="Linux Libertine G"/>
        <family val="2"/>
      </rPr>
      <t xml:space="preserve">分</t>
    </r>
  </si>
  <si>
    <t xml:space="preserve">氢氧化锂价格回落，高镍成本下降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</si>
  <si>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钴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镍价格变化</t>
    </r>
  </si>
  <si>
    <t xml:space="preserve">LME/SMM</t>
  </si>
  <si>
    <t xml:space="preserve">钴镍价格回落，三元材料成本改善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</si>
  <si>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动力电池产能规划增速</t>
    </r>
  </si>
  <si>
    <t xml:space="preserve">高工锂电</t>
  </si>
  <si>
    <r>
      <rPr>
        <sz val="9"/>
        <color rgb="FF000000"/>
        <rFont val="微软雅黑"/>
        <family val="2"/>
        <charset val="134"/>
      </rPr>
      <t xml:space="preserve">&lt;20%=10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,20-40%=8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,40-60%=6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,&gt;80%=2</t>
    </r>
    <r>
      <rPr>
        <sz val="9"/>
        <color rgb="FF000000"/>
        <rFont val="Linux Libertine G"/>
        <family val="2"/>
      </rPr>
      <t xml:space="preserve">分</t>
    </r>
  </si>
  <si>
    <t xml:space="preserve">产能扩张放缓，供给压力减轻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</si>
  <si>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新能源车渗透率预期</t>
    </r>
  </si>
  <si>
    <r>
      <rPr>
        <sz val="9"/>
        <color rgb="FF000000"/>
        <rFont val="Linux Libertine G"/>
        <family val="2"/>
      </rPr>
      <t xml:space="preserve">中汽协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乘联会</t>
    </r>
  </si>
  <si>
    <t xml:space="preserve">渗透率快速提升，需求端强劲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</si>
  <si>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锂电设备订单增速</t>
    </r>
  </si>
  <si>
    <r>
      <rPr>
        <sz val="9"/>
        <color rgb="FF000000"/>
        <rFont val="Linux Libertine G"/>
        <family val="2"/>
      </rPr>
      <t xml:space="preserve">先导智能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赢合科技</t>
    </r>
  </si>
  <si>
    <r>
      <rPr>
        <sz val="9"/>
        <color rgb="FF000000"/>
        <rFont val="Linux Libertine G"/>
        <family val="2"/>
      </rPr>
      <t xml:space="preserve">设备订单高增，海外扩产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固态电池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</si>
  <si>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正极材料企业排产计划</t>
    </r>
  </si>
  <si>
    <r>
      <rPr>
        <sz val="9"/>
        <color rgb="FF000000"/>
        <rFont val="Linux Libertine G"/>
        <family val="2"/>
      </rPr>
      <t xml:space="preserve">排产温和增长，</t>
    </r>
    <r>
      <rPr>
        <sz val="9"/>
        <color rgb="FF000000"/>
        <rFont val="Linux Libertine G"/>
        <family val="2"/>
        <charset val="1"/>
      </rPr>
      <t xml:space="preserve">5</t>
    </r>
    <r>
      <rPr>
        <sz val="9"/>
        <color rgb="FF000000"/>
        <rFont val="Linux Libertine G"/>
        <family val="2"/>
      </rPr>
      <t xml:space="preserve">月旺季来临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</si>
  <si>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动力电池装车量增速</t>
    </r>
  </si>
  <si>
    <t xml:space="preserve">装车量高增，新能源车产销两旺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</si>
  <si>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动力电池产量增速</t>
    </r>
  </si>
  <si>
    <r>
      <rPr>
        <sz val="9"/>
        <color rgb="FF000000"/>
        <rFont val="微软雅黑"/>
        <family val="2"/>
        <charset val="134"/>
      </rPr>
      <t xml:space="preserve">&gt;35%=10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</si>
  <si>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电池产量高增，出口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国内双驱动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</si>
  <si>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锂电池出口金额增速</t>
    </r>
  </si>
  <si>
    <t xml:space="preserve">+32</t>
  </si>
  <si>
    <t xml:space="preserve">锂电池出口强劲，海外车企订单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</si>
  <si>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正极材料产量增速</t>
    </r>
  </si>
  <si>
    <r>
      <rPr>
        <sz val="9"/>
        <color rgb="FF000000"/>
        <rFont val="微软雅黑"/>
        <family val="2"/>
        <charset val="134"/>
      </rPr>
      <t xml:space="preserve">&gt;25%=10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,&lt;0%=2</t>
    </r>
    <r>
      <rPr>
        <sz val="9"/>
        <color rgb="FF000000"/>
        <rFont val="Linux Libertine G"/>
        <family val="2"/>
      </rPr>
      <t xml:space="preserve">分</t>
    </r>
  </si>
  <si>
    <t xml:space="preserve">正极材料产量高增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</si>
  <si>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负极材料产量增速</t>
    </r>
  </si>
  <si>
    <t xml:space="preserve">负极材料产量增长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</si>
  <si>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电解液产量增速</t>
    </r>
  </si>
  <si>
    <t xml:space="preserve">电解液产量增长</t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</si>
  <si>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锂电企业季度毛利率</t>
    </r>
  </si>
  <si>
    <t xml:space="preserve">16.5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</si>
  <si>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毛利率改善，价格竞争趋缓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</si>
  <si>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锂电企业季度净利润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</si>
  <si>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利润分化，龙头盈利改善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</si>
  <si>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锂电行业产能利用率</t>
    </r>
  </si>
  <si>
    <r>
      <rPr>
        <sz val="9"/>
        <color rgb="FF000000"/>
        <rFont val="微软雅黑"/>
        <family val="2"/>
        <charset val="134"/>
      </rPr>
      <t xml:space="preserve">&gt;80%=10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,70-80%=8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,&lt;50%=2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</si>
  <si>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锂电行业应收账款周转</t>
    </r>
  </si>
  <si>
    <t xml:space="preserve">行业景气度量化跟踪体系（参数优化版）— 光伏</t>
  </si>
  <si>
    <r>
      <rPr>
        <b val="true"/>
        <sz val="9"/>
        <color rgb="FF000000"/>
        <rFont val="Linux Libertine G"/>
        <family val="2"/>
      </rPr>
      <t xml:space="preserve">默认阶段框架：强周期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供给出清｜先行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=50%/35%/15%</t>
    </r>
    <r>
      <rPr>
        <b val="true"/>
        <sz val="9"/>
        <color rgb="FF000000"/>
        <rFont val="Linux Libertine G"/>
        <family val="2"/>
      </rPr>
      <t xml:space="preserve">。先用库存、供给、订单确认反转；价格本身不能直接等同高景气。｜核心验证：供给出清、排产与现金流；必选：产能出清、库存、排产、招标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</si>
  <si>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多晶硅料价格</t>
    </r>
  </si>
  <si>
    <r>
      <rPr>
        <sz val="9"/>
        <color rgb="FF000000"/>
        <rFont val="微软雅黑"/>
        <family val="2"/>
        <charset val="134"/>
      </rPr>
      <t xml:space="preserve">&lt;40=10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,40-50=8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,50-60=6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,60-70=4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,&gt;70=2</t>
    </r>
    <r>
      <rPr>
        <sz val="9"/>
        <color rgb="FF000000"/>
        <rFont val="Linux Libertine G"/>
        <family val="2"/>
      </rPr>
      <t xml:space="preserve">分</t>
    </r>
  </si>
  <si>
    <t xml:space="preserve">硅料价格触底，全产业链成本改善</t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</si>
  <si>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硅片价格变化</t>
    </r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</si>
  <si>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片</t>
    </r>
  </si>
  <si>
    <r>
      <rPr>
        <sz val="9"/>
        <color rgb="FF000000"/>
        <rFont val="微软雅黑"/>
        <family val="2"/>
        <charset val="134"/>
      </rPr>
      <t xml:space="preserve">&lt;1.5=10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,1.5-2.0=8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,2.0-2.5=6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,2.5-3.0=4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,&gt;3.0=2</t>
    </r>
    <r>
      <rPr>
        <sz val="9"/>
        <color rgb="FF000000"/>
        <rFont val="Linux Libertine G"/>
        <family val="2"/>
      </rPr>
      <t xml:space="preserve">分</t>
    </r>
  </si>
  <si>
    <t xml:space="preserve">硅片价格低位，利润压缩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</si>
  <si>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光伏组件价格</t>
    </r>
  </si>
  <si>
    <r>
      <rPr>
        <sz val="9"/>
        <color rgb="FF000000"/>
        <rFont val="微软雅黑"/>
        <family val="2"/>
        <charset val="134"/>
      </rPr>
      <t xml:space="preserve">&lt;0.8=10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,0.8-0.9=8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,0.9-1.0=6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,1.0-1.1=4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,&gt;1.1=2</t>
    </r>
    <r>
      <rPr>
        <sz val="9"/>
        <color rgb="FF000000"/>
        <rFont val="Linux Libertine G"/>
        <family val="2"/>
      </rPr>
      <t xml:space="preserve">分</t>
    </r>
  </si>
  <si>
    <t xml:space="preserve">组件价格触底，出口竞争力强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</si>
  <si>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多晶硅产能投放计划</t>
    </r>
  </si>
  <si>
    <r>
      <rPr>
        <sz val="9"/>
        <color rgb="FF000000"/>
        <rFont val="微软雅黑"/>
        <family val="2"/>
        <charset val="134"/>
      </rPr>
      <t xml:space="preserve">&lt;10=10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,&gt;40=2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</si>
  <si>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光伏玻璃价格</t>
    </r>
  </si>
  <si>
    <t xml:space="preserve">18.5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</si>
  <si>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平米</t>
    </r>
  </si>
  <si>
    <r>
      <rPr>
        <sz val="9"/>
        <color rgb="FF000000"/>
        <rFont val="微软雅黑"/>
        <family val="2"/>
        <charset val="134"/>
      </rPr>
      <t xml:space="preserve">&lt;20=10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,30-35=4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,&gt;35=2</t>
    </r>
    <r>
      <rPr>
        <sz val="9"/>
        <color rgb="FF000000"/>
        <rFont val="Linux Libertine G"/>
        <family val="2"/>
      </rPr>
      <t xml:space="preserve">分</t>
    </r>
  </si>
  <si>
    <t xml:space="preserve">玻璃价格低位，辅材成本改善</t>
  </si>
  <si>
    <r>
      <rPr>
        <sz val="9"/>
        <color rgb="FF000000"/>
        <rFont val="微软雅黑"/>
        <family val="2"/>
        <charset val="134"/>
      </rPr>
      <t xml:space="preserve">6-EVA</t>
    </r>
    <r>
      <rPr>
        <sz val="9"/>
        <color rgb="FF000000"/>
        <rFont val="Linux Libertine G"/>
        <family val="2"/>
      </rPr>
      <t xml:space="preserve">胶膜价格</t>
    </r>
  </si>
  <si>
    <t xml:space="preserve">9.2</t>
  </si>
  <si>
    <r>
      <rPr>
        <sz val="9"/>
        <color rgb="FF000000"/>
        <rFont val="微软雅黑"/>
        <family val="2"/>
        <charset val="134"/>
      </rPr>
      <t xml:space="preserve">&lt;10=10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,12-14=6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,14-16=4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,&gt;16=2</t>
    </r>
    <r>
      <rPr>
        <sz val="9"/>
        <color rgb="FF000000"/>
        <rFont val="Linux Libertine G"/>
        <family val="2"/>
      </rPr>
      <t xml:space="preserve">分</t>
    </r>
  </si>
  <si>
    <t xml:space="preserve">胶膜价格回落，组件成本下降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</si>
  <si>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光伏企业排产计划</t>
    </r>
  </si>
  <si>
    <r>
      <rPr>
        <sz val="9"/>
        <color rgb="FF000000"/>
        <rFont val="Linux Libertine G"/>
        <family val="2"/>
      </rPr>
      <t xml:space="preserve">排产回升，</t>
    </r>
    <r>
      <rPr>
        <sz val="9"/>
        <color rgb="FF000000"/>
        <rFont val="Linux Libertine G"/>
        <family val="2"/>
        <charset val="1"/>
      </rPr>
      <t xml:space="preserve">5-6</t>
    </r>
    <r>
      <rPr>
        <sz val="9"/>
        <color rgb="FF000000"/>
        <rFont val="Linux Libertine G"/>
        <family val="2"/>
      </rPr>
      <t xml:space="preserve">月旺季来临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</si>
  <si>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光伏新增装机量</t>
    </r>
  </si>
  <si>
    <r>
      <rPr>
        <sz val="9"/>
        <color rgb="FF000000"/>
        <rFont val="Linux Libertine G"/>
        <family val="2"/>
      </rPr>
      <t xml:space="preserve">装机量稳健，分布式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集中式双驱动</t>
    </r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</si>
  <si>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组件出货量增速</t>
    </r>
  </si>
  <si>
    <t xml:space="preserve">组件出货高增，海外需求旺盛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</si>
  <si>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电池片产量增速</t>
    </r>
  </si>
  <si>
    <r>
      <rPr>
        <sz val="9"/>
        <color rgb="FF000000"/>
        <rFont val="Linux Libertine G"/>
        <family val="2"/>
      </rPr>
      <t xml:space="preserve">电池片产量增长，</t>
    </r>
    <r>
      <rPr>
        <sz val="9"/>
        <color rgb="FF000000"/>
        <rFont val="Linux Libertine G"/>
        <family val="2"/>
        <charset val="1"/>
      </rPr>
      <t xml:space="preserve">TOPCon</t>
    </r>
    <r>
      <rPr>
        <sz val="9"/>
        <color rgb="FF000000"/>
        <rFont val="Linux Libertine G"/>
        <family val="2"/>
      </rPr>
      <t xml:space="preserve">放量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</si>
  <si>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光伏出口金额增速</t>
    </r>
  </si>
  <si>
    <r>
      <rPr>
        <sz val="9"/>
        <color rgb="FF000000"/>
        <rFont val="Linux Libertine G"/>
        <family val="2"/>
      </rPr>
      <t xml:space="preserve">光伏出口强劲，欧洲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新兴市场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</si>
  <si>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分布式光伏装机占比</t>
    </r>
  </si>
  <si>
    <r>
      <rPr>
        <sz val="9"/>
        <color rgb="FF000000"/>
        <rFont val="Linux Libertine G"/>
        <family val="2"/>
      </rPr>
      <t xml:space="preserve">分布式占比提升，户用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工商业爆发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</si>
  <si>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光伏逆变器出货量</t>
    </r>
  </si>
  <si>
    <t xml:space="preserve">逆变器出货高增，储能逆变器贡献</t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</si>
  <si>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光伏企业季度毛利率</t>
    </r>
  </si>
  <si>
    <t xml:space="preserve">14.5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</si>
  <si>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毛利率低迷，价格竞争惨烈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</si>
  <si>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光伏企业季度净利润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</si>
  <si>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光伏行业产能利用率</t>
    </r>
  </si>
  <si>
    <t xml:space="preserve">产能利用率偏低，产能过剩严重</t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</si>
  <si>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光伏行业资产负债率</t>
    </r>
  </si>
  <si>
    <t xml:space="preserve">负债率上升，资金链承压</t>
  </si>
  <si>
    <t xml:space="preserve">行业景气度量化跟踪体系（参数优化版）— 风电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</si>
  <si>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。政策与规划只作确认项，必须由招标、交付、回款和利润验证。｜核心验证：招标、交付与盈利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回款；必选：招标、核准、海风进度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</si>
  <si>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风电招标量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</si>
  <si>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风机中标均价</t>
    </r>
  </si>
  <si>
    <t xml:space="preserve">金风科技</t>
  </si>
  <si>
    <t xml:space="preserve">1520</t>
  </si>
  <si>
    <r>
      <rPr>
        <sz val="9"/>
        <color rgb="FF000000"/>
        <rFont val="Linux Libertine G"/>
        <family val="2"/>
      </rPr>
      <t xml:space="preserve">元</t>
    </r>
    <r>
      <rPr>
        <sz val="9"/>
        <color rgb="FF000000"/>
        <rFont val="Linux Libertine G"/>
        <family val="2"/>
        <charset val="1"/>
      </rPr>
      <t xml:space="preserve">/kW</t>
    </r>
  </si>
  <si>
    <r>
      <rPr>
        <sz val="9"/>
        <color rgb="FF000000"/>
        <rFont val="微软雅黑"/>
        <family val="2"/>
        <charset val="134"/>
      </rPr>
      <t xml:space="preserve">&lt;1500=10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,1500-1800=8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,1800-2100=6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,2100-2400=4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,&gt;2400=2</t>
    </r>
    <r>
      <rPr>
        <sz val="9"/>
        <color rgb="FF000000"/>
        <rFont val="Linux Libertine G"/>
        <family val="2"/>
      </rPr>
      <t xml:space="preserve">分</t>
    </r>
  </si>
  <si>
    <t xml:space="preserve">风机价格触底，成本竞争力强</t>
  </si>
  <si>
    <r>
      <rPr>
        <sz val="9"/>
        <color rgb="FF000000"/>
        <rFont val="微软雅黑"/>
        <family val="2"/>
        <charset val="134"/>
      </rPr>
      <t xml:space="preserve">3-</t>
    </r>
    <r>
      <rPr>
        <sz val="9"/>
        <color rgb="FF000000"/>
        <rFont val="Linux Libertine G"/>
        <family val="2"/>
      </rPr>
      <t xml:space="preserve">中厚板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钢铁价格</t>
    </r>
  </si>
  <si>
    <r>
      <rPr>
        <sz val="9"/>
        <color rgb="FF000000"/>
        <rFont val="Linux Libertine G"/>
        <family val="2"/>
      </rPr>
      <t xml:space="preserve">钢材价格回落，塔筒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桩基成本改善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</si>
  <si>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海上风电规划容量</t>
    </r>
  </si>
  <si>
    <r>
      <rPr>
        <sz val="9"/>
        <color rgb="FF000000"/>
        <rFont val="Linux Libertine G"/>
        <family val="2"/>
      </rPr>
      <t xml:space="preserve">国家能源局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各省发改委</t>
    </r>
  </si>
  <si>
    <t xml:space="preserve">海上风电规划加码，沿海省份竞配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</si>
  <si>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风电项目核准量</t>
    </r>
  </si>
  <si>
    <r>
      <rPr>
        <sz val="9"/>
        <color rgb="FF000000"/>
        <rFont val="微软雅黑"/>
        <family val="2"/>
        <charset val="134"/>
      </rPr>
      <t xml:space="preserve">&gt;40=10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,&lt;10=2</t>
    </r>
    <r>
      <rPr>
        <sz val="9"/>
        <color rgb="FF000000"/>
        <rFont val="Linux Libertine G"/>
        <family val="2"/>
      </rPr>
      <t xml:space="preserve">分</t>
    </r>
  </si>
  <si>
    <t xml:space="preserve">项目核准放量，开工前置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</si>
  <si>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叶片</t>
    </r>
    <r>
      <rPr>
        <sz val="9"/>
        <color rgb="FF000000"/>
        <rFont val="微软雅黑"/>
        <family val="2"/>
        <charset val="134"/>
      </rPr>
      <t xml:space="preserve">/</t>
    </r>
    <r>
      <rPr>
        <sz val="9"/>
        <color rgb="FF000000"/>
        <rFont val="Linux Libertine G"/>
        <family val="2"/>
      </rPr>
      <t xml:space="preserve">塔筒订单增速</t>
    </r>
  </si>
  <si>
    <t xml:space="preserve">零部件订单高增，供应链景气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</si>
  <si>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风电整机企业排产计划</t>
    </r>
  </si>
  <si>
    <t xml:space="preserve">排产高增，交付旺季来临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</si>
  <si>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风电新增装机量</t>
    </r>
  </si>
  <si>
    <t xml:space="preserve">装机量平稳，海上风电加速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</si>
  <si>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风机产量增速</t>
    </r>
  </si>
  <si>
    <t xml:space="preserve">中国风能协会</t>
  </si>
  <si>
    <t xml:space="preserve">风机产量增长，大型化趋势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</si>
  <si>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风电发电量增速</t>
    </r>
  </si>
  <si>
    <r>
      <rPr>
        <sz val="9"/>
        <color rgb="FF000000"/>
        <rFont val="Linux Libertine G"/>
        <family val="2"/>
      </rPr>
      <t xml:space="preserve">发电量高增，装机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利用小时双驱动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</si>
  <si>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风电利用率</t>
    </r>
  </si>
  <si>
    <t xml:space="preserve">96.5</t>
  </si>
  <si>
    <r>
      <rPr>
        <sz val="9"/>
        <color rgb="FF000000"/>
        <rFont val="微软雅黑"/>
        <family val="2"/>
        <charset val="134"/>
      </rPr>
      <t xml:space="preserve">&gt;97%=10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,95-97%=8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,93-95%=6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,90-93%=4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,&lt;90%=2</t>
    </r>
    <r>
      <rPr>
        <sz val="9"/>
        <color rgb="FF000000"/>
        <rFont val="Linux Libertine G"/>
        <family val="2"/>
      </rPr>
      <t xml:space="preserve">分</t>
    </r>
  </si>
  <si>
    <t xml:space="preserve">利用率高，消纳改善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</si>
  <si>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海上风电装机量</t>
    </r>
  </si>
  <si>
    <r>
      <rPr>
        <sz val="9"/>
        <color rgb="FF000000"/>
        <rFont val="微软雅黑"/>
        <family val="2"/>
        <charset val="134"/>
      </rPr>
      <t xml:space="preserve">&gt;15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,10-15=8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,7-10=6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,4-7=4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,&lt;4=2</t>
    </r>
    <r>
      <rPr>
        <sz val="9"/>
        <color rgb="FF000000"/>
        <rFont val="Linux Libertine G"/>
        <family val="2"/>
      </rPr>
      <t xml:space="preserve">分</t>
    </r>
  </si>
  <si>
    <t xml:space="preserve">海上风电装机加速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</si>
  <si>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风电出口金额增速</t>
    </r>
  </si>
  <si>
    <r>
      <rPr>
        <sz val="9"/>
        <color rgb="FF000000"/>
        <rFont val="Linux Libertine G"/>
        <family val="2"/>
      </rPr>
      <t xml:space="preserve">风电出口强劲，风机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零部件出海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</si>
  <si>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风电企业季度毛利率</t>
    </r>
  </si>
  <si>
    <t xml:space="preserve">19</t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</si>
  <si>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风电企业季度净利润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</si>
  <si>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利润改善，零部件企业贡献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</si>
  <si>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风电行业应收账款周转</t>
    </r>
  </si>
  <si>
    <t xml:space="preserve">应收账款周转放缓，回款周期延长</t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</si>
  <si>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风电行业资产负债率</t>
    </r>
  </si>
  <si>
    <r>
      <rPr>
        <sz val="9"/>
        <color rgb="FF000000"/>
        <rFont val="微软雅黑"/>
        <family val="2"/>
        <charset val="134"/>
      </rPr>
      <t xml:space="preserve">&lt;65%=10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,70-75%=6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,75-80%=4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,&gt;80%=2</t>
    </r>
    <r>
      <rPr>
        <sz val="9"/>
        <color rgb="FF000000"/>
        <rFont val="Linux Libertine G"/>
        <family val="2"/>
      </rPr>
      <t xml:space="preserve">分</t>
    </r>
  </si>
  <si>
    <t xml:space="preserve">负债率可控，财务结构稳健</t>
  </si>
  <si>
    <t xml:space="preserve">行业景气度量化跟踪体系（参数优化版）— 储能</t>
  </si>
  <si>
    <r>
      <rPr>
        <b val="true"/>
        <sz val="9"/>
        <color rgb="FF000000"/>
        <rFont val="Linux Libertine G"/>
        <family val="2"/>
      </rPr>
      <t xml:space="preserve">默认阶段框架：政策资本开支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交付｜先行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=45%/35%/20%</t>
    </r>
    <r>
      <rPr>
        <b val="true"/>
        <sz val="9"/>
        <color rgb="FF000000"/>
        <rFont val="Linux Libertine G"/>
        <family val="2"/>
      </rPr>
      <t xml:space="preserve">。政策与规划只作确认项，必须由招标、交付、回款和利润验证。｜核心验证：项目</t>
    </r>
    <r>
      <rPr>
        <b val="true"/>
        <sz val="9"/>
        <color rgb="FF000000"/>
        <rFont val="Linux Libertine G"/>
        <family val="2"/>
        <charset val="1"/>
      </rPr>
      <t xml:space="preserve">IRR</t>
    </r>
    <r>
      <rPr>
        <b val="true"/>
        <sz val="9"/>
        <color rgb="FF000000"/>
        <rFont val="Linux Libertine G"/>
        <family val="2"/>
      </rPr>
      <t xml:space="preserve">、招标与并网利用；必选：峰谷价差、</t>
    </r>
    <r>
      <rPr>
        <b val="true"/>
        <sz val="9"/>
        <color rgb="FF000000"/>
        <rFont val="Linux Libertine G"/>
        <family val="2"/>
        <charset val="1"/>
      </rPr>
      <t xml:space="preserve">IRR</t>
    </r>
    <r>
      <rPr>
        <b val="true"/>
        <sz val="9"/>
        <color rgb="FF000000"/>
        <rFont val="Linux Libertine G"/>
        <family val="2"/>
      </rPr>
      <t xml:space="preserve">、招标、海外订单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</si>
  <si>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储能系统招标量</t>
    </r>
  </si>
  <si>
    <r>
      <rPr>
        <sz val="9"/>
        <color rgb="FF000000"/>
        <rFont val="微软雅黑"/>
        <family val="2"/>
        <charset val="134"/>
      </rPr>
      <t xml:space="preserve">CNESA/</t>
    </r>
    <r>
      <rPr>
        <sz val="9"/>
        <color rgb="FF000000"/>
        <rFont val="Linux Libertine G"/>
        <family val="2"/>
      </rPr>
      <t xml:space="preserve">中关村储能联盟</t>
    </r>
  </si>
  <si>
    <r>
      <rPr>
        <sz val="9"/>
        <color rgb="FF000000"/>
        <rFont val="微软雅黑"/>
        <family val="2"/>
        <charset val="134"/>
      </rPr>
      <t xml:space="preserve">&gt;60=10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,45-60=8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</si>
  <si>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储能招标创新高，工商业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大储双爆发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</si>
  <si>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储能系统中标均价</t>
    </r>
  </si>
  <si>
    <t xml:space="preserve">0.48</t>
  </si>
  <si>
    <t xml:space="preserve">系统价格触底，经济性凸显</t>
  </si>
  <si>
    <t xml:space="preserve">电池价格低位，储能成本下降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</si>
  <si>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新型储能规划容量</t>
    </r>
  </si>
  <si>
    <t xml:space="preserve">储能规划加码，政策目标明确</t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</si>
  <si>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储能政策发布数量</t>
    </r>
  </si>
  <si>
    <r>
      <rPr>
        <sz val="9"/>
        <color rgb="FF000000"/>
        <rFont val="Linux Libertine G"/>
        <family val="2"/>
      </rPr>
      <t xml:space="preserve">国家能源局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发改委</t>
    </r>
  </si>
  <si>
    <t xml:space="preserve">政策密集出台，储能地位提升</t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</si>
  <si>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工商业储能</t>
    </r>
    <r>
      <rPr>
        <sz val="9"/>
        <color rgb="FF000000"/>
        <rFont val="微软雅黑"/>
        <family val="2"/>
        <charset val="134"/>
      </rPr>
      <t xml:space="preserve">IRR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</si>
  <si>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,9-12%=6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,6-9%=4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,&lt;6%=2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</si>
  <si>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工商业</t>
    </r>
    <r>
      <rPr>
        <sz val="9"/>
        <color rgb="FF000000"/>
        <rFont val="Linux Libertine G"/>
        <family val="2"/>
        <charset val="1"/>
      </rPr>
      <t xml:space="preserve">IRR</t>
    </r>
    <r>
      <rPr>
        <sz val="9"/>
        <color rgb="FF000000"/>
        <rFont val="Linux Libertine G"/>
        <family val="2"/>
      </rPr>
      <t xml:space="preserve">改善，投资吸引力增强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</si>
  <si>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储能</t>
    </r>
    <r>
      <rPr>
        <sz val="9"/>
        <color rgb="FF000000"/>
        <rFont val="微软雅黑"/>
        <family val="2"/>
        <charset val="134"/>
      </rPr>
      <t xml:space="preserve">PCS</t>
    </r>
    <r>
      <rPr>
        <sz val="9"/>
        <color rgb="FF000000"/>
        <rFont val="Linux Libertine G"/>
        <family val="2"/>
      </rPr>
      <t xml:space="preserve">订单增速</t>
    </r>
  </si>
  <si>
    <r>
      <rPr>
        <sz val="9"/>
        <color rgb="FF000000"/>
        <rFont val="Linux Libertine G"/>
        <family val="2"/>
      </rPr>
      <t xml:space="preserve">阳光电源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上能电气</t>
    </r>
  </si>
  <si>
    <r>
      <rPr>
        <sz val="9"/>
        <color rgb="FF000000"/>
        <rFont val="微软雅黑"/>
        <family val="2"/>
        <charset val="134"/>
      </rPr>
      <t xml:space="preserve">PCS</t>
    </r>
    <r>
      <rPr>
        <sz val="9"/>
        <color rgb="FF000000"/>
        <rFont val="Linux Libertine G"/>
        <family val="2"/>
      </rPr>
      <t xml:space="preserve">订单爆发，大储</t>
    </r>
    <r>
      <rPr>
        <sz val="9"/>
        <color rgb="FF000000"/>
        <rFont val="微软雅黑"/>
        <family val="2"/>
        <charset val="134"/>
      </rPr>
      <t xml:space="preserve">+</t>
    </r>
    <r>
      <rPr>
        <sz val="9"/>
        <color rgb="FF000000"/>
        <rFont val="Linux Libertine G"/>
        <family val="2"/>
      </rPr>
      <t xml:space="preserve">工商业双驱</t>
    </r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</si>
  <si>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储能新增装机量</t>
    </r>
  </si>
  <si>
    <t xml:space="preserve">装机量高增，但基数仍小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</si>
  <si>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储能项目并网量</t>
    </r>
  </si>
  <si>
    <r>
      <rPr>
        <sz val="9"/>
        <color rgb="FF000000"/>
        <rFont val="微软雅黑"/>
        <family val="2"/>
        <charset val="134"/>
      </rPr>
      <t xml:space="preserve">&gt;40</t>
    </r>
    <r>
      <rPr>
        <sz val="9"/>
        <color rgb="FF000000"/>
        <rFont val="Linux Libertine G"/>
        <family val="2"/>
      </rPr>
      <t xml:space="preserve">年化</t>
    </r>
    <r>
      <rPr>
        <sz val="9"/>
        <color rgb="FF000000"/>
        <rFont val="微软雅黑"/>
        <family val="2"/>
        <charset val="134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,20-30=6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,10-20=4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,&lt;10=2</t>
    </r>
    <r>
      <rPr>
        <sz val="9"/>
        <color rgb="FF000000"/>
        <rFont val="Linux Libertine G"/>
        <family val="2"/>
      </rPr>
      <t xml:space="preserve">分</t>
    </r>
  </si>
  <si>
    <t xml:space="preserve">并网量增长，项目落地加速</t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</si>
  <si>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工商业储能渗透率</t>
    </r>
  </si>
  <si>
    <t xml:space="preserve">工商业渗透率提升，峰谷价差驱动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</si>
  <si>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储能出口金额增速</t>
    </r>
  </si>
  <si>
    <t xml:space="preserve">储能出口爆发，欧美大储订单</t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</si>
  <si>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电源侧储能配储比例</t>
    </r>
  </si>
  <si>
    <r>
      <rPr>
        <sz val="9"/>
        <color rgb="FF000000"/>
        <rFont val="微软雅黑"/>
        <family val="2"/>
        <charset val="134"/>
      </rPr>
      <t xml:space="preserve">&gt;15%=10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,12-15%=8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,10-12%=6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,8-10%=4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,&lt;8%=2</t>
    </r>
    <r>
      <rPr>
        <sz val="9"/>
        <color rgb="FF000000"/>
        <rFont val="Linux Libertine G"/>
        <family val="2"/>
      </rPr>
      <t xml:space="preserve">分</t>
    </r>
  </si>
  <si>
    <t xml:space="preserve">配储比例提升，新能源强制配储</t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</si>
  <si>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储能</t>
    </r>
    <r>
      <rPr>
        <sz val="9"/>
        <color rgb="FF000000"/>
        <rFont val="微软雅黑"/>
        <family val="2"/>
        <charset val="134"/>
      </rPr>
      <t xml:space="preserve">EPC</t>
    </r>
    <r>
      <rPr>
        <sz val="9"/>
        <color rgb="FF000000"/>
        <rFont val="Linux Libertine G"/>
        <family val="2"/>
      </rPr>
      <t xml:space="preserve">中标量</t>
    </r>
  </si>
  <si>
    <r>
      <rPr>
        <sz val="9"/>
        <color rgb="FF000000"/>
        <rFont val="微软雅黑"/>
        <family val="2"/>
        <charset val="134"/>
      </rPr>
      <t xml:space="preserve">EPC</t>
    </r>
    <r>
      <rPr>
        <sz val="9"/>
        <color rgb="FF000000"/>
        <rFont val="Linux Libertine G"/>
        <family val="2"/>
      </rPr>
      <t xml:space="preserve">中标放量，项目建设提速</t>
    </r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</si>
  <si>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储能企业季度毛利率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</si>
  <si>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毛利率改善，系统集成能力提升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</si>
  <si>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储能企业季度净利润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</si>
  <si>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利润改善，系统集成商贡献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</si>
  <si>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储能项目</t>
    </r>
    <r>
      <rPr>
        <sz val="9"/>
        <color rgb="FF000000"/>
        <rFont val="微软雅黑"/>
        <family val="2"/>
        <charset val="134"/>
      </rPr>
      <t xml:space="preserve">IRR</t>
    </r>
    <r>
      <rPr>
        <sz val="9"/>
        <color rgb="FF000000"/>
        <rFont val="Linux Libertine G"/>
        <family val="2"/>
      </rPr>
      <t xml:space="preserve">实现值</t>
    </r>
  </si>
  <si>
    <r>
      <rPr>
        <sz val="9"/>
        <color rgb="FF000000"/>
        <rFont val="微软雅黑"/>
        <family val="2"/>
        <charset val="134"/>
      </rPr>
      <t xml:space="preserve">&gt;12%=10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,9-12%=8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,6-9%=6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,3-6%=4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</si>
  <si>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Linux Libertine G"/>
        <family val="2"/>
      </rPr>
      <t xml:space="preserve">项目</t>
    </r>
    <r>
      <rPr>
        <sz val="9"/>
        <color rgb="FF000000"/>
        <rFont val="Linux Libertine G"/>
        <family val="2"/>
        <charset val="1"/>
      </rPr>
      <t xml:space="preserve">IRR</t>
    </r>
    <r>
      <rPr>
        <sz val="9"/>
        <color rgb="FF000000"/>
        <rFont val="Linux Libertine G"/>
        <family val="2"/>
      </rPr>
      <t xml:space="preserve">改善，盈利模式清晰</t>
    </r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</si>
  <si>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储能行业产能利用率</t>
    </r>
  </si>
  <si>
    <r>
      <rPr>
        <sz val="9"/>
        <color rgb="FF000000"/>
        <rFont val="微软雅黑"/>
        <family val="2"/>
        <charset val="134"/>
      </rPr>
      <t xml:space="preserve">&gt;75%=10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,65-75%=8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,45-55%=4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,&lt;45%=2</t>
    </r>
    <r>
      <rPr>
        <sz val="9"/>
        <color rgb="FF000000"/>
        <rFont val="Linux Libertine G"/>
        <family val="2"/>
      </rPr>
      <t xml:space="preserve">分</t>
    </r>
  </si>
  <si>
    <t xml:space="preserve">产能利用率偏低，产能快速扩张</t>
  </si>
  <si>
    <r>
      <rPr>
        <b val="true"/>
        <sz val="14"/>
        <color rgb="FFFFFFFF"/>
        <rFont val="Linux Libertine G"/>
        <family val="2"/>
      </rPr>
      <t xml:space="preserve">行业景气度量化跟踪体系（参数优化版）— </t>
    </r>
    <r>
      <rPr>
        <b val="true"/>
        <sz val="14"/>
        <color rgb="FFFFFFFF"/>
        <rFont val="Linux Libertine G"/>
        <family val="2"/>
        <charset val="1"/>
      </rPr>
      <t xml:space="preserve">CXO</t>
    </r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</si>
  <si>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。量产、订单、交付优先；热度与规划指标不得主导评分。｜核心验证：全球研发资金、订单与产能利用；必选：融资、</t>
    </r>
    <r>
      <rPr>
        <b val="true"/>
        <sz val="9"/>
        <color rgb="FF000000"/>
        <rFont val="Linux Libertine G"/>
        <family val="2"/>
        <charset val="1"/>
      </rPr>
      <t xml:space="preserve">IND</t>
    </r>
    <r>
      <rPr>
        <b val="true"/>
        <sz val="9"/>
        <color rgb="FF000000"/>
        <rFont val="Linux Libertine G"/>
        <family val="2"/>
      </rPr>
      <t xml:space="preserve">、订单、地缘风险</t>
    </r>
  </si>
  <si>
    <r>
      <rPr>
        <b val="true"/>
        <sz val="10"/>
        <color rgb="FFFFFFFF"/>
        <rFont val="Linux Libertine G"/>
        <family val="2"/>
      </rPr>
      <t xml:space="preserve">【先行指标（</t>
    </r>
    <r>
      <rPr>
        <b val="true"/>
        <sz val="10"/>
        <color rgb="FFFFFFFF"/>
        <rFont val="Linux Libertine G"/>
        <family val="2"/>
        <charset val="1"/>
      </rPr>
      <t xml:space="preserve">Leading Indicators</t>
    </r>
    <r>
      <rPr>
        <b val="true"/>
        <sz val="10"/>
        <color rgb="FFFFFFFF"/>
        <rFont val="Linux Libertine G"/>
        <family val="2"/>
      </rPr>
      <t xml:space="preserve">）——提前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个季度预示景气变化】</t>
    </r>
  </si>
  <si>
    <r>
      <rPr>
        <sz val="9"/>
        <color rgb="FF000000"/>
        <rFont val="微软雅黑"/>
        <family val="2"/>
        <charset val="134"/>
      </rPr>
      <t xml:space="preserve">1-</t>
    </r>
    <r>
      <rPr>
        <sz val="9"/>
        <color rgb="FF000000"/>
        <rFont val="Linux Libertine G"/>
        <family val="2"/>
      </rPr>
      <t xml:space="preserve">全球生物医药融资额</t>
    </r>
  </si>
  <si>
    <r>
      <rPr>
        <sz val="9"/>
        <color rgb="FF000000"/>
        <rFont val="Linux Libertine G"/>
        <family val="2"/>
      </rPr>
      <t xml:space="preserve">融资回暖，创新药研发资金充裕，</t>
    </r>
    <r>
      <rPr>
        <sz val="9"/>
        <color rgb="FF000000"/>
        <rFont val="Linux Libertine G"/>
        <family val="2"/>
        <charset val="1"/>
      </rPr>
      <t xml:space="preserve">CXO</t>
    </r>
    <r>
      <rPr>
        <sz val="9"/>
        <color rgb="FF000000"/>
        <rFont val="Linux Libertine G"/>
        <family val="2"/>
      </rPr>
      <t xml:space="preserve">订单源头改善</t>
    </r>
  </si>
  <si>
    <r>
      <rPr>
        <sz val="9"/>
        <color rgb="FF000000"/>
        <rFont val="微软雅黑"/>
        <family val="2"/>
        <charset val="134"/>
      </rPr>
      <t xml:space="preserve">2-FDA</t>
    </r>
    <r>
      <rPr>
        <sz val="9"/>
        <color rgb="FF000000"/>
        <rFont val="Linux Libertine G"/>
        <family val="2"/>
      </rPr>
      <t xml:space="preserve">新药批准数量</t>
    </r>
  </si>
  <si>
    <t xml:space="preserve">FDA</t>
  </si>
  <si>
    <r>
      <rPr>
        <sz val="9"/>
        <color rgb="FF000000"/>
        <rFont val="微软雅黑"/>
        <family val="2"/>
        <charset val="134"/>
      </rPr>
      <t xml:space="preserve">&gt;30=10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,25-30=8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,20-25=6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,15-20=4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,&lt;15=2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</si>
  <si>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FDA</t>
    </r>
    <r>
      <rPr>
        <sz val="9"/>
        <color rgb="FF000000"/>
        <rFont val="Linux Libertine G"/>
        <family val="2"/>
      </rPr>
      <t xml:space="preserve">批准活跃，全球新药上市加速，后端</t>
    </r>
    <r>
      <rPr>
        <sz val="9"/>
        <color rgb="FF000000"/>
        <rFont val="微软雅黑"/>
        <family val="2"/>
        <charset val="134"/>
      </rPr>
      <t xml:space="preserve">CDMO</t>
    </r>
    <r>
      <rPr>
        <sz val="9"/>
        <color rgb="FF000000"/>
        <rFont val="Linux Libertine G"/>
        <family val="2"/>
      </rPr>
      <t xml:space="preserve">需求增加</t>
    </r>
  </si>
  <si>
    <r>
      <rPr>
        <sz val="9"/>
        <color rgb="FF000000"/>
        <rFont val="微软雅黑"/>
        <family val="2"/>
        <charset val="134"/>
      </rPr>
      <t xml:space="preserve">3-CXO</t>
    </r>
    <r>
      <rPr>
        <sz val="9"/>
        <color rgb="FF000000"/>
        <rFont val="Linux Libertine G"/>
        <family val="2"/>
      </rPr>
      <t xml:space="preserve">企业订单增速</t>
    </r>
  </si>
  <si>
    <r>
      <rPr>
        <sz val="9"/>
        <color rgb="FF000000"/>
        <rFont val="Linux Libertine G"/>
        <family val="2"/>
      </rPr>
      <t xml:space="preserve">药明康德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康龙化成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凯莱英</t>
    </r>
  </si>
  <si>
    <r>
      <rPr>
        <sz val="9"/>
        <color rgb="FF000000"/>
        <rFont val="Linux Libertine G"/>
        <family val="2"/>
      </rPr>
      <t xml:space="preserve">订单增速回升，全球外包转移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国内创新药需求双驱</t>
    </r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</si>
  <si>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客户研发管线数量</t>
    </r>
  </si>
  <si>
    <t xml:space="preserve">Pharmaprojects</t>
  </si>
  <si>
    <r>
      <rPr>
        <sz val="9"/>
        <color rgb="FF000000"/>
        <rFont val="Linux Libertine G"/>
        <family val="2"/>
      </rPr>
      <t xml:space="preserve">客户管线扩张，前端</t>
    </r>
    <r>
      <rPr>
        <sz val="9"/>
        <color rgb="FF000000"/>
        <rFont val="Linux Libertine G"/>
        <family val="2"/>
        <charset val="1"/>
      </rPr>
      <t xml:space="preserve">CRO</t>
    </r>
    <r>
      <rPr>
        <sz val="9"/>
        <color rgb="FF000000"/>
        <rFont val="Linux Libertine G"/>
        <family val="2"/>
      </rPr>
      <t xml:space="preserve">需求旺盛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</si>
  <si>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数量</t>
    </r>
  </si>
  <si>
    <r>
      <rPr>
        <sz val="9"/>
        <color rgb="FF000000"/>
        <rFont val="Linux Libertine G"/>
        <family val="2"/>
      </rPr>
      <t xml:space="preserve">国内</t>
    </r>
    <r>
      <rPr>
        <sz val="9"/>
        <color rgb="FF000000"/>
        <rFont val="Linux Libertine G"/>
        <family val="2"/>
        <charset val="1"/>
      </rPr>
      <t xml:space="preserve">IND</t>
    </r>
    <r>
      <rPr>
        <sz val="9"/>
        <color rgb="FF000000"/>
        <rFont val="Linux Libertine G"/>
        <family val="2"/>
      </rPr>
      <t xml:space="preserve">活跃，早期研发外包需求强劲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</si>
  <si>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大分子</t>
    </r>
    <r>
      <rPr>
        <sz val="9"/>
        <color rgb="FF000000"/>
        <rFont val="微软雅黑"/>
        <family val="2"/>
        <charset val="134"/>
      </rPr>
      <t xml:space="preserve">/ADC</t>
    </r>
    <r>
      <rPr>
        <sz val="9"/>
        <color rgb="FF000000"/>
        <rFont val="Linux Libertine G"/>
        <family val="2"/>
      </rPr>
      <t xml:space="preserve">药物研发热度</t>
    </r>
  </si>
  <si>
    <t xml:space="preserve">高</t>
  </si>
  <si>
    <r>
      <rPr>
        <sz val="9"/>
        <color rgb="FF000000"/>
        <rFont val="Linux Libertine G"/>
        <family val="2"/>
      </rPr>
      <t xml:space="preserve">极高</t>
    </r>
    <r>
      <rPr>
        <sz val="9"/>
        <color rgb="FF000000"/>
        <rFont val="Linux Libertine G"/>
        <family val="2"/>
        <charset val="1"/>
      </rPr>
      <t xml:space="preserve">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高</t>
    </r>
    <r>
      <rPr>
        <sz val="9"/>
        <color rgb="FF000000"/>
        <rFont val="Linux Libertine G"/>
        <family val="2"/>
        <charset val="1"/>
      </rPr>
      <t xml:space="preserve">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中</t>
    </r>
    <r>
      <rPr>
        <sz val="9"/>
        <color rgb="FF000000"/>
        <rFont val="Linux Libertine G"/>
        <family val="2"/>
        <charset val="1"/>
      </rPr>
      <t xml:space="preserve">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低</t>
    </r>
    <r>
      <rPr>
        <sz val="9"/>
        <color rgb="FF000000"/>
        <rFont val="Linux Libertine G"/>
        <family val="2"/>
        <charset val="1"/>
      </rPr>
      <t xml:space="preserve">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Linux Libertine G"/>
        <family val="2"/>
        <charset val="1"/>
      </rPr>
      <t xml:space="preserve">,</t>
    </r>
    <r>
      <rPr>
        <sz val="9"/>
        <color rgb="FF000000"/>
        <rFont val="Linux Libertine G"/>
        <family val="2"/>
      </rPr>
      <t xml:space="preserve">极低</t>
    </r>
    <r>
      <rPr>
        <sz val="9"/>
        <color rgb="FF000000"/>
        <rFont val="Linux Libertine G"/>
        <family val="2"/>
        <charset val="1"/>
      </rPr>
      <t xml:space="preserve">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</si>
  <si>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ADC/</t>
    </r>
    <r>
      <rPr>
        <sz val="9"/>
        <color rgb="FF000000"/>
        <rFont val="Linux Libertine G"/>
        <family val="2"/>
      </rPr>
      <t xml:space="preserve">双抗热度高涨，大分子</t>
    </r>
    <r>
      <rPr>
        <sz val="9"/>
        <color rgb="FF000000"/>
        <rFont val="微软雅黑"/>
        <family val="2"/>
        <charset val="134"/>
      </rPr>
      <t xml:space="preserve">CDMO</t>
    </r>
    <r>
      <rPr>
        <sz val="9"/>
        <color rgb="FF000000"/>
        <rFont val="Linux Libertine G"/>
        <family val="2"/>
      </rPr>
      <t xml:space="preserve">产能紧缺</t>
    </r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</si>
  <si>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地缘政治风险指数</t>
    </r>
  </si>
  <si>
    <t xml:space="preserve">回落</t>
  </si>
  <si>
    <t xml:space="preserve">地缘风险边际回落，但美国生物安全法案仍存不确定性</t>
  </si>
  <si>
    <r>
      <rPr>
        <b val="true"/>
        <sz val="10"/>
        <color rgb="FFFFFFFF"/>
        <rFont val="Linux Libertine G"/>
        <family val="2"/>
      </rPr>
      <t xml:space="preserve">【同步指标（</t>
    </r>
    <r>
      <rPr>
        <b val="true"/>
        <sz val="10"/>
        <color rgb="FFFFFFFF"/>
        <rFont val="Linux Libertine G"/>
        <family val="2"/>
        <charset val="1"/>
      </rPr>
      <t xml:space="preserve">Coincident Indicators</t>
    </r>
    <r>
      <rPr>
        <b val="true"/>
        <sz val="10"/>
        <color rgb="FFFFFFFF"/>
        <rFont val="Linux Libertine G"/>
        <family val="2"/>
      </rPr>
      <t xml:space="preserve">）——与当前景气同步变动】</t>
    </r>
  </si>
  <si>
    <r>
      <rPr>
        <sz val="9"/>
        <color rgb="FF000000"/>
        <rFont val="微软雅黑"/>
        <family val="2"/>
        <charset val="134"/>
      </rPr>
      <t xml:space="preserve">8-CXO</t>
    </r>
    <r>
      <rPr>
        <sz val="9"/>
        <color rgb="FF000000"/>
        <rFont val="Linux Libertine G"/>
        <family val="2"/>
      </rPr>
      <t xml:space="preserve">企业收入增速</t>
    </r>
  </si>
  <si>
    <r>
      <rPr>
        <sz val="9"/>
        <color rgb="FF000000"/>
        <rFont val="Linux Libertine G"/>
        <family val="2"/>
      </rPr>
      <t xml:space="preserve">收入增速回升，化学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生物业务双增长</t>
    </r>
  </si>
  <si>
    <r>
      <rPr>
        <sz val="9"/>
        <color rgb="FF000000"/>
        <rFont val="微软雅黑"/>
        <family val="2"/>
        <charset val="134"/>
      </rPr>
      <t xml:space="preserve">9-CDMO</t>
    </r>
    <r>
      <rPr>
        <sz val="9"/>
        <color rgb="FF000000"/>
        <rFont val="Linux Libertine G"/>
        <family val="2"/>
      </rPr>
      <t xml:space="preserve">产能利用率</t>
    </r>
  </si>
  <si>
    <r>
      <rPr>
        <sz val="9"/>
        <color rgb="FF000000"/>
        <rFont val="Linux Libertine G"/>
        <family val="2"/>
      </rPr>
      <t xml:space="preserve">产能利用率回升，小分子</t>
    </r>
    <r>
      <rPr>
        <sz val="9"/>
        <color rgb="FF000000"/>
        <rFont val="Linux Libertine G"/>
        <family val="2"/>
        <charset val="1"/>
      </rPr>
      <t xml:space="preserve">CDMO</t>
    </r>
    <r>
      <rPr>
        <sz val="9"/>
        <color rgb="FF000000"/>
        <rFont val="Linux Libertine G"/>
        <family val="2"/>
      </rPr>
      <t xml:space="preserve">回暖明显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</si>
  <si>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实验室服务收入增速</t>
    </r>
  </si>
  <si>
    <r>
      <rPr>
        <sz val="9"/>
        <color rgb="FF000000"/>
        <rFont val="Linux Libertine G"/>
        <family val="2"/>
      </rPr>
      <t xml:space="preserve">药明康德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康龙化成</t>
    </r>
  </si>
  <si>
    <t xml:space="preserve">实验室服务高增，药物发现阶段需求旺盛</t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</si>
  <si>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临床</t>
    </r>
    <r>
      <rPr>
        <sz val="9"/>
        <color rgb="FF000000"/>
        <rFont val="微软雅黑"/>
        <family val="2"/>
        <charset val="134"/>
      </rPr>
      <t xml:space="preserve">CRO</t>
    </r>
    <r>
      <rPr>
        <sz val="9"/>
        <color rgb="FF000000"/>
        <rFont val="Linux Libertine G"/>
        <family val="2"/>
      </rPr>
      <t xml:space="preserve">在研项目数</t>
    </r>
  </si>
  <si>
    <r>
      <rPr>
        <sz val="9"/>
        <color rgb="FF000000"/>
        <rFont val="Linux Libertine G"/>
        <family val="2"/>
      </rPr>
      <t xml:space="preserve">泰格医药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诺思格</t>
    </r>
  </si>
  <si>
    <t xml:space="preserve">临床项目增长，国内创新药临床需求增加</t>
  </si>
  <si>
    <r>
      <rPr>
        <sz val="9"/>
        <color rgb="FF000000"/>
        <rFont val="微软雅黑"/>
        <family val="2"/>
        <charset val="134"/>
      </rPr>
      <t xml:space="preserve">12-CXO</t>
    </r>
    <r>
      <rPr>
        <sz val="9"/>
        <color rgb="FF000000"/>
        <rFont val="Linux Libertine G"/>
        <family val="2"/>
      </rPr>
      <t xml:space="preserve">企业合同负债</t>
    </r>
  </si>
  <si>
    <t xml:space="preserve">合同负债高增，在手订单充裕，收入前瞻性好</t>
  </si>
  <si>
    <r>
      <rPr>
        <sz val="9"/>
        <color rgb="FF000000"/>
        <rFont val="微软雅黑"/>
        <family val="2"/>
        <charset val="134"/>
      </rPr>
      <t xml:space="preserve">13-CXO</t>
    </r>
    <r>
      <rPr>
        <sz val="9"/>
        <color rgb="FF000000"/>
        <rFont val="Linux Libertine G"/>
        <family val="2"/>
      </rPr>
      <t xml:space="preserve">企业海外收入占比</t>
    </r>
  </si>
  <si>
    <t xml:space="preserve">海外收入占比高，全球化布局成熟</t>
  </si>
  <si>
    <r>
      <rPr>
        <b val="true"/>
        <sz val="10"/>
        <color rgb="FFFFFFFF"/>
        <rFont val="Linux Libertine G"/>
        <family val="2"/>
      </rPr>
      <t xml:space="preserve">【滞后指标（</t>
    </r>
    <r>
      <rPr>
        <b val="true"/>
        <sz val="10"/>
        <color rgb="FFFFFFFF"/>
        <rFont val="Linux Libertine G"/>
        <family val="2"/>
        <charset val="1"/>
      </rPr>
      <t xml:space="preserve">Lagging Indicators</t>
    </r>
    <r>
      <rPr>
        <b val="true"/>
        <sz val="10"/>
        <color rgb="FFFFFFFF"/>
        <rFont val="Linux Libertine G"/>
        <family val="2"/>
      </rPr>
      <t xml:space="preserve">）——滞后</t>
    </r>
    <r>
      <rPr>
        <b val="true"/>
        <sz val="10"/>
        <color rgb="FFFFFFFF"/>
        <rFont val="Linux Libertine G"/>
        <family val="2"/>
        <charset val="1"/>
      </rPr>
      <t xml:space="preserve">1-2</t>
    </r>
    <r>
      <rPr>
        <b val="true"/>
        <sz val="10"/>
        <color rgb="FFFFFFFF"/>
        <rFont val="Linux Libertine G"/>
        <family val="2"/>
      </rPr>
      <t xml:space="preserve">个季度反映景气变化】</t>
    </r>
  </si>
  <si>
    <r>
      <rPr>
        <sz val="9"/>
        <color rgb="FF000000"/>
        <rFont val="微软雅黑"/>
        <family val="2"/>
        <charset val="134"/>
      </rPr>
      <t xml:space="preserve">14-CXO</t>
    </r>
    <r>
      <rPr>
        <sz val="9"/>
        <color rgb="FF000000"/>
        <rFont val="Linux Libertine G"/>
        <family val="2"/>
      </rPr>
      <t xml:space="preserve">企业季度毛利率</t>
    </r>
  </si>
  <si>
    <t xml:space="preserve">38.5</t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</si>
  <si>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毛利率改善，产能利用率提升</t>
    </r>
    <r>
      <rPr>
        <sz val="9"/>
        <color rgb="FF000000"/>
        <rFont val="微软雅黑"/>
        <family val="2"/>
        <charset val="134"/>
      </rPr>
      <t xml:space="preserve">+</t>
    </r>
    <r>
      <rPr>
        <sz val="9"/>
        <color rgb="FF000000"/>
        <rFont val="Linux Libertine G"/>
        <family val="2"/>
      </rPr>
      <t xml:space="preserve">价格企稳</t>
    </r>
  </si>
  <si>
    <r>
      <rPr>
        <sz val="9"/>
        <color rgb="FF000000"/>
        <rFont val="微软雅黑"/>
        <family val="2"/>
        <charset val="134"/>
      </rPr>
      <t xml:space="preserve">15-CXO</t>
    </r>
    <r>
      <rPr>
        <sz val="9"/>
        <color rgb="FF000000"/>
        <rFont val="Linux Libertine G"/>
        <family val="2"/>
      </rPr>
      <t xml:space="preserve">企业净利润增速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</si>
  <si>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净利增速回升，规模效应显现</t>
    </r>
  </si>
  <si>
    <r>
      <rPr>
        <sz val="9"/>
        <color rgb="FF000000"/>
        <rFont val="微软雅黑"/>
        <family val="2"/>
        <charset val="134"/>
      </rPr>
      <t xml:space="preserve">16-CXO</t>
    </r>
    <r>
      <rPr>
        <sz val="9"/>
        <color rgb="FF000000"/>
        <rFont val="Linux Libertine G"/>
        <family val="2"/>
      </rPr>
      <t xml:space="preserve">行业人均产出</t>
    </r>
  </si>
  <si>
    <r>
      <rPr>
        <sz val="9"/>
        <color rgb="FF000000"/>
        <rFont val="微软雅黑"/>
        <family val="2"/>
        <charset val="134"/>
      </rPr>
      <t xml:space="preserve">&gt;80=10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,60-80=8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,45-60=6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,30-45=4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,&lt;30=2</t>
    </r>
    <r>
      <rPr>
        <sz val="9"/>
        <color rgb="FF000000"/>
        <rFont val="Linux Libertine G"/>
        <family val="2"/>
      </rPr>
      <t xml:space="preserve">分</t>
    </r>
  </si>
  <si>
    <t xml:space="preserve">人均产出提升，运营效率改善</t>
  </si>
  <si>
    <r>
      <rPr>
        <sz val="9"/>
        <color rgb="FF000000"/>
        <rFont val="微软雅黑"/>
        <family val="2"/>
        <charset val="134"/>
      </rPr>
      <t xml:space="preserve">17-CXO</t>
    </r>
    <r>
      <rPr>
        <sz val="9"/>
        <color rgb="FF000000"/>
        <rFont val="Linux Libertine G"/>
        <family val="2"/>
      </rPr>
      <t xml:space="preserve">产能扩张进度</t>
    </r>
  </si>
  <si>
    <t xml:space="preserve">产能扩张放缓，资本开支趋于理性</t>
  </si>
  <si>
    <t xml:space="preserve">行业景气度量化跟踪体系（参数优化版）— 创新药</t>
  </si>
  <si>
    <r>
      <rPr>
        <b val="true"/>
        <sz val="9"/>
        <color rgb="FF000000"/>
        <rFont val="Linux Libertine G"/>
        <family val="2"/>
      </rPr>
      <t xml:space="preserve">默认阶段框架：早期产业化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兑现｜先行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同步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滞后</t>
    </r>
    <r>
      <rPr>
        <b val="true"/>
        <sz val="9"/>
        <color rgb="FF000000"/>
        <rFont val="Linux Libertine G"/>
        <family val="2"/>
        <charset val="1"/>
      </rPr>
      <t xml:space="preserve">=55%/30%/15%</t>
    </r>
    <r>
      <rPr>
        <b val="true"/>
        <sz val="9"/>
        <color rgb="FF000000"/>
        <rFont val="Linux Libertine G"/>
        <family val="2"/>
      </rPr>
      <t xml:space="preserve">。量产、订单、交付优先；热度与规划指标不得主导评分。｜核心验证：研发兑现、商业化与支付；必选：</t>
    </r>
    <r>
      <rPr>
        <b val="true"/>
        <sz val="9"/>
        <color rgb="FF000000"/>
        <rFont val="Linux Libertine G"/>
        <family val="2"/>
        <charset val="1"/>
      </rPr>
      <t xml:space="preserve">BD</t>
    </r>
    <r>
      <rPr>
        <b val="true"/>
        <sz val="9"/>
        <color rgb="FF000000"/>
        <rFont val="Linux Libertine G"/>
        <family val="2"/>
      </rPr>
      <t xml:space="preserve">、临床、获批、医保</t>
    </r>
    <r>
      <rPr>
        <b val="true"/>
        <sz val="9"/>
        <color rgb="FF000000"/>
        <rFont val="Linux Libertine G"/>
        <family val="2"/>
        <charset val="1"/>
      </rPr>
      <t xml:space="preserve">/</t>
    </r>
    <r>
      <rPr>
        <b val="true"/>
        <sz val="9"/>
        <color rgb="FF000000"/>
        <rFont val="Linux Libertine G"/>
        <family val="2"/>
      </rPr>
      <t xml:space="preserve">准入</t>
    </r>
  </si>
  <si>
    <r>
      <rPr>
        <sz val="9"/>
        <color rgb="FF000000"/>
        <rFont val="Linux Libertine G"/>
        <family val="2"/>
      </rPr>
      <t xml:space="preserve">融资回暖，</t>
    </r>
    <r>
      <rPr>
        <sz val="9"/>
        <color rgb="FF000000"/>
        <rFont val="Linux Libertine G"/>
        <family val="2"/>
        <charset val="1"/>
      </rPr>
      <t xml:space="preserve">Biotech</t>
    </r>
    <r>
      <rPr>
        <sz val="9"/>
        <color rgb="FF000000"/>
        <rFont val="Linux Libertine G"/>
        <family val="2"/>
      </rPr>
      <t xml:space="preserve">资金充裕，早期研发外包及自研投入增加</t>
    </r>
  </si>
  <si>
    <r>
      <rPr>
        <sz val="9"/>
        <color rgb="FF000000"/>
        <rFont val="微软雅黑"/>
        <family val="2"/>
        <charset val="134"/>
      </rPr>
      <t xml:space="preserve">2-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数量</t>
    </r>
  </si>
  <si>
    <r>
      <rPr>
        <sz val="9"/>
        <color rgb="FF000000"/>
        <rFont val="微软雅黑"/>
        <family val="2"/>
        <charset val="134"/>
      </rPr>
      <t xml:space="preserve">IND</t>
    </r>
    <r>
      <rPr>
        <sz val="9"/>
        <color rgb="FF000000"/>
        <rFont val="Linux Libertine G"/>
        <family val="2"/>
      </rPr>
      <t xml:space="preserve">申报活跃，研发管线丰富，预示</t>
    </r>
    <r>
      <rPr>
        <sz val="9"/>
        <color rgb="FF000000"/>
        <rFont val="微软雅黑"/>
        <family val="2"/>
        <charset val="134"/>
      </rPr>
      <t xml:space="preserve">3-5</t>
    </r>
    <r>
      <rPr>
        <sz val="9"/>
        <color rgb="FF000000"/>
        <rFont val="Linux Libertine G"/>
        <family val="2"/>
      </rPr>
      <t xml:space="preserve">年后上市品种</t>
    </r>
  </si>
  <si>
    <r>
      <rPr>
        <sz val="9"/>
        <color rgb="FF000000"/>
        <rFont val="微软雅黑"/>
        <family val="2"/>
        <charset val="134"/>
      </rPr>
      <t xml:space="preserve">3-NDA/BLA</t>
    </r>
    <r>
      <rPr>
        <sz val="9"/>
        <color rgb="FF000000"/>
        <rFont val="Linux Libertine G"/>
        <family val="2"/>
      </rPr>
      <t xml:space="preserve">申报数量</t>
    </r>
  </si>
  <si>
    <t xml:space="preserve">上市申请增加，商业化在即，收入前瞻性好</t>
  </si>
  <si>
    <r>
      <rPr>
        <sz val="9"/>
        <color rgb="FF000000"/>
        <rFont val="微软雅黑"/>
        <family val="2"/>
        <charset val="134"/>
      </rPr>
      <t xml:space="preserve">4-</t>
    </r>
    <r>
      <rPr>
        <sz val="9"/>
        <color rgb="FF000000"/>
        <rFont val="Linux Libertine G"/>
        <family val="2"/>
      </rPr>
      <t xml:space="preserve">临床管线数量</t>
    </r>
  </si>
  <si>
    <t xml:space="preserve">Pharmaprojects/Insight</t>
  </si>
  <si>
    <r>
      <rPr>
        <sz val="9"/>
        <color rgb="FF000000"/>
        <rFont val="Linux Libertine G"/>
        <family val="2"/>
      </rPr>
      <t xml:space="preserve">管线扩张，临床阶段项目增加，</t>
    </r>
    <r>
      <rPr>
        <sz val="9"/>
        <color rgb="FF000000"/>
        <rFont val="Linux Libertine G"/>
        <family val="2"/>
        <charset val="1"/>
      </rPr>
      <t xml:space="preserve">CRO/CDMO</t>
    </r>
    <r>
      <rPr>
        <sz val="9"/>
        <color rgb="FF000000"/>
        <rFont val="Linux Libertine G"/>
        <family val="2"/>
      </rPr>
      <t xml:space="preserve">需求拉动</t>
    </r>
  </si>
  <si>
    <r>
      <rPr>
        <sz val="9"/>
        <color rgb="FF000000"/>
        <rFont val="微软雅黑"/>
        <family val="2"/>
        <charset val="134"/>
      </rPr>
      <t xml:space="preserve">5-</t>
    </r>
    <r>
      <rPr>
        <sz val="9"/>
        <color rgb="FF000000"/>
        <rFont val="Linux Libertine G"/>
        <family val="2"/>
      </rPr>
      <t xml:space="preserve">创新药</t>
    </r>
    <r>
      <rPr>
        <sz val="9"/>
        <color rgb="FF000000"/>
        <rFont val="微软雅黑"/>
        <family val="2"/>
        <charset val="134"/>
      </rPr>
      <t xml:space="preserve">BD</t>
    </r>
    <r>
      <rPr>
        <sz val="9"/>
        <color rgb="FF000000"/>
        <rFont val="Linux Libertine G"/>
        <family val="2"/>
      </rPr>
      <t xml:space="preserve">交易金额</t>
    </r>
  </si>
  <si>
    <t xml:space="preserve">医药魔方</t>
  </si>
  <si>
    <r>
      <rPr>
        <sz val="9"/>
        <color rgb="FF000000"/>
        <rFont val="微软雅黑"/>
        <family val="2"/>
        <charset val="134"/>
      </rPr>
      <t xml:space="preserve">License-out</t>
    </r>
    <r>
      <rPr>
        <sz val="9"/>
        <color rgb="FF000000"/>
        <rFont val="Linux Libertine G"/>
        <family val="2"/>
      </rPr>
      <t xml:space="preserve">高增，国产创新药国际化加速，首付款改善现金流</t>
    </r>
  </si>
  <si>
    <r>
      <rPr>
        <sz val="9"/>
        <color rgb="FF000000"/>
        <rFont val="微软雅黑"/>
        <family val="2"/>
        <charset val="134"/>
      </rPr>
      <t xml:space="preserve">6-</t>
    </r>
    <r>
      <rPr>
        <sz val="9"/>
        <color rgb="FF000000"/>
        <rFont val="Linux Libertine G"/>
        <family val="2"/>
      </rPr>
      <t xml:space="preserve">医保谈判降价预期</t>
    </r>
  </si>
  <si>
    <t xml:space="preserve">降价幅度可控，创新药定价环境改善，利于峰值销售预期</t>
  </si>
  <si>
    <r>
      <rPr>
        <sz val="9"/>
        <color rgb="FF000000"/>
        <rFont val="微软雅黑"/>
        <family val="2"/>
        <charset val="134"/>
      </rPr>
      <t xml:space="preserve">7-</t>
    </r>
    <r>
      <rPr>
        <sz val="9"/>
        <color rgb="FF000000"/>
        <rFont val="Linux Libertine G"/>
        <family val="2"/>
      </rPr>
      <t xml:space="preserve">创新药研发支出增速</t>
    </r>
  </si>
  <si>
    <t xml:space="preserve">研发投入高增，管线厚度增加，长期成长确定性提升</t>
  </si>
  <si>
    <r>
      <rPr>
        <sz val="9"/>
        <color rgb="FF000000"/>
        <rFont val="微软雅黑"/>
        <family val="2"/>
        <charset val="134"/>
      </rPr>
      <t xml:space="preserve">8-</t>
    </r>
    <r>
      <rPr>
        <sz val="9"/>
        <color rgb="FF000000"/>
        <rFont val="Linux Libertine G"/>
        <family val="2"/>
      </rPr>
      <t xml:space="preserve">创新药获批数量</t>
    </r>
  </si>
  <si>
    <t xml:space="preserve">获批数量高增，国产创新药进入收获期</t>
  </si>
  <si>
    <r>
      <rPr>
        <sz val="9"/>
        <color rgb="FF000000"/>
        <rFont val="微软雅黑"/>
        <family val="2"/>
        <charset val="134"/>
      </rPr>
      <t xml:space="preserve">9-</t>
    </r>
    <r>
      <rPr>
        <sz val="9"/>
        <color rgb="FF000000"/>
        <rFont val="Linux Libertine G"/>
        <family val="2"/>
      </rPr>
      <t xml:space="preserve">创新药销售额增速</t>
    </r>
  </si>
  <si>
    <r>
      <rPr>
        <sz val="9"/>
        <color rgb="FF000000"/>
        <rFont val="微软雅黑"/>
        <family val="2"/>
        <charset val="134"/>
      </rPr>
      <t xml:space="preserve">PDB/</t>
    </r>
    <r>
      <rPr>
        <sz val="9"/>
        <color rgb="FF000000"/>
        <rFont val="Linux Libertine G"/>
        <family val="2"/>
      </rPr>
      <t xml:space="preserve">样本医院</t>
    </r>
  </si>
  <si>
    <r>
      <rPr>
        <sz val="9"/>
        <color rgb="FF000000"/>
        <rFont val="Linux Libertine G"/>
        <family val="2"/>
      </rPr>
      <t xml:space="preserve">院内销售高增，新药放量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适应症拓展</t>
    </r>
  </si>
  <si>
    <r>
      <rPr>
        <sz val="9"/>
        <color rgb="FF000000"/>
        <rFont val="微软雅黑"/>
        <family val="2"/>
        <charset val="134"/>
      </rPr>
      <t xml:space="preserve">10-</t>
    </r>
    <r>
      <rPr>
        <sz val="9"/>
        <color rgb="FF000000"/>
        <rFont val="Linux Libertine G"/>
        <family val="2"/>
      </rPr>
      <t xml:space="preserve">医院准入数量</t>
    </r>
  </si>
  <si>
    <r>
      <rPr>
        <sz val="9"/>
        <color rgb="FF000000"/>
        <rFont val="Linux Libertine G"/>
        <family val="2"/>
      </rPr>
      <t xml:space="preserve">医院准入加快，医保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商保双通道推动放量</t>
    </r>
  </si>
  <si>
    <r>
      <rPr>
        <sz val="9"/>
        <color rgb="FF000000"/>
        <rFont val="微软雅黑"/>
        <family val="2"/>
        <charset val="134"/>
      </rPr>
      <t xml:space="preserve">11-</t>
    </r>
    <r>
      <rPr>
        <sz val="9"/>
        <color rgb="FF000000"/>
        <rFont val="Linux Libertine G"/>
        <family val="2"/>
      </rPr>
      <t xml:space="preserve">创新药处方量增速</t>
    </r>
  </si>
  <si>
    <t xml:space="preserve">IQVIA</t>
  </si>
  <si>
    <r>
      <rPr>
        <sz val="9"/>
        <color rgb="FF000000"/>
        <rFont val="Linux Libertine G"/>
        <family val="2"/>
      </rPr>
      <t xml:space="preserve">处方量高增，医生</t>
    </r>
    <r>
      <rPr>
        <sz val="9"/>
        <color rgb="FF000000"/>
        <rFont val="Linux Libertine G"/>
        <family val="2"/>
        <charset val="1"/>
      </rPr>
      <t xml:space="preserve">/</t>
    </r>
    <r>
      <rPr>
        <sz val="9"/>
        <color rgb="FF000000"/>
        <rFont val="Linux Libertine G"/>
        <family val="2"/>
      </rPr>
      <t xml:space="preserve">患者接受度提升</t>
    </r>
  </si>
  <si>
    <r>
      <rPr>
        <sz val="9"/>
        <color rgb="FF000000"/>
        <rFont val="微软雅黑"/>
        <family val="2"/>
        <charset val="134"/>
      </rPr>
      <t xml:space="preserve">12-</t>
    </r>
    <r>
      <rPr>
        <sz val="9"/>
        <color rgb="FF000000"/>
        <rFont val="Linux Libertine G"/>
        <family val="2"/>
      </rPr>
      <t xml:space="preserve">创新药出口金额</t>
    </r>
  </si>
  <si>
    <r>
      <rPr>
        <sz val="9"/>
        <color rgb="FF000000"/>
        <rFont val="Linux Libertine G"/>
        <family val="2"/>
      </rPr>
      <t xml:space="preserve">出口爆发，</t>
    </r>
    <r>
      <rPr>
        <sz val="9"/>
        <color rgb="FF000000"/>
        <rFont val="Linux Libertine G"/>
        <family val="2"/>
        <charset val="1"/>
      </rPr>
      <t xml:space="preserve">License-out+</t>
    </r>
    <r>
      <rPr>
        <sz val="9"/>
        <color rgb="FF000000"/>
        <rFont val="Linux Libertine G"/>
        <family val="2"/>
      </rPr>
      <t xml:space="preserve">自主出海双轮驱动</t>
    </r>
  </si>
  <si>
    <r>
      <rPr>
        <sz val="9"/>
        <color rgb="FF000000"/>
        <rFont val="微软雅黑"/>
        <family val="2"/>
        <charset val="134"/>
      </rPr>
      <t xml:space="preserve">13-</t>
    </r>
    <r>
      <rPr>
        <sz val="9"/>
        <color rgb="FF000000"/>
        <rFont val="Linux Libertine G"/>
        <family val="2"/>
      </rPr>
      <t xml:space="preserve">生物类似药上市数量</t>
    </r>
  </si>
  <si>
    <t xml:space="preserve">生物类似药上市，市场竞争加剧但可及性提升</t>
  </si>
  <si>
    <r>
      <rPr>
        <sz val="9"/>
        <color rgb="FF000000"/>
        <rFont val="微软雅黑"/>
        <family val="2"/>
        <charset val="134"/>
      </rPr>
      <t xml:space="preserve">14-</t>
    </r>
    <r>
      <rPr>
        <sz val="9"/>
        <color rgb="FF000000"/>
        <rFont val="Linux Libertine G"/>
        <family val="2"/>
      </rPr>
      <t xml:space="preserve">创新药企业毛利率</t>
    </r>
  </si>
  <si>
    <r>
      <rPr>
        <sz val="9"/>
        <color rgb="FF000000"/>
        <rFont val="Linux Libertine G"/>
        <family val="2"/>
      </rPr>
      <t xml:space="preserve">毛利率极高，创新药专利壁垒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定价权强</t>
    </r>
  </si>
  <si>
    <r>
      <rPr>
        <sz val="9"/>
        <color rgb="FF000000"/>
        <rFont val="微软雅黑"/>
        <family val="2"/>
        <charset val="134"/>
      </rPr>
      <t xml:space="preserve">15-</t>
    </r>
    <r>
      <rPr>
        <sz val="9"/>
        <color rgb="FF000000"/>
        <rFont val="Linux Libertine G"/>
        <family val="2"/>
      </rPr>
      <t xml:space="preserve">创新药企业净利润</t>
    </r>
  </si>
  <si>
    <r>
      <rPr>
        <sz val="9"/>
        <color rgb="FF000000"/>
        <rFont val="微软雅黑"/>
        <family val="2"/>
        <charset val="134"/>
      </rPr>
      <t xml:space="preserve">&gt;30%=10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,15-30%=8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,0-15%=6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,-15-0%=4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,&lt;-15%=2</t>
    </r>
    <r>
      <rPr>
        <sz val="9"/>
        <color rgb="FF000000"/>
        <rFont val="Linux Libertine G"/>
        <family val="2"/>
      </rPr>
      <t xml:space="preserve">分</t>
    </r>
  </si>
  <si>
    <r>
      <rPr>
        <sz val="9"/>
        <color rgb="FF000000"/>
        <rFont val="微软雅黑"/>
        <family val="2"/>
        <charset val="134"/>
      </rPr>
      <t xml:space="preserve">Q1</t>
    </r>
    <r>
      <rPr>
        <sz val="9"/>
        <color rgb="FF000000"/>
        <rFont val="Linux Libertine G"/>
        <family val="2"/>
      </rPr>
      <t xml:space="preserve">净利润高增，重磅品种放量</t>
    </r>
    <r>
      <rPr>
        <sz val="9"/>
        <color rgb="FF000000"/>
        <rFont val="微软雅黑"/>
        <family val="2"/>
        <charset val="134"/>
      </rPr>
      <t xml:space="preserve">+</t>
    </r>
    <r>
      <rPr>
        <sz val="9"/>
        <color rgb="FF000000"/>
        <rFont val="Linux Libertine G"/>
        <family val="2"/>
      </rPr>
      <t xml:space="preserve">费用率优化</t>
    </r>
  </si>
  <si>
    <r>
      <rPr>
        <sz val="9"/>
        <color rgb="FF000000"/>
        <rFont val="微软雅黑"/>
        <family val="2"/>
        <charset val="134"/>
      </rPr>
      <t xml:space="preserve">16-</t>
    </r>
    <r>
      <rPr>
        <sz val="9"/>
        <color rgb="FF000000"/>
        <rFont val="Linux Libertine G"/>
        <family val="2"/>
      </rPr>
      <t xml:space="preserve">创新药研发费用率</t>
    </r>
  </si>
  <si>
    <t xml:space="preserve">研发费用率维持高位，管线投入大</t>
  </si>
  <si>
    <r>
      <rPr>
        <sz val="9"/>
        <color rgb="FF000000"/>
        <rFont val="微软雅黑"/>
        <family val="2"/>
        <charset val="134"/>
      </rPr>
      <t xml:space="preserve">17-</t>
    </r>
    <r>
      <rPr>
        <sz val="9"/>
        <color rgb="FF000000"/>
        <rFont val="Linux Libertine G"/>
        <family val="2"/>
      </rPr>
      <t xml:space="preserve">创新药销售费用率</t>
    </r>
  </si>
  <si>
    <r>
      <rPr>
        <sz val="9"/>
        <color rgb="FF000000"/>
        <rFont val="微软雅黑"/>
        <family val="2"/>
        <charset val="134"/>
      </rPr>
      <t xml:space="preserve">&lt;35%=10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,35-45%=8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,45-55%=6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,55-65%=4</t>
    </r>
    <r>
      <rPr>
        <sz val="9"/>
        <color rgb="FF000000"/>
        <rFont val="Linux Libertine G"/>
        <family val="2"/>
      </rPr>
      <t xml:space="preserve">分</t>
    </r>
    <r>
      <rPr>
        <sz val="9"/>
        <color rgb="FF000000"/>
        <rFont val="微软雅黑"/>
        <family val="2"/>
        <charset val="134"/>
      </rPr>
      <t xml:space="preserve">,&gt;65%=2</t>
    </r>
    <r>
      <rPr>
        <sz val="9"/>
        <color rgb="FF000000"/>
        <rFont val="Linux Libertine G"/>
        <family val="2"/>
      </rPr>
      <t xml:space="preserve">分</t>
    </r>
  </si>
  <si>
    <t xml:space="preserve">销售费用率下降，学术推广效率提升</t>
  </si>
  <si>
    <r>
      <rPr>
        <sz val="9"/>
        <color rgb="FF000000"/>
        <rFont val="微软雅黑"/>
        <family val="2"/>
        <charset val="134"/>
      </rPr>
      <t xml:space="preserve">18-</t>
    </r>
    <r>
      <rPr>
        <sz val="9"/>
        <color rgb="FF000000"/>
        <rFont val="Linux Libertine G"/>
        <family val="2"/>
      </rPr>
      <t xml:space="preserve">创新药经营性现金流</t>
    </r>
  </si>
  <si>
    <r>
      <rPr>
        <sz val="9"/>
        <color rgb="FF000000"/>
        <rFont val="Linux Libertine G"/>
        <family val="2"/>
      </rPr>
      <t xml:space="preserve">现金流改善，</t>
    </r>
    <r>
      <rPr>
        <sz val="9"/>
        <color rgb="FF000000"/>
        <rFont val="Linux Libertine G"/>
        <family val="2"/>
        <charset val="1"/>
      </rPr>
      <t xml:space="preserve">BD</t>
    </r>
    <r>
      <rPr>
        <sz val="9"/>
        <color rgb="FF000000"/>
        <rFont val="Linux Libertine G"/>
        <family val="2"/>
      </rPr>
      <t xml:space="preserve">首付款</t>
    </r>
    <r>
      <rPr>
        <sz val="9"/>
        <color rgb="FF000000"/>
        <rFont val="Linux Libertine G"/>
        <family val="2"/>
        <charset val="1"/>
      </rPr>
      <t xml:space="preserve">+</t>
    </r>
    <r>
      <rPr>
        <sz val="9"/>
        <color rgb="FF000000"/>
        <rFont val="Linux Libertine G"/>
        <family val="2"/>
      </rPr>
      <t xml:space="preserve">销售回款增加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</si>
</sst>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2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Linux Libertine G"/>
      <family val="2"/>
    </font>
    <font>
      <sz val="11"/>
      <color theme="1"/>
      <name val="Linux Libertine G"/>
      <family val="2"/>
      <charset val="1"/>
    </font>
    <font>
      <b val="true"/>
      <sz val="11"/>
      <name val="Linux Libertine G"/>
      <family val="2"/>
    </font>
    <font>
      <b val="true"/>
      <sz val="11"/>
      <color rgb="FFFFFFFF"/>
      <name val="Linux Libertine G"/>
      <family val="2"/>
    </font>
    <font>
      <b val="true"/>
      <sz val="11"/>
      <color rgb="FFFFFFFF"/>
      <name val="Cambria"/>
      <family val="0"/>
      <charset val="1"/>
    </font>
    <font>
      <b val="true"/>
      <sz val="15"/>
      <color rgb="FFFFFFFF"/>
      <name val="Linux Libertine G"/>
      <family val="2"/>
    </font>
    <font>
      <b val="true"/>
      <sz val="9"/>
      <color rgb="FF000000"/>
      <name val="Linux Libertine G"/>
      <family val="2"/>
    </font>
    <font>
      <b val="true"/>
      <sz val="9"/>
      <color rgb="FF000000"/>
      <name val="Linux Libertine G"/>
      <family val="2"/>
      <charset val="1"/>
    </font>
    <font>
      <sz val="9"/>
      <color rgb="FF000000"/>
      <name val="Linux Libertine G"/>
      <family val="2"/>
    </font>
    <font>
      <sz val="9"/>
      <color rgb="FF000000"/>
      <name val="微软雅黑"/>
      <family val="2"/>
      <charset val="134"/>
    </font>
    <font>
      <sz val="9"/>
      <color rgb="FF000000"/>
      <name val="Linux Libertine G"/>
      <family val="2"/>
      <charset val="1"/>
    </font>
    <font>
      <sz val="11"/>
      <color theme="1"/>
      <name val="宋体"/>
      <family val="2"/>
      <charset val="1"/>
    </font>
    <font>
      <b val="true"/>
      <sz val="14"/>
      <color rgb="FFFFFFFF"/>
      <name val="Linux Libertine G"/>
      <family val="2"/>
    </font>
    <font>
      <b val="true"/>
      <sz val="10"/>
      <color rgb="FFFFFFFF"/>
      <name val="Linux Libertine G"/>
      <family val="2"/>
    </font>
    <font>
      <b val="true"/>
      <sz val="10"/>
      <color rgb="FFFFFFFF"/>
      <name val="Linux Libertine G"/>
      <family val="2"/>
      <charset val="1"/>
    </font>
    <font>
      <b val="true"/>
      <sz val="11"/>
      <color rgb="FF000000"/>
      <name val="Linux Libertine G"/>
      <family val="2"/>
    </font>
    <font>
      <b val="true"/>
      <sz val="12"/>
      <color rgb="FF000000"/>
      <name val="微软雅黑"/>
      <family val="2"/>
      <charset val="134"/>
    </font>
    <font>
      <sz val="10"/>
      <name val="Linux Libertine G"/>
      <family val="2"/>
    </font>
    <font>
      <sz val="10"/>
      <name val="Arial"/>
      <family val="2"/>
    </font>
    <font>
      <b val="true"/>
      <sz val="14"/>
      <color rgb="FFFFFFFF"/>
      <name val="Linux Libertine G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1F2"/>
      </patternFill>
    </fill>
    <fill>
      <patternFill patternType="solid">
        <fgColor rgb="FFD9EAD3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AD3"/>
      </patternFill>
    </fill>
    <fill>
      <patternFill patternType="solid">
        <fgColor rgb="FFFFC7CE"/>
        <bgColor rgb="FFE7E6E6"/>
      </patternFill>
    </fill>
    <fill>
      <patternFill patternType="solid">
        <fgColor rgb="FFFF6B6B"/>
        <bgColor rgb="FFFF6600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FFEB9C"/>
      </patternFill>
    </fill>
    <fill>
      <patternFill patternType="solid">
        <fgColor rgb="FF2E75B6"/>
        <bgColor rgb="FF4F81BD"/>
      </patternFill>
    </fill>
    <fill>
      <patternFill patternType="solid">
        <fgColor rgb="FFD9E1F2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6E6"/>
      <rgbColor rgb="FF808080"/>
      <rgbColor rgb="FF9999FF"/>
      <rgbColor rgb="FF993366"/>
      <rgbColor rgb="FFFFF2CC"/>
      <rgbColor rgb="FFD9EAF7"/>
      <rgbColor rgb="FF660066"/>
      <rgbColor rgb="FFFF6B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EB9C"/>
      <rgbColor rgb="FF95B3D7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行业核心标准表" displayName="行业核心标准表" ref="A1:G44" headerRowCount="1" totalsRowCount="0" totalsRowShown="0">
  <autoFilter ref="A1:G44"/>
  <tableColumns count="7">
    <tableColumn id="1" name="行业"/>
    <tableColumn id="2" name="核心增长内核"/>
    <tableColumn id="3" name="必选先行标准（未满足不得上调）"/>
    <tableColumn id="4" name="同步确认标准"/>
    <tableColumn id="5" name="质量/盈利验证"/>
    <tableColumn id="6" name="不作为主评分的指标"/>
    <tableColumn id="7" name="新标理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8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9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0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1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2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3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4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5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6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7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18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19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0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1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2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3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4.v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5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26.v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27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28.v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29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0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1.v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2.v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3.v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4.v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5.v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36.v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37.v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38.v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vmlDrawing" Target="../drawings/vmlDrawing39.v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vmlDrawing" Target="../drawings/vmlDrawing40.v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vmlDrawing" Target="../drawings/vmlDrawing41.v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vmlDrawing" Target="../drawings/vmlDrawing42.v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vmlDrawing" Target="../drawings/vmlDrawing4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8" min="3" style="1" width="18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9.7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  <c r="H4" s="5"/>
    </row>
    <row r="5" customFormat="false" ht="39.7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  <c r="G5" s="5"/>
      <c r="H5" s="5"/>
    </row>
    <row r="6" customFormat="false" ht="39.7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  <c r="G6" s="5"/>
      <c r="H6" s="5"/>
    </row>
    <row r="7" customFormat="false" ht="39.75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  <c r="G7" s="5"/>
      <c r="H7" s="5"/>
    </row>
    <row r="8" customFormat="false" ht="39.7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  <c r="G8" s="5"/>
      <c r="H8" s="5"/>
    </row>
  </sheetData>
  <mergeCells count="7">
    <mergeCell ref="A1:H1"/>
    <mergeCell ref="A2:H2"/>
    <mergeCell ref="B4:H4"/>
    <mergeCell ref="B5:H5"/>
    <mergeCell ref="B6:H6"/>
    <mergeCell ref="B7:H7"/>
    <mergeCell ref="B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32"/>
    <col collapsed="false" customWidth="true" hidden="false" outlineLevel="0" max="6" min="6" style="0" width="24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</row>
    <row r="2" customFormat="false" ht="66" hidden="false" customHeight="true" outlineLevel="0" collapsed="false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</row>
    <row r="3" customFormat="false" ht="66" hidden="false" customHeight="true" outlineLevel="0" collapsed="false">
      <c r="A3" s="7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</row>
    <row r="4" customFormat="false" ht="66" hidden="false" customHeight="true" outlineLevel="0" collapsed="false">
      <c r="A4" s="7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</row>
    <row r="5" customFormat="false" ht="66" hidden="false" customHeight="true" outlineLevel="0" collapsed="false">
      <c r="A5" s="7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</row>
    <row r="6" customFormat="false" ht="66" hidden="false" customHeight="true" outlineLevel="0" collapsed="false">
      <c r="A6" s="7" t="s">
        <v>47</v>
      </c>
      <c r="B6" s="7" t="s">
        <v>48</v>
      </c>
      <c r="C6" s="7" t="s">
        <v>49</v>
      </c>
      <c r="D6" s="7" t="s">
        <v>50</v>
      </c>
      <c r="E6" s="7" t="s">
        <v>51</v>
      </c>
      <c r="F6" s="7" t="s">
        <v>52</v>
      </c>
      <c r="G6" s="8" t="s">
        <v>53</v>
      </c>
    </row>
    <row r="7" customFormat="false" ht="66" hidden="false" customHeight="true" outlineLevel="0" collapsed="false">
      <c r="A7" s="7" t="s">
        <v>54</v>
      </c>
      <c r="B7" s="7" t="s">
        <v>55</v>
      </c>
      <c r="C7" s="7" t="s">
        <v>56</v>
      </c>
      <c r="D7" s="7" t="s">
        <v>57</v>
      </c>
      <c r="E7" s="7" t="s">
        <v>58</v>
      </c>
      <c r="F7" s="7" t="s">
        <v>59</v>
      </c>
      <c r="G7" s="7" t="s">
        <v>60</v>
      </c>
    </row>
    <row r="8" customFormat="false" ht="66" hidden="false" customHeight="true" outlineLevel="0" collapsed="false">
      <c r="A8" s="7" t="s">
        <v>61</v>
      </c>
      <c r="B8" s="7" t="s">
        <v>62</v>
      </c>
      <c r="C8" s="7" t="s">
        <v>63</v>
      </c>
      <c r="D8" s="7" t="s">
        <v>64</v>
      </c>
      <c r="E8" s="7" t="s">
        <v>65</v>
      </c>
      <c r="F8" s="8" t="s">
        <v>66</v>
      </c>
      <c r="G8" s="7" t="s">
        <v>67</v>
      </c>
    </row>
    <row r="9" customFormat="false" ht="66" hidden="false" customHeight="true" outlineLevel="0" collapsed="false">
      <c r="A9" s="7" t="s">
        <v>68</v>
      </c>
      <c r="B9" s="7" t="s">
        <v>69</v>
      </c>
      <c r="C9" s="7" t="s">
        <v>70</v>
      </c>
      <c r="D9" s="7" t="s">
        <v>71</v>
      </c>
      <c r="E9" s="7" t="s">
        <v>72</v>
      </c>
      <c r="F9" s="7" t="s">
        <v>73</v>
      </c>
      <c r="G9" s="7" t="s">
        <v>74</v>
      </c>
    </row>
    <row r="10" customFormat="false" ht="66" hidden="false" customHeight="true" outlineLevel="0" collapsed="false">
      <c r="A10" s="7" t="s">
        <v>75</v>
      </c>
      <c r="B10" s="7" t="s">
        <v>76</v>
      </c>
      <c r="C10" s="7" t="s">
        <v>77</v>
      </c>
      <c r="D10" s="7" t="s">
        <v>78</v>
      </c>
      <c r="E10" s="7" t="s">
        <v>79</v>
      </c>
      <c r="F10" s="7" t="s">
        <v>80</v>
      </c>
      <c r="G10" s="7" t="s">
        <v>81</v>
      </c>
    </row>
    <row r="11" customFormat="false" ht="66" hidden="false" customHeight="true" outlineLevel="0" collapsed="false">
      <c r="A11" s="7" t="s">
        <v>82</v>
      </c>
      <c r="B11" s="7" t="s">
        <v>83</v>
      </c>
      <c r="C11" s="8" t="s">
        <v>84</v>
      </c>
      <c r="D11" s="7" t="s">
        <v>85</v>
      </c>
      <c r="E11" s="7" t="s">
        <v>86</v>
      </c>
      <c r="F11" s="7" t="s">
        <v>87</v>
      </c>
      <c r="G11" s="7" t="s">
        <v>88</v>
      </c>
    </row>
    <row r="12" customFormat="false" ht="66" hidden="false" customHeight="true" outlineLevel="0" collapsed="false">
      <c r="A12" s="7" t="s">
        <v>89</v>
      </c>
      <c r="B12" s="7" t="s">
        <v>90</v>
      </c>
      <c r="C12" s="7" t="s">
        <v>91</v>
      </c>
      <c r="D12" s="7" t="s">
        <v>92</v>
      </c>
      <c r="E12" s="8" t="s">
        <v>93</v>
      </c>
      <c r="F12" s="7" t="s">
        <v>94</v>
      </c>
      <c r="G12" s="7" t="s">
        <v>95</v>
      </c>
    </row>
    <row r="13" customFormat="false" ht="66" hidden="false" customHeight="true" outlineLevel="0" collapsed="false">
      <c r="A13" s="7" t="s">
        <v>96</v>
      </c>
      <c r="B13" s="7" t="s">
        <v>97</v>
      </c>
      <c r="C13" s="7" t="s">
        <v>98</v>
      </c>
      <c r="D13" s="7" t="s">
        <v>99</v>
      </c>
      <c r="E13" s="7" t="s">
        <v>100</v>
      </c>
      <c r="F13" s="7" t="s">
        <v>101</v>
      </c>
      <c r="G13" s="7" t="s">
        <v>102</v>
      </c>
    </row>
    <row r="14" customFormat="false" ht="66" hidden="false" customHeight="true" outlineLevel="0" collapsed="false">
      <c r="A14" s="7" t="s">
        <v>103</v>
      </c>
      <c r="B14" s="7" t="s">
        <v>104</v>
      </c>
      <c r="C14" s="7" t="s">
        <v>105</v>
      </c>
      <c r="D14" s="7" t="s">
        <v>106</v>
      </c>
      <c r="E14" s="7" t="s">
        <v>107</v>
      </c>
      <c r="F14" s="7" t="s">
        <v>108</v>
      </c>
      <c r="G14" s="7" t="s">
        <v>109</v>
      </c>
    </row>
    <row r="15" customFormat="false" ht="66" hidden="false" customHeight="true" outlineLevel="0" collapsed="false">
      <c r="A15" s="7" t="s">
        <v>110</v>
      </c>
      <c r="B15" s="7" t="s">
        <v>111</v>
      </c>
      <c r="C15" s="7" t="s">
        <v>112</v>
      </c>
      <c r="D15" s="7" t="s">
        <v>113</v>
      </c>
      <c r="E15" s="7" t="s">
        <v>114</v>
      </c>
      <c r="F15" s="7" t="s">
        <v>115</v>
      </c>
      <c r="G15" s="7" t="s">
        <v>116</v>
      </c>
    </row>
    <row r="16" customFormat="false" ht="66" hidden="false" customHeight="true" outlineLevel="0" collapsed="false">
      <c r="A16" s="7" t="s">
        <v>117</v>
      </c>
      <c r="B16" s="7" t="s">
        <v>118</v>
      </c>
      <c r="C16" s="7" t="s">
        <v>119</v>
      </c>
      <c r="D16" s="7" t="s">
        <v>120</v>
      </c>
      <c r="E16" s="7" t="s">
        <v>121</v>
      </c>
      <c r="F16" s="7" t="s">
        <v>122</v>
      </c>
      <c r="G16" s="7" t="s">
        <v>123</v>
      </c>
    </row>
    <row r="17" customFormat="false" ht="66" hidden="false" customHeight="true" outlineLevel="0" collapsed="false">
      <c r="A17" s="7" t="s">
        <v>124</v>
      </c>
      <c r="B17" s="7" t="s">
        <v>125</v>
      </c>
      <c r="C17" s="8" t="s">
        <v>126</v>
      </c>
      <c r="D17" s="7" t="s">
        <v>127</v>
      </c>
      <c r="E17" s="7" t="s">
        <v>128</v>
      </c>
      <c r="F17" s="8" t="s">
        <v>129</v>
      </c>
      <c r="G17" s="7" t="s">
        <v>130</v>
      </c>
    </row>
    <row r="18" customFormat="false" ht="66" hidden="false" customHeight="true" outlineLevel="0" collapsed="false">
      <c r="A18" s="7" t="s">
        <v>131</v>
      </c>
      <c r="B18" s="7" t="s">
        <v>132</v>
      </c>
      <c r="C18" s="7" t="s">
        <v>133</v>
      </c>
      <c r="D18" s="7" t="s">
        <v>134</v>
      </c>
      <c r="E18" s="7" t="s">
        <v>135</v>
      </c>
      <c r="F18" s="7" t="s">
        <v>136</v>
      </c>
      <c r="G18" s="7" t="s">
        <v>137</v>
      </c>
    </row>
    <row r="19" customFormat="false" ht="66" hidden="false" customHeight="true" outlineLevel="0" collapsed="false">
      <c r="A19" s="7" t="s">
        <v>138</v>
      </c>
      <c r="B19" s="7" t="s">
        <v>139</v>
      </c>
      <c r="C19" s="7" t="s">
        <v>140</v>
      </c>
      <c r="D19" s="7" t="s">
        <v>141</v>
      </c>
      <c r="E19" s="7" t="s">
        <v>142</v>
      </c>
      <c r="F19" s="7" t="s">
        <v>143</v>
      </c>
      <c r="G19" s="7" t="s">
        <v>144</v>
      </c>
    </row>
    <row r="20" customFormat="false" ht="66" hidden="false" customHeight="true" outlineLevel="0" collapsed="false">
      <c r="A20" s="7" t="s">
        <v>145</v>
      </c>
      <c r="B20" s="7" t="s">
        <v>146</v>
      </c>
      <c r="C20" s="7" t="s">
        <v>147</v>
      </c>
      <c r="D20" s="7" t="s">
        <v>148</v>
      </c>
      <c r="E20" s="7" t="s">
        <v>149</v>
      </c>
      <c r="F20" s="7" t="s">
        <v>150</v>
      </c>
      <c r="G20" s="7" t="s">
        <v>151</v>
      </c>
    </row>
    <row r="21" customFormat="false" ht="66" hidden="false" customHeight="true" outlineLevel="0" collapsed="false">
      <c r="A21" s="7" t="s">
        <v>152</v>
      </c>
      <c r="B21" s="7" t="s">
        <v>153</v>
      </c>
      <c r="C21" s="7" t="s">
        <v>154</v>
      </c>
      <c r="D21" s="7" t="s">
        <v>155</v>
      </c>
      <c r="E21" s="7" t="s">
        <v>156</v>
      </c>
      <c r="F21" s="7" t="s">
        <v>157</v>
      </c>
      <c r="G21" s="7" t="s">
        <v>158</v>
      </c>
    </row>
    <row r="22" customFormat="false" ht="66" hidden="false" customHeight="true" outlineLevel="0" collapsed="false">
      <c r="A22" s="7" t="s">
        <v>159</v>
      </c>
      <c r="B22" s="8" t="s">
        <v>160</v>
      </c>
      <c r="C22" s="7" t="s">
        <v>161</v>
      </c>
      <c r="D22" s="7" t="s">
        <v>162</v>
      </c>
      <c r="E22" s="8" t="s">
        <v>163</v>
      </c>
      <c r="F22" s="8" t="s">
        <v>164</v>
      </c>
      <c r="G22" s="7" t="s">
        <v>165</v>
      </c>
    </row>
    <row r="23" customFormat="false" ht="66" hidden="false" customHeight="true" outlineLevel="0" collapsed="false">
      <c r="A23" s="7" t="s">
        <v>166</v>
      </c>
      <c r="B23" s="7" t="s">
        <v>167</v>
      </c>
      <c r="C23" s="7" t="s">
        <v>168</v>
      </c>
      <c r="D23" s="7" t="s">
        <v>169</v>
      </c>
      <c r="E23" s="8" t="s">
        <v>170</v>
      </c>
      <c r="F23" s="7" t="s">
        <v>171</v>
      </c>
      <c r="G23" s="7" t="s">
        <v>172</v>
      </c>
    </row>
    <row r="24" customFormat="false" ht="66" hidden="false" customHeight="true" outlineLevel="0" collapsed="false">
      <c r="A24" s="7" t="s">
        <v>173</v>
      </c>
      <c r="B24" s="7" t="s">
        <v>174</v>
      </c>
      <c r="C24" s="8" t="s">
        <v>175</v>
      </c>
      <c r="D24" s="7" t="s">
        <v>176</v>
      </c>
      <c r="E24" s="7" t="s">
        <v>149</v>
      </c>
      <c r="F24" s="8" t="s">
        <v>177</v>
      </c>
      <c r="G24" s="8" t="s">
        <v>178</v>
      </c>
    </row>
    <row r="25" customFormat="false" ht="66" hidden="false" customHeight="true" outlineLevel="0" collapsed="false">
      <c r="A25" s="7" t="s">
        <v>179</v>
      </c>
      <c r="B25" s="7" t="s">
        <v>180</v>
      </c>
      <c r="C25" s="7" t="s">
        <v>181</v>
      </c>
      <c r="D25" s="8" t="s">
        <v>182</v>
      </c>
      <c r="E25" s="7" t="s">
        <v>183</v>
      </c>
      <c r="F25" s="8" t="s">
        <v>184</v>
      </c>
      <c r="G25" s="7" t="s">
        <v>185</v>
      </c>
    </row>
    <row r="26" customFormat="false" ht="66" hidden="false" customHeight="true" outlineLevel="0" collapsed="false">
      <c r="A26" s="7" t="s">
        <v>186</v>
      </c>
      <c r="B26" s="7" t="s">
        <v>187</v>
      </c>
      <c r="C26" s="7" t="s">
        <v>188</v>
      </c>
      <c r="D26" s="7" t="s">
        <v>189</v>
      </c>
      <c r="E26" s="8" t="s">
        <v>190</v>
      </c>
      <c r="F26" s="8" t="s">
        <v>191</v>
      </c>
      <c r="G26" s="7" t="s">
        <v>192</v>
      </c>
    </row>
    <row r="27" customFormat="false" ht="66" hidden="false" customHeight="true" outlineLevel="0" collapsed="false">
      <c r="A27" s="7" t="s">
        <v>193</v>
      </c>
      <c r="B27" s="7" t="s">
        <v>194</v>
      </c>
      <c r="C27" s="7" t="s">
        <v>195</v>
      </c>
      <c r="D27" s="7" t="s">
        <v>196</v>
      </c>
      <c r="E27" s="7" t="s">
        <v>197</v>
      </c>
      <c r="F27" s="7" t="s">
        <v>198</v>
      </c>
      <c r="G27" s="7" t="s">
        <v>199</v>
      </c>
    </row>
    <row r="28" customFormat="false" ht="66" hidden="false" customHeight="true" outlineLevel="0" collapsed="false">
      <c r="A28" s="7" t="s">
        <v>200</v>
      </c>
      <c r="B28" s="7" t="s">
        <v>201</v>
      </c>
      <c r="C28" s="8" t="s">
        <v>202</v>
      </c>
      <c r="D28" s="7" t="s">
        <v>203</v>
      </c>
      <c r="E28" s="7" t="s">
        <v>204</v>
      </c>
      <c r="F28" s="7" t="s">
        <v>205</v>
      </c>
      <c r="G28" s="7" t="s">
        <v>206</v>
      </c>
    </row>
    <row r="29" customFormat="false" ht="66" hidden="false" customHeight="true" outlineLevel="0" collapsed="false">
      <c r="A29" s="7" t="s">
        <v>207</v>
      </c>
      <c r="B29" s="7" t="s">
        <v>208</v>
      </c>
      <c r="C29" s="7" t="s">
        <v>209</v>
      </c>
      <c r="D29" s="7" t="s">
        <v>210</v>
      </c>
      <c r="E29" s="7" t="s">
        <v>211</v>
      </c>
      <c r="F29" s="7" t="s">
        <v>212</v>
      </c>
      <c r="G29" s="7" t="s">
        <v>213</v>
      </c>
    </row>
    <row r="30" customFormat="false" ht="66" hidden="false" customHeight="true" outlineLevel="0" collapsed="false">
      <c r="A30" s="7" t="s">
        <v>214</v>
      </c>
      <c r="B30" s="7" t="s">
        <v>215</v>
      </c>
      <c r="C30" s="8" t="s">
        <v>216</v>
      </c>
      <c r="D30" s="7" t="s">
        <v>217</v>
      </c>
      <c r="E30" s="8" t="s">
        <v>218</v>
      </c>
      <c r="F30" s="8" t="s">
        <v>219</v>
      </c>
      <c r="G30" s="7" t="s">
        <v>220</v>
      </c>
    </row>
    <row r="31" customFormat="false" ht="66" hidden="false" customHeight="true" outlineLevel="0" collapsed="false">
      <c r="A31" s="7" t="s">
        <v>221</v>
      </c>
      <c r="B31" s="7" t="s">
        <v>222</v>
      </c>
      <c r="C31" s="7" t="s">
        <v>223</v>
      </c>
      <c r="D31" s="7" t="s">
        <v>224</v>
      </c>
      <c r="E31" s="7" t="s">
        <v>225</v>
      </c>
      <c r="F31" s="7" t="s">
        <v>226</v>
      </c>
      <c r="G31" s="7" t="s">
        <v>227</v>
      </c>
    </row>
    <row r="32" customFormat="false" ht="66" hidden="false" customHeight="true" outlineLevel="0" collapsed="false">
      <c r="A32" s="7" t="s">
        <v>228</v>
      </c>
      <c r="B32" s="7" t="s">
        <v>229</v>
      </c>
      <c r="C32" s="7" t="s">
        <v>230</v>
      </c>
      <c r="D32" s="7" t="s">
        <v>231</v>
      </c>
      <c r="E32" s="7" t="s">
        <v>232</v>
      </c>
      <c r="F32" s="7" t="s">
        <v>233</v>
      </c>
      <c r="G32" s="7" t="s">
        <v>234</v>
      </c>
    </row>
    <row r="33" customFormat="false" ht="66" hidden="false" customHeight="true" outlineLevel="0" collapsed="false">
      <c r="A33" s="7" t="s">
        <v>235</v>
      </c>
      <c r="B33" s="7" t="s">
        <v>236</v>
      </c>
      <c r="C33" s="7" t="s">
        <v>237</v>
      </c>
      <c r="D33" s="7" t="s">
        <v>238</v>
      </c>
      <c r="E33" s="7" t="s">
        <v>239</v>
      </c>
      <c r="F33" s="7" t="s">
        <v>240</v>
      </c>
      <c r="G33" s="7" t="s">
        <v>241</v>
      </c>
    </row>
    <row r="34" customFormat="false" ht="66" hidden="false" customHeight="true" outlineLevel="0" collapsed="false">
      <c r="A34" s="7" t="s">
        <v>242</v>
      </c>
      <c r="B34" s="7" t="s">
        <v>243</v>
      </c>
      <c r="C34" s="7" t="s">
        <v>244</v>
      </c>
      <c r="D34" s="7" t="s">
        <v>245</v>
      </c>
      <c r="E34" s="7" t="s">
        <v>246</v>
      </c>
      <c r="F34" s="7" t="s">
        <v>247</v>
      </c>
      <c r="G34" s="7" t="s">
        <v>248</v>
      </c>
    </row>
    <row r="35" customFormat="false" ht="66" hidden="false" customHeight="true" outlineLevel="0" collapsed="false">
      <c r="A35" s="7" t="s">
        <v>249</v>
      </c>
      <c r="B35" s="7" t="s">
        <v>250</v>
      </c>
      <c r="C35" s="7" t="s">
        <v>251</v>
      </c>
      <c r="D35" s="7" t="s">
        <v>252</v>
      </c>
      <c r="E35" s="7" t="s">
        <v>253</v>
      </c>
      <c r="F35" s="7" t="s">
        <v>254</v>
      </c>
      <c r="G35" s="7" t="s">
        <v>255</v>
      </c>
    </row>
    <row r="36" customFormat="false" ht="66" hidden="false" customHeight="true" outlineLevel="0" collapsed="false">
      <c r="A36" s="7" t="s">
        <v>256</v>
      </c>
      <c r="B36" s="7" t="s">
        <v>257</v>
      </c>
      <c r="C36" s="7" t="s">
        <v>258</v>
      </c>
      <c r="D36" s="7" t="s">
        <v>259</v>
      </c>
      <c r="E36" s="7" t="s">
        <v>260</v>
      </c>
      <c r="F36" s="7" t="s">
        <v>261</v>
      </c>
      <c r="G36" s="7" t="s">
        <v>262</v>
      </c>
    </row>
    <row r="37" customFormat="false" ht="66" hidden="false" customHeight="true" outlineLevel="0" collapsed="false">
      <c r="A37" s="7" t="s">
        <v>263</v>
      </c>
      <c r="B37" s="7" t="s">
        <v>264</v>
      </c>
      <c r="C37" s="7" t="s">
        <v>265</v>
      </c>
      <c r="D37" s="7" t="s">
        <v>266</v>
      </c>
      <c r="E37" s="7" t="s">
        <v>267</v>
      </c>
      <c r="F37" s="7" t="s">
        <v>268</v>
      </c>
      <c r="G37" s="7" t="s">
        <v>269</v>
      </c>
    </row>
    <row r="38" customFormat="false" ht="66" hidden="false" customHeight="true" outlineLevel="0" collapsed="false">
      <c r="A38" s="8" t="s">
        <v>270</v>
      </c>
      <c r="B38" s="7" t="s">
        <v>271</v>
      </c>
      <c r="C38" s="7" t="s">
        <v>272</v>
      </c>
      <c r="D38" s="7" t="s">
        <v>273</v>
      </c>
      <c r="E38" s="7" t="s">
        <v>274</v>
      </c>
      <c r="F38" s="7" t="s">
        <v>275</v>
      </c>
      <c r="G38" s="7" t="s">
        <v>276</v>
      </c>
    </row>
    <row r="39" customFormat="false" ht="66" hidden="false" customHeight="true" outlineLevel="0" collapsed="false">
      <c r="A39" s="7" t="s">
        <v>277</v>
      </c>
      <c r="B39" s="7" t="s">
        <v>278</v>
      </c>
      <c r="C39" s="7" t="s">
        <v>279</v>
      </c>
      <c r="D39" s="7" t="s">
        <v>280</v>
      </c>
      <c r="E39" s="7" t="s">
        <v>281</v>
      </c>
      <c r="F39" s="7" t="s">
        <v>282</v>
      </c>
      <c r="G39" s="7" t="s">
        <v>283</v>
      </c>
    </row>
    <row r="40" customFormat="false" ht="66" hidden="false" customHeight="true" outlineLevel="0" collapsed="false">
      <c r="A40" s="7" t="s">
        <v>284</v>
      </c>
      <c r="B40" s="7" t="s">
        <v>285</v>
      </c>
      <c r="C40" s="7" t="s">
        <v>286</v>
      </c>
      <c r="D40" s="7" t="s">
        <v>287</v>
      </c>
      <c r="E40" s="7" t="s">
        <v>288</v>
      </c>
      <c r="F40" s="7" t="s">
        <v>289</v>
      </c>
      <c r="G40" s="7" t="s">
        <v>290</v>
      </c>
    </row>
    <row r="41" customFormat="false" ht="66" hidden="false" customHeight="true" outlineLevel="0" collapsed="false">
      <c r="A41" s="7" t="s">
        <v>291</v>
      </c>
      <c r="B41" s="7" t="s">
        <v>292</v>
      </c>
      <c r="C41" s="7" t="s">
        <v>293</v>
      </c>
      <c r="D41" s="7" t="s">
        <v>294</v>
      </c>
      <c r="E41" s="7" t="s">
        <v>149</v>
      </c>
      <c r="F41" s="7" t="s">
        <v>295</v>
      </c>
      <c r="G41" s="7" t="s">
        <v>296</v>
      </c>
    </row>
    <row r="42" customFormat="false" ht="66" hidden="false" customHeight="true" outlineLevel="0" collapsed="false">
      <c r="A42" s="7" t="s">
        <v>297</v>
      </c>
      <c r="B42" s="7" t="s">
        <v>298</v>
      </c>
      <c r="C42" s="7" t="s">
        <v>299</v>
      </c>
      <c r="D42" s="7" t="s">
        <v>300</v>
      </c>
      <c r="E42" s="7" t="s">
        <v>274</v>
      </c>
      <c r="F42" s="7" t="s">
        <v>226</v>
      </c>
      <c r="G42" s="7" t="s">
        <v>301</v>
      </c>
    </row>
    <row r="43" customFormat="false" ht="66" hidden="false" customHeight="true" outlineLevel="0" collapsed="false">
      <c r="A43" s="8" t="s">
        <v>302</v>
      </c>
      <c r="B43" s="7" t="s">
        <v>303</v>
      </c>
      <c r="C43" s="7" t="s">
        <v>304</v>
      </c>
      <c r="D43" s="7" t="s">
        <v>305</v>
      </c>
      <c r="E43" s="7" t="s">
        <v>306</v>
      </c>
      <c r="F43" s="8" t="s">
        <v>307</v>
      </c>
      <c r="G43" s="7" t="s">
        <v>308</v>
      </c>
    </row>
    <row r="44" customFormat="false" ht="66" hidden="false" customHeight="true" outlineLevel="0" collapsed="false">
      <c r="A44" s="7" t="s">
        <v>309</v>
      </c>
      <c r="B44" s="7" t="s">
        <v>310</v>
      </c>
      <c r="C44" s="8" t="s">
        <v>311</v>
      </c>
      <c r="D44" s="7" t="s">
        <v>312</v>
      </c>
      <c r="E44" s="7" t="s">
        <v>313</v>
      </c>
      <c r="F44" s="7" t="s">
        <v>314</v>
      </c>
      <c r="G44" s="7" t="s">
        <v>315</v>
      </c>
    </row>
  </sheetData>
  <autoFilter ref="A1:G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3" min="3" style="0" width="55"/>
  </cols>
  <sheetData>
    <row r="1" customFormat="false" ht="18.55" hidden="false" customHeight="false" outlineLevel="0" collapsed="false">
      <c r="A1" s="9" t="s">
        <v>316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10" t="s">
        <v>317</v>
      </c>
      <c r="B3" s="10" t="s">
        <v>318</v>
      </c>
      <c r="C3" s="10" t="s">
        <v>319</v>
      </c>
    </row>
    <row r="4" customFormat="false" ht="60" hidden="false" customHeight="true" outlineLevel="0" collapsed="false">
      <c r="A4" s="8" t="s">
        <v>320</v>
      </c>
      <c r="B4" s="7" t="s">
        <v>321</v>
      </c>
      <c r="C4" s="7" t="s">
        <v>322</v>
      </c>
    </row>
    <row r="5" customFormat="false" ht="60" hidden="false" customHeight="true" outlineLevel="0" collapsed="false">
      <c r="A5" s="8" t="s">
        <v>323</v>
      </c>
      <c r="B5" s="7" t="s">
        <v>324</v>
      </c>
      <c r="C5" s="7" t="s">
        <v>325</v>
      </c>
    </row>
    <row r="6" customFormat="false" ht="60" hidden="false" customHeight="true" outlineLevel="0" collapsed="false">
      <c r="A6" s="8" t="s">
        <v>326</v>
      </c>
      <c r="B6" s="7" t="s">
        <v>327</v>
      </c>
      <c r="C6" s="7" t="s">
        <v>328</v>
      </c>
    </row>
    <row r="7" customFormat="false" ht="60" hidden="false" customHeight="true" outlineLevel="0" collapsed="false">
      <c r="A7" s="8" t="s">
        <v>329</v>
      </c>
      <c r="B7" s="7" t="s">
        <v>330</v>
      </c>
      <c r="C7" s="7" t="s">
        <v>331</v>
      </c>
    </row>
    <row r="8" customFormat="false" ht="60" hidden="false" customHeight="true" outlineLevel="0" collapsed="false">
      <c r="A8" s="8" t="s">
        <v>332</v>
      </c>
      <c r="B8" s="7" t="s">
        <v>333</v>
      </c>
      <c r="C8" s="7" t="s">
        <v>334</v>
      </c>
    </row>
    <row r="9" customFormat="false" ht="60" hidden="false" customHeight="true" outlineLevel="0" collapsed="false">
      <c r="A9" s="8" t="s">
        <v>335</v>
      </c>
      <c r="B9" s="7" t="s">
        <v>336</v>
      </c>
      <c r="C9" s="7" t="s">
        <v>337</v>
      </c>
    </row>
    <row r="10" customFormat="false" ht="60" hidden="false" customHeight="true" outlineLevel="0" collapsed="false">
      <c r="A10" s="8" t="s">
        <v>338</v>
      </c>
      <c r="B10" s="7" t="s">
        <v>339</v>
      </c>
      <c r="C10" s="7" t="s">
        <v>340</v>
      </c>
    </row>
    <row r="11" customFormat="false" ht="60" hidden="false" customHeight="true" outlineLevel="0" collapsed="false">
      <c r="A11" s="8" t="s">
        <v>341</v>
      </c>
      <c r="B11" s="7" t="s">
        <v>342</v>
      </c>
      <c r="C11" s="7" t="s">
        <v>343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3" activeCellId="0" sqref="C3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1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23"/>
    <col collapsed="false" customWidth="true" hidden="false" outlineLevel="0" max="8" min="8" style="1" width="22"/>
    <col collapsed="false" customWidth="true" hidden="false" outlineLevel="0" max="9" min="9" style="1" width="13"/>
    <col collapsed="false" customWidth="true" hidden="false" outlineLevel="0" max="10" min="10" style="1" width="50"/>
  </cols>
  <sheetData>
    <row r="1" customFormat="false" ht="19.5" hidden="false" customHeight="true" outlineLevel="0" collapsed="false">
      <c r="A1" s="11" t="s">
        <v>344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3.5" hidden="false" customHeight="true" outlineLevel="0" collapsed="false">
      <c r="A2" s="12" t="s">
        <v>345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33" hidden="false" customHeight="true" outlineLevel="0" collapsed="false">
      <c r="A3" s="13" t="s">
        <v>346</v>
      </c>
      <c r="B3" s="13" t="s">
        <v>347</v>
      </c>
      <c r="C3" s="13" t="s">
        <v>348</v>
      </c>
      <c r="D3" s="13" t="s">
        <v>349</v>
      </c>
      <c r="E3" s="13" t="s">
        <v>350</v>
      </c>
      <c r="F3" s="13" t="s">
        <v>351</v>
      </c>
      <c r="G3" s="13" t="s">
        <v>352</v>
      </c>
      <c r="H3" s="13" t="s">
        <v>353</v>
      </c>
      <c r="I3" s="13" t="s">
        <v>354</v>
      </c>
      <c r="J3" s="13" t="s">
        <v>355</v>
      </c>
    </row>
    <row r="4" customFormat="false" ht="42" hidden="false" customHeight="true" outlineLevel="0" collapsed="false">
      <c r="A4" s="14" t="s">
        <v>19</v>
      </c>
      <c r="B4" s="14" t="n">
        <f aca="false">农林牧渔!$P$4</f>
        <v>7.2</v>
      </c>
      <c r="C4" s="14" t="n">
        <f aca="false">农林牧渔!$P$5</f>
        <v>6.5</v>
      </c>
      <c r="D4" s="14" t="n">
        <f aca="false">农林牧渔!$P$6</f>
        <v>6.6</v>
      </c>
      <c r="E4" s="15" t="n">
        <f aca="false">农林牧渔!$G$19</f>
        <v>6.8</v>
      </c>
      <c r="F4" s="15" t="str">
        <f aca="false">IF(E4&gt;=8.5,"强/防过热",IF(E4&gt;=7.5,"偏强",IF(E4&gt;=6.5,"中性偏强",IF(E4&gt;=5,"中性",IF(E4&gt;=3,"偏弱","低迷")))))</f>
        <v>中性偏强</v>
      </c>
      <c r="G4" s="14" t="s">
        <v>356</v>
      </c>
      <c r="H4" s="14" t="s">
        <v>357</v>
      </c>
      <c r="I4" s="14" t="s">
        <v>358</v>
      </c>
      <c r="J4" s="14" t="s">
        <v>359</v>
      </c>
    </row>
    <row r="5" customFormat="false" ht="42" hidden="false" customHeight="true" outlineLevel="0" collapsed="false">
      <c r="A5" s="14" t="s">
        <v>26</v>
      </c>
      <c r="B5" s="14" t="n">
        <f aca="false">基础化工!$P$4</f>
        <v>8</v>
      </c>
      <c r="C5" s="14" t="n">
        <f aca="false">基础化工!$P$5</f>
        <v>6.8</v>
      </c>
      <c r="D5" s="14" t="n">
        <f aca="false">基础化工!$P$6</f>
        <v>6.6</v>
      </c>
      <c r="E5" s="15" t="n">
        <f aca="false">基础化工!$G$18</f>
        <v>7.4</v>
      </c>
      <c r="F5" s="16" t="str">
        <f aca="false">IF(E5&gt;=8.5,"强/防过热",IF(E5&gt;=7.5,"偏强",IF(E5&gt;=6.5,"中性偏强",IF(E5&gt;=5,"中性",IF(E5&gt;=3,"偏弱","低迷")))))</f>
        <v>中性偏强</v>
      </c>
      <c r="G5" s="14" t="s">
        <v>356</v>
      </c>
      <c r="H5" s="14" t="s">
        <v>357</v>
      </c>
      <c r="I5" s="14" t="s">
        <v>358</v>
      </c>
      <c r="J5" s="14" t="s">
        <v>359</v>
      </c>
    </row>
    <row r="6" customFormat="false" ht="42" hidden="false" customHeight="true" outlineLevel="0" collapsed="false">
      <c r="A6" s="14" t="s">
        <v>33</v>
      </c>
      <c r="B6" s="14" t="n">
        <f aca="false">钢铁!$P$4</f>
        <v>8</v>
      </c>
      <c r="C6" s="14" t="n">
        <f aca="false">钢铁!$P$5</f>
        <v>6</v>
      </c>
      <c r="D6" s="14" t="n">
        <f aca="false">钢铁!$P$6</f>
        <v>6</v>
      </c>
      <c r="E6" s="15" t="n">
        <f aca="false">钢铁!$G$18</f>
        <v>7</v>
      </c>
      <c r="F6" s="15" t="str">
        <f aca="false">IF(E6&gt;=8.5,"强/防过热",IF(E6&gt;=7.5,"偏强",IF(E6&gt;=6.5,"中性偏强",IF(E6&gt;=5,"中性",IF(E6&gt;=3,"偏弱","低迷")))))</f>
        <v>中性偏强</v>
      </c>
      <c r="G6" s="14" t="s">
        <v>356</v>
      </c>
      <c r="H6" s="14" t="s">
        <v>357</v>
      </c>
      <c r="I6" s="14" t="s">
        <v>358</v>
      </c>
      <c r="J6" s="14" t="s">
        <v>359</v>
      </c>
    </row>
    <row r="7" customFormat="false" ht="42" hidden="false" customHeight="true" outlineLevel="0" collapsed="false">
      <c r="A7" s="14" t="s">
        <v>40</v>
      </c>
      <c r="B7" s="14" t="n">
        <f aca="false">有色金属!$P$4</f>
        <v>6.9</v>
      </c>
      <c r="C7" s="14" t="n">
        <f aca="false">有色金属!$P$5</f>
        <v>8.7</v>
      </c>
      <c r="D7" s="14" t="n">
        <f aca="false">有色金属!$P$6</f>
        <v>8.6</v>
      </c>
      <c r="E7" s="16" t="n">
        <f aca="false">有色金属!$G$18</f>
        <v>7.9</v>
      </c>
      <c r="F7" s="16" t="str">
        <f aca="false">IF(E7&gt;=8.5,"强/防过热",IF(E7&gt;=7.5,"偏强",IF(E7&gt;=6.5,"中性偏强",IF(E7&gt;=5,"中性",IF(E7&gt;=3,"偏弱","低迷")))))</f>
        <v>偏强</v>
      </c>
      <c r="G7" s="14" t="s">
        <v>360</v>
      </c>
      <c r="H7" s="14" t="s">
        <v>357</v>
      </c>
      <c r="I7" s="14" t="s">
        <v>358</v>
      </c>
      <c r="J7" s="14" t="s">
        <v>361</v>
      </c>
    </row>
    <row r="8" customFormat="false" ht="42" hidden="false" customHeight="true" outlineLevel="0" collapsed="false">
      <c r="A8" s="14" t="s">
        <v>47</v>
      </c>
      <c r="B8" s="14" t="n">
        <f aca="false">电子!$P$4</f>
        <v>8.2</v>
      </c>
      <c r="C8" s="14" t="n">
        <f aca="false">电子!$P$5</f>
        <v>7.2</v>
      </c>
      <c r="D8" s="14" t="n">
        <f aca="false">电子!$P$6</f>
        <v>8</v>
      </c>
      <c r="E8" s="15" t="n">
        <f aca="false">电子!$G$19</f>
        <v>7.8</v>
      </c>
      <c r="F8" s="16" t="str">
        <f aca="false">IF(E8&gt;=8.5,"强/防过热",IF(E8&gt;=7.5,"偏强",IF(E8&gt;=6.5,"中性偏强",IF(E8&gt;=5,"中性",IF(E8&gt;=3,"偏弱","低迷")))))</f>
        <v>偏强</v>
      </c>
      <c r="G8" s="14" t="s">
        <v>362</v>
      </c>
      <c r="H8" s="14" t="s">
        <v>357</v>
      </c>
      <c r="I8" s="14" t="s">
        <v>358</v>
      </c>
      <c r="J8" s="14" t="s">
        <v>363</v>
      </c>
    </row>
    <row r="9" customFormat="false" ht="42" hidden="false" customHeight="true" outlineLevel="0" collapsed="false">
      <c r="A9" s="14" t="s">
        <v>54</v>
      </c>
      <c r="B9" s="14" t="n">
        <f aca="false">家用电器!$P$4</f>
        <v>5.3</v>
      </c>
      <c r="C9" s="14" t="n">
        <f aca="false">家用电器!$P$5</f>
        <v>7.2</v>
      </c>
      <c r="D9" s="14" t="n">
        <f aca="false">家用电器!$P$6</f>
        <v>7.4</v>
      </c>
      <c r="E9" s="15" t="n">
        <f aca="false">家用电器!$G$18</f>
        <v>6.5</v>
      </c>
      <c r="F9" s="15" t="str">
        <f aca="false">IF(E9&gt;=8.5,"强/防过热",IF(E9&gt;=7.5,"偏强",IF(E9&gt;=6.5,"中性偏强",IF(E9&gt;=5,"中性",IF(E9&gt;=3,"偏弱","低迷")))))</f>
        <v>中性偏强</v>
      </c>
      <c r="G9" s="14" t="s">
        <v>364</v>
      </c>
      <c r="H9" s="14" t="s">
        <v>357</v>
      </c>
      <c r="I9" s="14" t="s">
        <v>358</v>
      </c>
      <c r="J9" s="14" t="s">
        <v>365</v>
      </c>
    </row>
    <row r="10" customFormat="false" ht="42" hidden="false" customHeight="true" outlineLevel="0" collapsed="false">
      <c r="A10" s="14" t="s">
        <v>61</v>
      </c>
      <c r="B10" s="14" t="n">
        <f aca="false">食品饮料!$P$4</f>
        <v>5.9</v>
      </c>
      <c r="C10" s="14" t="n">
        <f aca="false">食品饮料!$P$5</f>
        <v>6.8</v>
      </c>
      <c r="D10" s="14" t="n">
        <f aca="false">食品饮料!$P$6</f>
        <v>7.4</v>
      </c>
      <c r="E10" s="15" t="n">
        <f aca="false">食品饮料!$G$18</f>
        <v>6.7</v>
      </c>
      <c r="F10" s="15" t="str">
        <f aca="false">IF(E10&gt;=8.5,"强/防过热",IF(E10&gt;=7.5,"偏强",IF(E10&gt;=6.5,"中性偏强",IF(E10&gt;=5,"中性",IF(E10&gt;=3,"偏弱","低迷")))))</f>
        <v>中性偏强</v>
      </c>
      <c r="G10" s="14" t="s">
        <v>366</v>
      </c>
      <c r="H10" s="14" t="s">
        <v>357</v>
      </c>
      <c r="I10" s="14" t="s">
        <v>358</v>
      </c>
      <c r="J10" s="14" t="s">
        <v>367</v>
      </c>
    </row>
    <row r="11" customFormat="false" ht="42" hidden="false" customHeight="true" outlineLevel="0" collapsed="false">
      <c r="A11" s="14" t="s">
        <v>68</v>
      </c>
      <c r="B11" s="14" t="n">
        <f aca="false">纺织服饰!$P$4</f>
        <v>7.6</v>
      </c>
      <c r="C11" s="14" t="n">
        <f aca="false">纺织服饰!$P$5</f>
        <v>6.7</v>
      </c>
      <c r="D11" s="14" t="n">
        <f aca="false">纺织服饰!$P$6</f>
        <v>6</v>
      </c>
      <c r="E11" s="15" t="n">
        <f aca="false">纺织服饰!$G$18</f>
        <v>6.9</v>
      </c>
      <c r="F11" s="15" t="str">
        <f aca="false">IF(E11&gt;=8.5,"强/防过热",IF(E11&gt;=7.5,"偏强",IF(E11&gt;=6.5,"中性偏强",IF(E11&gt;=5,"中性",IF(E11&gt;=3,"偏弱","低迷")))))</f>
        <v>中性偏强</v>
      </c>
      <c r="G11" s="14" t="s">
        <v>364</v>
      </c>
      <c r="H11" s="14" t="s">
        <v>357</v>
      </c>
      <c r="I11" s="14" t="s">
        <v>358</v>
      </c>
      <c r="J11" s="14" t="s">
        <v>365</v>
      </c>
    </row>
    <row r="12" customFormat="false" ht="42" hidden="false" customHeight="true" outlineLevel="0" collapsed="false">
      <c r="A12" s="14" t="s">
        <v>75</v>
      </c>
      <c r="B12" s="14" t="n">
        <f aca="false">轻工制造!$P$4</f>
        <v>6.6</v>
      </c>
      <c r="C12" s="14" t="n">
        <f aca="false">轻工制造!$P$5</f>
        <v>5</v>
      </c>
      <c r="D12" s="14" t="n">
        <f aca="false">轻工制造!$P$6</f>
        <v>6</v>
      </c>
      <c r="E12" s="17" t="n">
        <f aca="false">轻工制造!$G$18</f>
        <v>5.8</v>
      </c>
      <c r="F12" s="17" t="str">
        <f aca="false">IF(E12&gt;=8.5,"强/防过热",IF(E12&gt;=7.5,"偏强",IF(E12&gt;=6.5,"中性偏强",IF(E12&gt;=5,"中性",IF(E12&gt;=3,"偏弱","低迷")))))</f>
        <v>中性</v>
      </c>
      <c r="G12" s="14" t="s">
        <v>364</v>
      </c>
      <c r="H12" s="14" t="s">
        <v>357</v>
      </c>
      <c r="I12" s="14" t="s">
        <v>358</v>
      </c>
      <c r="J12" s="14" t="s">
        <v>365</v>
      </c>
    </row>
    <row r="13" customFormat="false" ht="42" hidden="false" customHeight="true" outlineLevel="0" collapsed="false">
      <c r="A13" s="14" t="s">
        <v>82</v>
      </c>
      <c r="B13" s="14" t="n">
        <f aca="false">医药生物!$P$4</f>
        <v>8</v>
      </c>
      <c r="C13" s="14" t="n">
        <f aca="false">医药生物!$P$5</f>
        <v>7.2</v>
      </c>
      <c r="D13" s="14" t="n">
        <f aca="false">医药生物!$P$6</f>
        <v>8</v>
      </c>
      <c r="E13" s="15" t="n">
        <f aca="false">医药生物!$G$18</f>
        <v>7.7</v>
      </c>
      <c r="F13" s="16" t="str">
        <f aca="false">IF(E13&gt;=8.5,"强/防过热",IF(E13&gt;=7.5,"偏强",IF(E13&gt;=6.5,"中性偏强",IF(E13&gt;=5,"中性",IF(E13&gt;=3,"偏弱","低迷")))))</f>
        <v>偏强</v>
      </c>
      <c r="G13" s="14" t="s">
        <v>362</v>
      </c>
      <c r="H13" s="14" t="s">
        <v>357</v>
      </c>
      <c r="I13" s="14" t="s">
        <v>358</v>
      </c>
      <c r="J13" s="14" t="s">
        <v>363</v>
      </c>
    </row>
    <row r="14" customFormat="false" ht="42" hidden="false" customHeight="true" outlineLevel="0" collapsed="false">
      <c r="A14" s="14" t="s">
        <v>89</v>
      </c>
      <c r="B14" s="14" t="n">
        <f aca="false">公用事业!$P$4</f>
        <v>9</v>
      </c>
      <c r="C14" s="14" t="n">
        <f aca="false">公用事业!$P$5</f>
        <v>7.1</v>
      </c>
      <c r="D14" s="14" t="n">
        <f aca="false">公用事业!$P$6</f>
        <v>8</v>
      </c>
      <c r="E14" s="16" t="n">
        <f aca="false">公用事业!$G$18</f>
        <v>7.9</v>
      </c>
      <c r="F14" s="16" t="str">
        <f aca="false">IF(E14&gt;=8.5,"强/防过热",IF(E14&gt;=7.5,"偏强",IF(E14&gt;=6.5,"中性偏强",IF(E14&gt;=5,"中性",IF(E14&gt;=3,"偏弱","低迷")))))</f>
        <v>偏强</v>
      </c>
      <c r="G14" s="14" t="s">
        <v>366</v>
      </c>
      <c r="H14" s="14" t="s">
        <v>357</v>
      </c>
      <c r="I14" s="14" t="s">
        <v>358</v>
      </c>
      <c r="J14" s="14" t="s">
        <v>367</v>
      </c>
    </row>
    <row r="15" customFormat="false" ht="42" hidden="false" customHeight="true" outlineLevel="0" collapsed="false">
      <c r="A15" s="14" t="s">
        <v>96</v>
      </c>
      <c r="B15" s="14" t="n">
        <f aca="false">交通运输!$P$4</f>
        <v>8</v>
      </c>
      <c r="C15" s="14" t="n">
        <f aca="false">交通运输!$P$5</f>
        <v>8</v>
      </c>
      <c r="D15" s="14" t="n">
        <f aca="false">交通运输!$P$6</f>
        <v>8</v>
      </c>
      <c r="E15" s="15" t="n">
        <f aca="false">交通运输!$G$18</f>
        <v>8</v>
      </c>
      <c r="F15" s="16" t="str">
        <f aca="false">IF(E15&gt;=8.5,"强/防过热",IF(E15&gt;=7.5,"偏强",IF(E15&gt;=6.5,"中性偏强",IF(E15&gt;=5,"中性",IF(E15&gt;=3,"偏弱","低迷")))))</f>
        <v>偏强</v>
      </c>
      <c r="G15" s="14" t="s">
        <v>364</v>
      </c>
      <c r="H15" s="14" t="s">
        <v>357</v>
      </c>
      <c r="I15" s="14" t="s">
        <v>358</v>
      </c>
      <c r="J15" s="14" t="s">
        <v>365</v>
      </c>
    </row>
    <row r="16" customFormat="false" ht="42" hidden="false" customHeight="true" outlineLevel="0" collapsed="false">
      <c r="A16" s="14" t="s">
        <v>103</v>
      </c>
      <c r="B16" s="14" t="n">
        <f aca="false">房地产!$P$4</f>
        <v>4.9</v>
      </c>
      <c r="C16" s="14" t="n">
        <f aca="false">房地产!$P$5</f>
        <v>4</v>
      </c>
      <c r="D16" s="14" t="n">
        <f aca="false">房地产!$P$6</f>
        <v>3.4</v>
      </c>
      <c r="E16" s="18" t="n">
        <f aca="false">房地产!$G$18</f>
        <v>4.3</v>
      </c>
      <c r="F16" s="18" t="str">
        <f aca="false">IF(E16&gt;=8.5,"强/防过热",IF(E16&gt;=7.5,"偏强",IF(E16&gt;=6.5,"中性偏强",IF(E16&gt;=5,"中性",IF(E16&gt;=3,"偏弱","低迷")))))</f>
        <v>偏弱</v>
      </c>
      <c r="G16" s="14" t="s">
        <v>356</v>
      </c>
      <c r="H16" s="14" t="s">
        <v>357</v>
      </c>
      <c r="I16" s="14" t="s">
        <v>358</v>
      </c>
      <c r="J16" s="14" t="s">
        <v>359</v>
      </c>
    </row>
    <row r="17" customFormat="false" ht="42" hidden="false" customHeight="true" outlineLevel="0" collapsed="false">
      <c r="A17" s="14" t="s">
        <v>110</v>
      </c>
      <c r="B17" s="14" t="n">
        <f aca="false">商贸零售!$P$4</f>
        <v>5.5</v>
      </c>
      <c r="C17" s="14" t="n">
        <f aca="false">商贸零售!$P$5</f>
        <v>7.4</v>
      </c>
      <c r="D17" s="14" t="n">
        <f aca="false">商贸零售!$P$6</f>
        <v>6.6</v>
      </c>
      <c r="E17" s="15" t="n">
        <f aca="false">商贸零售!$G$18</f>
        <v>6.5</v>
      </c>
      <c r="F17" s="15" t="str">
        <f aca="false">IF(E17&gt;=8.5,"强/防过热",IF(E17&gt;=7.5,"偏强",IF(E17&gt;=6.5,"中性偏强",IF(E17&gt;=5,"中性",IF(E17&gt;=3,"偏弱","低迷")))))</f>
        <v>中性偏强</v>
      </c>
      <c r="G17" s="14" t="s">
        <v>364</v>
      </c>
      <c r="H17" s="14" t="s">
        <v>357</v>
      </c>
      <c r="I17" s="14" t="s">
        <v>358</v>
      </c>
      <c r="J17" s="14" t="s">
        <v>365</v>
      </c>
    </row>
    <row r="18" customFormat="false" ht="42" hidden="false" customHeight="true" outlineLevel="0" collapsed="false">
      <c r="A18" s="14" t="s">
        <v>117</v>
      </c>
      <c r="B18" s="14" t="n">
        <f aca="false">社会服务!$P$4</f>
        <v>7.2</v>
      </c>
      <c r="C18" s="14" t="n">
        <f aca="false">社会服务!$P$5</f>
        <v>7.6</v>
      </c>
      <c r="D18" s="14" t="n">
        <f aca="false">社会服务!$P$6</f>
        <v>5.4</v>
      </c>
      <c r="E18" s="15" t="n">
        <f aca="false">社会服务!$G$18</f>
        <v>7</v>
      </c>
      <c r="F18" s="15" t="str">
        <f aca="false">IF(E18&gt;=8.5,"强/防过热",IF(E18&gt;=7.5,"偏强",IF(E18&gt;=6.5,"中性偏强",IF(E18&gt;=5,"中性",IF(E18&gt;=3,"偏弱","低迷")))))</f>
        <v>中性偏强</v>
      </c>
      <c r="G18" s="14" t="s">
        <v>364</v>
      </c>
      <c r="H18" s="14" t="s">
        <v>357</v>
      </c>
      <c r="I18" s="14" t="s">
        <v>358</v>
      </c>
      <c r="J18" s="14" t="s">
        <v>365</v>
      </c>
    </row>
    <row r="19" customFormat="false" ht="42" hidden="false" customHeight="true" outlineLevel="0" collapsed="false">
      <c r="A19" s="14" t="s">
        <v>124</v>
      </c>
      <c r="B19" s="14" t="n">
        <f aca="false">综合!$P$4</f>
        <v>6.4</v>
      </c>
      <c r="C19" s="14" t="n">
        <f aca="false">综合!$P$5</f>
        <v>6.7</v>
      </c>
      <c r="D19" s="14" t="n">
        <f aca="false">综合!$P$6</f>
        <v>7.2</v>
      </c>
      <c r="E19" s="15" t="n">
        <f aca="false">综合!$G$15</f>
        <v>6.6</v>
      </c>
      <c r="F19" s="15" t="str">
        <f aca="false">IF(E19&gt;=8.5,"强/防过热",IF(E19&gt;=7.5,"偏强",IF(E19&gt;=6.5,"中性偏强",IF(E19&gt;=5,"中性",IF(E19&gt;=3,"偏弱","低迷")))))</f>
        <v>中性偏强</v>
      </c>
      <c r="G19" s="14" t="s">
        <v>368</v>
      </c>
      <c r="H19" s="14" t="s">
        <v>357</v>
      </c>
      <c r="I19" s="14" t="s">
        <v>358</v>
      </c>
      <c r="J19" s="14" t="s">
        <v>369</v>
      </c>
    </row>
    <row r="20" customFormat="false" ht="42" hidden="false" customHeight="true" outlineLevel="0" collapsed="false">
      <c r="A20" s="14" t="s">
        <v>131</v>
      </c>
      <c r="B20" s="14" t="n">
        <f aca="false">建筑材料!$P$4</f>
        <v>4.8</v>
      </c>
      <c r="C20" s="14" t="n">
        <f aca="false">建筑材料!$P$5</f>
        <v>4.9</v>
      </c>
      <c r="D20" s="14" t="n">
        <f aca="false">建筑材料!$P$6</f>
        <v>4</v>
      </c>
      <c r="E20" s="17" t="n">
        <f aca="false">建筑材料!$G$18</f>
        <v>4.7</v>
      </c>
      <c r="F20" s="17" t="str">
        <f aca="false">IF(E20&gt;=8.5,"强/防过热",IF(E20&gt;=7.5,"偏强",IF(E20&gt;=6.5,"中性偏强",IF(E20&gt;=5,"中性",IF(E20&gt;=3,"偏弱","低迷")))))</f>
        <v>偏弱</v>
      </c>
      <c r="G20" s="14" t="s">
        <v>356</v>
      </c>
      <c r="H20" s="14" t="s">
        <v>357</v>
      </c>
      <c r="I20" s="14" t="s">
        <v>358</v>
      </c>
      <c r="J20" s="14" t="s">
        <v>359</v>
      </c>
    </row>
    <row r="21" customFormat="false" ht="42" hidden="false" customHeight="true" outlineLevel="0" collapsed="false">
      <c r="A21" s="14" t="s">
        <v>138</v>
      </c>
      <c r="B21" s="14" t="n">
        <f aca="false">建筑装饰!$P$4</f>
        <v>7.1</v>
      </c>
      <c r="C21" s="14" t="n">
        <f aca="false">建筑装饰!$P$5</f>
        <v>5.3</v>
      </c>
      <c r="D21" s="14" t="n">
        <f aca="false">建筑装饰!$P$6</f>
        <v>6</v>
      </c>
      <c r="E21" s="17" t="n">
        <f aca="false">建筑装饰!$G$18</f>
        <v>6.3</v>
      </c>
      <c r="F21" s="17" t="str">
        <f aca="false">IF(E21&gt;=8.5,"强/防过热",IF(E21&gt;=7.5,"偏强",IF(E21&gt;=6.5,"中性偏强",IF(E21&gt;=5,"中性",IF(E21&gt;=3,"偏弱","低迷")))))</f>
        <v>中性</v>
      </c>
      <c r="G21" s="14" t="s">
        <v>370</v>
      </c>
      <c r="H21" s="14" t="s">
        <v>357</v>
      </c>
      <c r="I21" s="14" t="s">
        <v>358</v>
      </c>
      <c r="J21" s="14" t="s">
        <v>371</v>
      </c>
    </row>
    <row r="22" customFormat="false" ht="42" hidden="false" customHeight="true" outlineLevel="0" collapsed="false">
      <c r="A22" s="14" t="s">
        <v>145</v>
      </c>
      <c r="B22" s="14" t="n">
        <f aca="false">电力设备!$P$4</f>
        <v>8.8</v>
      </c>
      <c r="C22" s="14" t="n">
        <f aca="false">电力设备!$P$5</f>
        <v>6.4</v>
      </c>
      <c r="D22" s="14" t="n">
        <f aca="false">电力设备!$P$6</f>
        <v>5.9</v>
      </c>
      <c r="E22" s="15" t="n">
        <f aca="false">电力设备!$G$19</f>
        <v>7.4</v>
      </c>
      <c r="F22" s="16" t="str">
        <f aca="false">IF(E22&gt;=8.5,"强/防过热",IF(E22&gt;=7.5,"偏强",IF(E22&gt;=6.5,"中性偏强",IF(E22&gt;=5,"中性",IF(E22&gt;=3,"偏弱","低迷")))))</f>
        <v>中性偏强</v>
      </c>
      <c r="G22" s="14" t="s">
        <v>370</v>
      </c>
      <c r="H22" s="14" t="s">
        <v>357</v>
      </c>
      <c r="I22" s="14" t="s">
        <v>358</v>
      </c>
      <c r="J22" s="14" t="s">
        <v>371</v>
      </c>
    </row>
    <row r="23" customFormat="false" ht="42" hidden="false" customHeight="true" outlineLevel="0" collapsed="false">
      <c r="A23" s="14" t="s">
        <v>152</v>
      </c>
      <c r="B23" s="14" t="n">
        <f aca="false">国防军工!$P$4</f>
        <v>7.2</v>
      </c>
      <c r="C23" s="14" t="n">
        <f aca="false">国防军工!$P$5</f>
        <v>7.7</v>
      </c>
      <c r="D23" s="14" t="n">
        <f aca="false">国防军工!$P$6</f>
        <v>7.2</v>
      </c>
      <c r="E23" s="15" t="n">
        <f aca="false">国防军工!$G$18</f>
        <v>7.4</v>
      </c>
      <c r="F23" s="16" t="str">
        <f aca="false">IF(E23&gt;=8.5,"强/防过热",IF(E23&gt;=7.5,"偏强",IF(E23&gt;=6.5,"中性偏强",IF(E23&gt;=5,"中性",IF(E23&gt;=3,"偏弱","低迷")))))</f>
        <v>中性偏强</v>
      </c>
      <c r="G23" s="14" t="s">
        <v>370</v>
      </c>
      <c r="H23" s="14" t="s">
        <v>357</v>
      </c>
      <c r="I23" s="14" t="s">
        <v>358</v>
      </c>
      <c r="J23" s="14" t="s">
        <v>371</v>
      </c>
    </row>
    <row r="24" customFormat="false" ht="42" hidden="false" customHeight="true" outlineLevel="0" collapsed="false">
      <c r="A24" s="14" t="s">
        <v>159</v>
      </c>
      <c r="B24" s="14" t="n">
        <f aca="false">计算机!$P$4</f>
        <v>8.5</v>
      </c>
      <c r="C24" s="14" t="n">
        <f aca="false">计算机!$P$5</f>
        <v>7.6</v>
      </c>
      <c r="D24" s="14" t="n">
        <f aca="false">计算机!$P$6</f>
        <v>6.6</v>
      </c>
      <c r="E24" s="15" t="n">
        <f aca="false">计算机!$G$18</f>
        <v>7.9</v>
      </c>
      <c r="F24" s="16" t="str">
        <f aca="false">IF(E24&gt;=8.5,"强/防过热",IF(E24&gt;=7.5,"偏强",IF(E24&gt;=6.5,"中性偏强",IF(E24&gt;=5,"中性",IF(E24&gt;=3,"偏弱","低迷")))))</f>
        <v>偏强</v>
      </c>
      <c r="G24" s="14" t="s">
        <v>362</v>
      </c>
      <c r="H24" s="14" t="s">
        <v>357</v>
      </c>
      <c r="I24" s="14" t="s">
        <v>358</v>
      </c>
      <c r="J24" s="14" t="s">
        <v>363</v>
      </c>
    </row>
    <row r="25" customFormat="false" ht="42" hidden="false" customHeight="true" outlineLevel="0" collapsed="false">
      <c r="A25" s="14" t="s">
        <v>166</v>
      </c>
      <c r="B25" s="14" t="n">
        <f aca="false">传媒!$P$4</f>
        <v>7.2</v>
      </c>
      <c r="C25" s="14" t="n">
        <f aca="false">传媒!$P$5</f>
        <v>7</v>
      </c>
      <c r="D25" s="14" t="n">
        <f aca="false">传媒!$P$6</f>
        <v>6.6</v>
      </c>
      <c r="E25" s="15" t="n">
        <f aca="false">传媒!$G$18</f>
        <v>7</v>
      </c>
      <c r="F25" s="15" t="str">
        <f aca="false">IF(E25&gt;=8.5,"强/防过热",IF(E25&gt;=7.5,"偏强",IF(E25&gt;=6.5,"中性偏强",IF(E25&gt;=5,"中性",IF(E25&gt;=3,"偏弱","低迷")))))</f>
        <v>中性偏强</v>
      </c>
      <c r="G25" s="14" t="s">
        <v>364</v>
      </c>
      <c r="H25" s="14" t="s">
        <v>357</v>
      </c>
      <c r="I25" s="14" t="s">
        <v>358</v>
      </c>
      <c r="J25" s="14" t="s">
        <v>365</v>
      </c>
    </row>
    <row r="26" customFormat="false" ht="42" hidden="false" customHeight="true" outlineLevel="0" collapsed="false">
      <c r="A26" s="14" t="s">
        <v>173</v>
      </c>
      <c r="B26" s="14" t="n">
        <f aca="false">通信!$P$4</f>
        <v>9.5</v>
      </c>
      <c r="C26" s="14" t="n">
        <f aca="false">通信!$P$5</f>
        <v>8.5</v>
      </c>
      <c r="D26" s="14" t="n">
        <f aca="false">通信!$P$6</f>
        <v>8</v>
      </c>
      <c r="E26" s="16" t="n">
        <f aca="false">通信!$G$18</f>
        <v>8.9</v>
      </c>
      <c r="F26" s="16" t="str">
        <f aca="false">IF(E26&gt;=8.5,"强/防过热",IF(E26&gt;=7.5,"偏强",IF(E26&gt;=6.5,"中性偏强",IF(E26&gt;=5,"中性",IF(E26&gt;=3,"偏弱","低迷")))))</f>
        <v>强/防过热</v>
      </c>
      <c r="G26" s="14" t="s">
        <v>362</v>
      </c>
      <c r="H26" s="14" t="s">
        <v>357</v>
      </c>
      <c r="I26" s="14" t="s">
        <v>358</v>
      </c>
      <c r="J26" s="14" t="s">
        <v>363</v>
      </c>
    </row>
    <row r="27" customFormat="false" ht="42" hidden="false" customHeight="true" outlineLevel="0" collapsed="false">
      <c r="A27" s="14" t="s">
        <v>179</v>
      </c>
      <c r="B27" s="14" t="n">
        <f aca="false">银行!$P$4</f>
        <v>8</v>
      </c>
      <c r="C27" s="14" t="n">
        <f aca="false">银行!$P$5</f>
        <v>6.5</v>
      </c>
      <c r="D27" s="14" t="n">
        <f aca="false">银行!$P$6</f>
        <v>6.6</v>
      </c>
      <c r="E27" s="15" t="n">
        <f aca="false">银行!$G$18</f>
        <v>7</v>
      </c>
      <c r="F27" s="15" t="str">
        <f aca="false">IF(E27&gt;=8.5,"强/防过热",IF(E27&gt;=7.5,"偏强",IF(E27&gt;=6.5,"中性偏强",IF(E27&gt;=5,"中性",IF(E27&gt;=3,"偏弱","低迷")))))</f>
        <v>中性偏强</v>
      </c>
      <c r="G27" s="14" t="s">
        <v>366</v>
      </c>
      <c r="H27" s="14" t="s">
        <v>357</v>
      </c>
      <c r="I27" s="14" t="s">
        <v>358</v>
      </c>
      <c r="J27" s="14" t="s">
        <v>367</v>
      </c>
    </row>
    <row r="28" customFormat="false" ht="42" hidden="false" customHeight="true" outlineLevel="0" collapsed="false">
      <c r="A28" s="14" t="s">
        <v>186</v>
      </c>
      <c r="B28" s="14" t="n">
        <f aca="false">非银金融!$P$4</f>
        <v>7.1</v>
      </c>
      <c r="C28" s="14" t="n">
        <f aca="false">非银金融!$P$5</f>
        <v>7.1</v>
      </c>
      <c r="D28" s="14" t="n">
        <f aca="false">非银金融!$P$6</f>
        <v>7.4</v>
      </c>
      <c r="E28" s="15" t="n">
        <f aca="false">非银金融!$G$18</f>
        <v>7.2</v>
      </c>
      <c r="F28" s="16" t="str">
        <f aca="false">IF(E28&gt;=8.5,"强/防过热",IF(E28&gt;=7.5,"偏强",IF(E28&gt;=6.5,"中性偏强",IF(E28&gt;=5,"中性",IF(E28&gt;=3,"偏弱","低迷")))))</f>
        <v>中性偏强</v>
      </c>
      <c r="G28" s="14" t="s">
        <v>372</v>
      </c>
      <c r="H28" s="14" t="s">
        <v>357</v>
      </c>
      <c r="I28" s="14" t="s">
        <v>358</v>
      </c>
      <c r="J28" s="14" t="s">
        <v>373</v>
      </c>
    </row>
    <row r="29" customFormat="false" ht="42" hidden="false" customHeight="true" outlineLevel="0" collapsed="false">
      <c r="A29" s="14" t="s">
        <v>193</v>
      </c>
      <c r="B29" s="14" t="n">
        <f aca="false">汽车!$P$4</f>
        <v>7.3</v>
      </c>
      <c r="C29" s="14" t="n">
        <f aca="false">汽车!$P$5</f>
        <v>8</v>
      </c>
      <c r="D29" s="14" t="n">
        <f aca="false">汽车!$P$6</f>
        <v>7.4</v>
      </c>
      <c r="E29" s="15" t="n">
        <f aca="false">汽车!$G$18</f>
        <v>7.6</v>
      </c>
      <c r="F29" s="16" t="str">
        <f aca="false">IF(E29&gt;=8.5,"强/防过热",IF(E29&gt;=7.5,"偏强",IF(E29&gt;=6.5,"中性偏强",IF(E29&gt;=5,"中性",IF(E29&gt;=3,"偏弱","低迷")))))</f>
        <v>偏强</v>
      </c>
      <c r="G29" s="14" t="s">
        <v>364</v>
      </c>
      <c r="H29" s="14" t="s">
        <v>357</v>
      </c>
      <c r="I29" s="14" t="s">
        <v>358</v>
      </c>
      <c r="J29" s="14" t="s">
        <v>365</v>
      </c>
    </row>
    <row r="30" customFormat="false" ht="42" hidden="false" customHeight="true" outlineLevel="0" collapsed="false">
      <c r="A30" s="14" t="s">
        <v>200</v>
      </c>
      <c r="B30" s="14" t="n">
        <f aca="false">机械设备!$P$4</f>
        <v>7.5</v>
      </c>
      <c r="C30" s="14" t="n">
        <f aca="false">机械设备!$P$5</f>
        <v>7.5</v>
      </c>
      <c r="D30" s="14" t="n">
        <f aca="false">机械设备!$P$6</f>
        <v>6</v>
      </c>
      <c r="E30" s="15" t="n">
        <f aca="false">机械设备!$G$18</f>
        <v>7.2</v>
      </c>
      <c r="F30" s="15" t="str">
        <f aca="false">IF(E30&gt;=8.5,"强/防过热",IF(E30&gt;=7.5,"偏强",IF(E30&gt;=6.5,"中性偏强",IF(E30&gt;=5,"中性",IF(E30&gt;=3,"偏弱","低迷")))))</f>
        <v>中性偏强</v>
      </c>
      <c r="G30" s="14" t="s">
        <v>362</v>
      </c>
      <c r="H30" s="14" t="s">
        <v>357</v>
      </c>
      <c r="I30" s="14" t="s">
        <v>358</v>
      </c>
      <c r="J30" s="14" t="s">
        <v>363</v>
      </c>
    </row>
    <row r="31" customFormat="false" ht="42" hidden="false" customHeight="true" outlineLevel="0" collapsed="false">
      <c r="A31" s="14" t="s">
        <v>207</v>
      </c>
      <c r="B31" s="14" t="n">
        <f aca="false">煤炭!$P$4</f>
        <v>7.6</v>
      </c>
      <c r="C31" s="14" t="n">
        <f aca="false">煤炭!$P$5</f>
        <v>7.6</v>
      </c>
      <c r="D31" s="14" t="n">
        <f aca="false">煤炭!$P$6</f>
        <v>6.6</v>
      </c>
      <c r="E31" s="15" t="n">
        <f aca="false">煤炭!$G$18</f>
        <v>7.5</v>
      </c>
      <c r="F31" s="16" t="str">
        <f aca="false">IF(E31&gt;=8.5,"强/防过热",IF(E31&gt;=7.5,"偏强",IF(E31&gt;=6.5,"中性偏强",IF(E31&gt;=5,"中性",IF(E31&gt;=3,"偏弱","低迷")))))</f>
        <v>偏强</v>
      </c>
      <c r="G31" s="14" t="s">
        <v>356</v>
      </c>
      <c r="H31" s="14" t="s">
        <v>357</v>
      </c>
      <c r="I31" s="14" t="s">
        <v>358</v>
      </c>
      <c r="J31" s="14" t="s">
        <v>359</v>
      </c>
    </row>
    <row r="32" customFormat="false" ht="42" hidden="false" customHeight="true" outlineLevel="0" collapsed="false">
      <c r="A32" s="14" t="s">
        <v>214</v>
      </c>
      <c r="B32" s="14" t="n">
        <f aca="false">石油石化!$P$4</f>
        <v>7.6</v>
      </c>
      <c r="C32" s="14" t="n">
        <f aca="false">石油石化!$P$5</f>
        <v>6</v>
      </c>
      <c r="D32" s="14" t="n">
        <f aca="false">石油石化!$P$6</f>
        <v>6.6</v>
      </c>
      <c r="E32" s="15" t="n">
        <f aca="false">石油石化!$G$18</f>
        <v>6.9</v>
      </c>
      <c r="F32" s="15" t="str">
        <f aca="false">IF(E32&gt;=8.5,"强/防过热",IF(E32&gt;=7.5,"偏强",IF(E32&gt;=6.5,"中性偏强",IF(E32&gt;=5,"中性",IF(E32&gt;=3,"偏弱","低迷")))))</f>
        <v>中性偏强</v>
      </c>
      <c r="G32" s="14" t="s">
        <v>356</v>
      </c>
      <c r="H32" s="14" t="s">
        <v>357</v>
      </c>
      <c r="I32" s="14" t="s">
        <v>358</v>
      </c>
      <c r="J32" s="14" t="s">
        <v>359</v>
      </c>
    </row>
    <row r="33" customFormat="false" ht="42" hidden="false" customHeight="true" outlineLevel="0" collapsed="false">
      <c r="A33" s="14" t="s">
        <v>221</v>
      </c>
      <c r="B33" s="14" t="n">
        <f aca="false">环保!$P$4</f>
        <v>8</v>
      </c>
      <c r="C33" s="14" t="n">
        <f aca="false">环保!$P$5</f>
        <v>6.5</v>
      </c>
      <c r="D33" s="14" t="n">
        <f aca="false">环保!$P$6</f>
        <v>6</v>
      </c>
      <c r="E33" s="15" t="n">
        <f aca="false">环保!$G$18</f>
        <v>7.1</v>
      </c>
      <c r="F33" s="16" t="str">
        <f aca="false">IF(E33&gt;=8.5,"强/防过热",IF(E33&gt;=7.5,"偏强",IF(E33&gt;=6.5,"中性偏强",IF(E33&gt;=5,"中性",IF(E33&gt;=3,"偏弱","低迷")))))</f>
        <v>中性偏强</v>
      </c>
      <c r="G33" s="14" t="s">
        <v>370</v>
      </c>
      <c r="H33" s="14" t="s">
        <v>357</v>
      </c>
      <c r="I33" s="14" t="s">
        <v>358</v>
      </c>
      <c r="J33" s="14" t="s">
        <v>371</v>
      </c>
    </row>
    <row r="34" customFormat="false" ht="42" hidden="false" customHeight="true" outlineLevel="0" collapsed="false">
      <c r="A34" s="14" t="s">
        <v>228</v>
      </c>
      <c r="B34" s="14" t="n">
        <f aca="false">美容护理!$P$4</f>
        <v>5.8</v>
      </c>
      <c r="C34" s="14" t="n">
        <f aca="false">美容护理!$P$5</f>
        <v>7.6</v>
      </c>
      <c r="D34" s="14" t="n">
        <f aca="false">美容护理!$P$6</f>
        <v>7.2</v>
      </c>
      <c r="E34" s="15" t="n">
        <f aca="false">美容护理!$G$18</f>
        <v>6.8</v>
      </c>
      <c r="F34" s="16" t="str">
        <f aca="false">IF(E34&gt;=8.5,"强/防过热",IF(E34&gt;=7.5,"偏强",IF(E34&gt;=6.5,"中性偏强",IF(E34&gt;=5,"中性",IF(E34&gt;=3,"偏弱","低迷")))))</f>
        <v>中性偏强</v>
      </c>
      <c r="G34" s="14" t="s">
        <v>364</v>
      </c>
      <c r="H34" s="14" t="s">
        <v>357</v>
      </c>
      <c r="I34" s="14" t="s">
        <v>358</v>
      </c>
      <c r="J34" s="14" t="s">
        <v>365</v>
      </c>
    </row>
    <row r="35" customFormat="false" ht="42" hidden="false" customHeight="true" outlineLevel="0" collapsed="false">
      <c r="A35" s="14" t="s">
        <v>235</v>
      </c>
      <c r="B35" s="14" t="n">
        <f aca="false">半导体!$P$4</f>
        <v>8</v>
      </c>
      <c r="C35" s="14" t="n">
        <f aca="false">半导体!$P$5</f>
        <v>7.6</v>
      </c>
      <c r="D35" s="14" t="n">
        <f aca="false">半导体!$P$6</f>
        <v>8.6</v>
      </c>
      <c r="E35" s="16" t="n">
        <f aca="false">半导体!$G$22</f>
        <v>8</v>
      </c>
      <c r="F35" s="16" t="str">
        <f aca="false">IF(E35&gt;=8.5,"强/防过热",IF(E35&gt;=7.5,"偏强",IF(E35&gt;=6.5,"中性偏强",IF(E35&gt;=5,"中性",IF(E35&gt;=3,"偏弱","低迷")))))</f>
        <v>偏强</v>
      </c>
      <c r="G35" s="14" t="s">
        <v>362</v>
      </c>
      <c r="H35" s="14" t="s">
        <v>357</v>
      </c>
      <c r="I35" s="14" t="s">
        <v>374</v>
      </c>
      <c r="J35" s="14" t="s">
        <v>363</v>
      </c>
    </row>
    <row r="36" customFormat="false" ht="42" hidden="false" customHeight="true" outlineLevel="0" collapsed="false">
      <c r="A36" s="14" t="s">
        <v>242</v>
      </c>
      <c r="B36" s="14" t="n">
        <f aca="false">新能源!$P$4</f>
        <v>8.6</v>
      </c>
      <c r="C36" s="14" t="n">
        <f aca="false">新能源!$P$5</f>
        <v>6.5</v>
      </c>
      <c r="D36" s="14" t="n">
        <f aca="false">新能源!$P$6</f>
        <v>5.4</v>
      </c>
      <c r="E36" s="15" t="n">
        <f aca="false">新能源!$G$22</f>
        <v>7.3</v>
      </c>
      <c r="F36" s="16" t="str">
        <f aca="false">IF(E36&gt;=8.5,"强/防过热",IF(E36&gt;=7.5,"偏强",IF(E36&gt;=6.5,"中性偏强",IF(E36&gt;=5,"中性",IF(E36&gt;=3,"偏弱","低迷")))))</f>
        <v>中性偏强</v>
      </c>
      <c r="G36" s="14" t="s">
        <v>356</v>
      </c>
      <c r="H36" s="14" t="s">
        <v>357</v>
      </c>
      <c r="I36" s="14" t="s">
        <v>374</v>
      </c>
      <c r="J36" s="14" t="s">
        <v>359</v>
      </c>
    </row>
    <row r="37" customFormat="false" ht="42" hidden="false" customHeight="true" outlineLevel="0" collapsed="false">
      <c r="A37" s="14" t="s">
        <v>249</v>
      </c>
      <c r="B37" s="14" t="n">
        <f aca="false">医药医疗!$P$4</f>
        <v>8</v>
      </c>
      <c r="C37" s="14" t="n">
        <f aca="false">医药医疗!$P$5</f>
        <v>7.2</v>
      </c>
      <c r="D37" s="14" t="n">
        <f aca="false">医药医疗!$P$6</f>
        <v>8</v>
      </c>
      <c r="E37" s="15" t="n">
        <f aca="false">医药医疗!$G$22</f>
        <v>7.7</v>
      </c>
      <c r="F37" s="16" t="str">
        <f aca="false">IF(E37&gt;=8.5,"强/防过热",IF(E37&gt;=7.5,"偏强",IF(E37&gt;=6.5,"中性偏强",IF(E37&gt;=5,"中性",IF(E37&gt;=3,"偏弱","低迷")))))</f>
        <v>偏强</v>
      </c>
      <c r="G37" s="14" t="s">
        <v>362</v>
      </c>
      <c r="H37" s="14" t="s">
        <v>357</v>
      </c>
      <c r="I37" s="14" t="s">
        <v>374</v>
      </c>
      <c r="J37" s="14" t="s">
        <v>363</v>
      </c>
    </row>
    <row r="38" customFormat="false" ht="42" hidden="false" customHeight="true" outlineLevel="0" collapsed="false">
      <c r="A38" s="14" t="s">
        <v>256</v>
      </c>
      <c r="B38" s="14" t="n">
        <f aca="false">高端制造!$P$4</f>
        <v>7.6</v>
      </c>
      <c r="C38" s="14" t="n">
        <f aca="false">高端制造!$P$5</f>
        <v>7</v>
      </c>
      <c r="D38" s="14" t="n">
        <f aca="false">高端制造!$P$6</f>
        <v>6</v>
      </c>
      <c r="E38" s="15" t="n">
        <f aca="false">高端制造!$G$19</f>
        <v>7.2</v>
      </c>
      <c r="F38" s="15" t="str">
        <f aca="false">IF(E38&gt;=8.5,"强/防过热",IF(E38&gt;=7.5,"偏强",IF(E38&gt;=6.5,"中性偏强",IF(E38&gt;=5,"中性",IF(E38&gt;=3,"偏弱","低迷")))))</f>
        <v>中性偏强</v>
      </c>
      <c r="G38" s="14" t="s">
        <v>362</v>
      </c>
      <c r="H38" s="14" t="s">
        <v>357</v>
      </c>
      <c r="I38" s="14" t="s">
        <v>374</v>
      </c>
      <c r="J38" s="14" t="s">
        <v>363</v>
      </c>
    </row>
    <row r="39" customFormat="false" ht="42" hidden="false" customHeight="true" outlineLevel="0" collapsed="false">
      <c r="A39" s="14" t="s">
        <v>263</v>
      </c>
      <c r="B39" s="14" t="n">
        <f aca="false">人形机器人!$P$4</f>
        <v>8.4</v>
      </c>
      <c r="C39" s="14" t="n">
        <f aca="false">人形机器人!$P$5</f>
        <v>7.6</v>
      </c>
      <c r="D39" s="14" t="n">
        <f aca="false">人形机器人!$P$6</f>
        <v>5.8</v>
      </c>
      <c r="E39" s="15" t="n">
        <f aca="false">人形机器人!$G$19</f>
        <v>7.8</v>
      </c>
      <c r="F39" s="15" t="str">
        <f aca="false">IF(E39&gt;=8.5,"强/防过热",IF(E39&gt;=7.5,"偏强",IF(E39&gt;=6.5,"中性偏强",IF(E39&gt;=5,"中性",IF(E39&gt;=3,"偏弱","低迷")))))</f>
        <v>偏强</v>
      </c>
      <c r="G39" s="14" t="s">
        <v>375</v>
      </c>
      <c r="H39" s="14" t="s">
        <v>357</v>
      </c>
      <c r="I39" s="14" t="s">
        <v>374</v>
      </c>
      <c r="J39" s="14" t="s">
        <v>376</v>
      </c>
    </row>
    <row r="40" customFormat="false" ht="42" hidden="false" customHeight="true" outlineLevel="0" collapsed="false">
      <c r="A40" s="19" t="s">
        <v>377</v>
      </c>
      <c r="B40" s="14" t="n">
        <f aca="false">AI算力!$P$4</f>
        <v>9.4</v>
      </c>
      <c r="C40" s="14" t="n">
        <f aca="false">AI算力!$P$5</f>
        <v>8.5</v>
      </c>
      <c r="D40" s="14" t="n">
        <f aca="false">AI算力!$P$6</f>
        <v>8</v>
      </c>
      <c r="E40" s="16" t="n">
        <f aca="false">AI算力!$G$19</f>
        <v>8.9</v>
      </c>
      <c r="F40" s="16" t="str">
        <f aca="false">IF(E40&gt;=8.5,"强/防过热",IF(E40&gt;=7.5,"偏强",IF(E40&gt;=6.5,"中性偏强",IF(E40&gt;=5,"中性",IF(E40&gt;=3,"偏弱","低迷")))))</f>
        <v>强/防过热</v>
      </c>
      <c r="G40" s="14" t="s">
        <v>375</v>
      </c>
      <c r="H40" s="14" t="s">
        <v>357</v>
      </c>
      <c r="I40" s="14" t="s">
        <v>374</v>
      </c>
      <c r="J40" s="14" t="s">
        <v>376</v>
      </c>
    </row>
    <row r="41" customFormat="false" ht="42" hidden="false" customHeight="true" outlineLevel="0" collapsed="false">
      <c r="A41" s="14" t="s">
        <v>277</v>
      </c>
      <c r="B41" s="14" t="n">
        <f aca="false">锂电!$P$4</f>
        <v>7.8</v>
      </c>
      <c r="C41" s="14" t="n">
        <f aca="false">锂电!$P$5</f>
        <v>8</v>
      </c>
      <c r="D41" s="14" t="n">
        <f aca="false">锂电!$P$6</f>
        <v>5.5</v>
      </c>
      <c r="E41" s="15" t="n">
        <f aca="false">锂电!$G$24</f>
        <v>7.5</v>
      </c>
      <c r="F41" s="16" t="str">
        <f aca="false">IF(E41&gt;=8.5,"强/防过热",IF(E41&gt;=7.5,"偏强",IF(E41&gt;=6.5,"中性偏强",IF(E41&gt;=5,"中性",IF(E41&gt;=3,"偏弱","低迷")))))</f>
        <v>偏强</v>
      </c>
      <c r="G41" s="14" t="s">
        <v>356</v>
      </c>
      <c r="H41" s="14" t="s">
        <v>357</v>
      </c>
      <c r="I41" s="14" t="s">
        <v>374</v>
      </c>
      <c r="J41" s="14" t="s">
        <v>359</v>
      </c>
    </row>
    <row r="42" customFormat="false" ht="42" hidden="false" customHeight="true" outlineLevel="0" collapsed="false">
      <c r="A42" s="14" t="s">
        <v>284</v>
      </c>
      <c r="B42" s="14" t="n">
        <f aca="false">光伏!$P$4</f>
        <v>7.7</v>
      </c>
      <c r="C42" s="14" t="n">
        <f aca="false">光伏!$P$5</f>
        <v>7.5</v>
      </c>
      <c r="D42" s="14" t="n">
        <f aca="false">光伏!$P$6</f>
        <v>4.4</v>
      </c>
      <c r="E42" s="15" t="n">
        <f aca="false">光伏!$G$24</f>
        <v>7.1</v>
      </c>
      <c r="F42" s="15" t="str">
        <f aca="false">IF(E42&gt;=8.5,"强/防过热",IF(E42&gt;=7.5,"偏强",IF(E42&gt;=6.5,"中性偏强",IF(E42&gt;=5,"中性",IF(E42&gt;=3,"偏弱","低迷")))))</f>
        <v>中性偏强</v>
      </c>
      <c r="G42" s="14" t="s">
        <v>356</v>
      </c>
      <c r="H42" s="14" t="s">
        <v>357</v>
      </c>
      <c r="I42" s="14" t="s">
        <v>374</v>
      </c>
      <c r="J42" s="14" t="s">
        <v>359</v>
      </c>
    </row>
    <row r="43" customFormat="false" ht="42" hidden="false" customHeight="true" outlineLevel="0" collapsed="false">
      <c r="A43" s="14" t="s">
        <v>291</v>
      </c>
      <c r="B43" s="14" t="n">
        <f aca="false">风电!$P$4</f>
        <v>9.1</v>
      </c>
      <c r="C43" s="14" t="n">
        <f aca="false">风电!$P$5</f>
        <v>7.2</v>
      </c>
      <c r="D43" s="14" t="n">
        <f aca="false">风电!$P$6</f>
        <v>6.6</v>
      </c>
      <c r="E43" s="15" t="n">
        <f aca="false">风电!$G$24</f>
        <v>7.9</v>
      </c>
      <c r="F43" s="16" t="str">
        <f aca="false">IF(E43&gt;=8.5,"强/防过热",IF(E43&gt;=7.5,"偏强",IF(E43&gt;=6.5,"中性偏强",IF(E43&gt;=5,"中性",IF(E43&gt;=3,"偏弱","低迷")))))</f>
        <v>偏强</v>
      </c>
      <c r="G43" s="14" t="s">
        <v>370</v>
      </c>
      <c r="H43" s="14" t="s">
        <v>357</v>
      </c>
      <c r="I43" s="14" t="s">
        <v>374</v>
      </c>
      <c r="J43" s="14" t="s">
        <v>371</v>
      </c>
    </row>
    <row r="44" customFormat="false" ht="42" hidden="false" customHeight="true" outlineLevel="0" collapsed="false">
      <c r="A44" s="14" t="s">
        <v>297</v>
      </c>
      <c r="B44" s="14" t="n">
        <f aca="false">储能!$P$4</f>
        <v>9.2</v>
      </c>
      <c r="C44" s="14" t="n">
        <f aca="false">储能!$P$5</f>
        <v>7.1</v>
      </c>
      <c r="D44" s="14" t="n">
        <f aca="false">储能!$P$6</f>
        <v>7.1</v>
      </c>
      <c r="E44" s="16" t="n">
        <f aca="false">储能!$G$24</f>
        <v>8</v>
      </c>
      <c r="F44" s="16" t="str">
        <f aca="false">IF(E44&gt;=8.5,"强/防过热",IF(E44&gt;=7.5,"偏强",IF(E44&gt;=6.5,"中性偏强",IF(E44&gt;=5,"中性",IF(E44&gt;=3,"偏弱","低迷")))))</f>
        <v>偏强</v>
      </c>
      <c r="G44" s="14" t="s">
        <v>370</v>
      </c>
      <c r="H44" s="14" t="s">
        <v>357</v>
      </c>
      <c r="I44" s="14" t="s">
        <v>374</v>
      </c>
      <c r="J44" s="14" t="s">
        <v>371</v>
      </c>
    </row>
    <row r="45" customFormat="false" ht="42" hidden="false" customHeight="true" outlineLevel="0" collapsed="false">
      <c r="A45" s="20" t="s">
        <v>302</v>
      </c>
      <c r="B45" s="20" t="n">
        <f aca="false">CXO!$P$4</f>
        <v>7.8</v>
      </c>
      <c r="C45" s="20" t="n">
        <f aca="false">CXO!$P$5</f>
        <v>7.4</v>
      </c>
      <c r="D45" s="20" t="n">
        <f aca="false">CXO!$P$6</f>
        <v>7.1</v>
      </c>
      <c r="E45" s="20" t="n">
        <f aca="false">CXO!$G$24</f>
        <v>7.6</v>
      </c>
      <c r="F45" s="20" t="str">
        <f aca="false">IF(E45&gt;=8.5,"强/防过热",IF(E45&gt;=7.5,"偏强",IF(E45&gt;=6.5,"中性偏强",IF(E45&gt;=5,"中性",IF(E45&gt;=3,"偏弱","低迷")))))</f>
        <v>偏强</v>
      </c>
      <c r="G45" s="21" t="s">
        <v>378</v>
      </c>
      <c r="H45" s="21" t="s">
        <v>357</v>
      </c>
      <c r="I45" s="21" t="s">
        <v>374</v>
      </c>
      <c r="J45" s="21" t="s">
        <v>376</v>
      </c>
    </row>
    <row r="46" customFormat="false" ht="42" hidden="false" customHeight="true" outlineLevel="0" collapsed="false">
      <c r="A46" s="14" t="s">
        <v>309</v>
      </c>
      <c r="B46" s="21" t="n">
        <f aca="false">创新药!$P$4</f>
        <v>8</v>
      </c>
      <c r="C46" s="21" t="n">
        <f aca="false">创新药!$P$5</f>
        <v>8</v>
      </c>
      <c r="D46" s="21" t="n">
        <f aca="false">创新药!$P$6</f>
        <v>8.1</v>
      </c>
      <c r="E46" s="21" t="n">
        <f aca="false">创新药!$G$25</f>
        <v>8</v>
      </c>
      <c r="F46" s="21" t="str">
        <f aca="false">IF(E46&gt;=8.5,"强/防过热",IF(E46&gt;=7.5,"偏强",IF(E46&gt;=6.5,"中性偏强",IF(E46&gt;=5,"中性",IF(E46&gt;=3,"偏弱","低迷")))))</f>
        <v>偏强</v>
      </c>
      <c r="G46" s="21" t="s">
        <v>378</v>
      </c>
      <c r="H46" s="21" t="s">
        <v>357</v>
      </c>
      <c r="I46" s="21" t="s">
        <v>374</v>
      </c>
      <c r="J46" s="21" t="s">
        <v>376</v>
      </c>
    </row>
    <row r="47" customFormat="false" ht="13.5" hidden="false" customHeight="true" outlineLevel="0" collapsed="false">
      <c r="A47" s="22"/>
    </row>
    <row r="48" customFormat="false" ht="13.5" hidden="false" customHeight="true" outlineLevel="0" collapsed="false">
      <c r="A48" s="22"/>
    </row>
    <row r="49" customFormat="false" ht="13.5" hidden="false" customHeight="true" outlineLevel="0" collapsed="false">
      <c r="A49" s="23"/>
    </row>
    <row r="50" customFormat="false" ht="13.5" hidden="false" customHeight="true" outlineLevel="0" collapsed="false">
      <c r="A50" s="23"/>
    </row>
  </sheetData>
  <autoFilter ref="A3:J46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379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380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ROUND(SUMPRODUCT(F5:F9,G5:G9)/SUM(F5:F9),1)</f>
        <v>7.2</v>
      </c>
    </row>
    <row r="5" customFormat="false" ht="28.5" hidden="false" customHeight="true" outlineLevel="0" collapsed="false">
      <c r="A5" s="29" t="s">
        <v>399</v>
      </c>
      <c r="B5" s="22" t="s">
        <v>400</v>
      </c>
      <c r="C5" s="29" t="s">
        <v>401</v>
      </c>
      <c r="D5" s="29" t="s">
        <v>402</v>
      </c>
      <c r="E5" s="22" t="s">
        <v>403</v>
      </c>
      <c r="F5" s="30" t="n">
        <v>0.125</v>
      </c>
      <c r="G5" s="31" t="n">
        <v>6</v>
      </c>
      <c r="H5" s="32" t="s">
        <v>404</v>
      </c>
      <c r="I5" s="29" t="s">
        <v>405</v>
      </c>
      <c r="J5" s="33" t="s">
        <v>406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ROUND(SUMPRODUCT(F11:F14,G11:G14)/SUM(F11:F14),1)</f>
        <v>6.5</v>
      </c>
    </row>
    <row r="6" customFormat="false" ht="28.5" hidden="false" customHeight="true" outlineLevel="0" collapsed="false">
      <c r="A6" s="29" t="s">
        <v>411</v>
      </c>
      <c r="B6" s="22" t="s">
        <v>412</v>
      </c>
      <c r="C6" s="29" t="s">
        <v>413</v>
      </c>
      <c r="D6" s="29" t="s">
        <v>402</v>
      </c>
      <c r="E6" s="22" t="s">
        <v>414</v>
      </c>
      <c r="F6" s="30" t="n">
        <v>0.125</v>
      </c>
      <c r="G6" s="34" t="n">
        <v>9</v>
      </c>
      <c r="H6" s="32" t="s">
        <v>415</v>
      </c>
      <c r="I6" s="29" t="s">
        <v>416</v>
      </c>
      <c r="J6" s="33" t="s">
        <v>417</v>
      </c>
      <c r="K6" s="22" t="s">
        <v>418</v>
      </c>
      <c r="L6" s="1" t="n">
        <v>0.15</v>
      </c>
      <c r="M6" s="7" t="s">
        <v>408</v>
      </c>
      <c r="N6" s="7" t="s">
        <v>419</v>
      </c>
      <c r="O6" s="1" t="s">
        <v>420</v>
      </c>
      <c r="P6" s="1" t="n">
        <f aca="false">ROUND(SUMPRODUCT(F16:F18,G16:G18)/SUM(F16:F18),1)</f>
        <v>6.6</v>
      </c>
    </row>
    <row r="7" customFormat="false" ht="28.5" hidden="false" customHeight="true" outlineLevel="0" collapsed="false">
      <c r="A7" s="29" t="s">
        <v>421</v>
      </c>
      <c r="B7" s="22" t="s">
        <v>422</v>
      </c>
      <c r="C7" s="29" t="s">
        <v>423</v>
      </c>
      <c r="D7" s="29" t="s">
        <v>402</v>
      </c>
      <c r="E7" s="22" t="s">
        <v>424</v>
      </c>
      <c r="F7" s="30" t="n">
        <v>0.1</v>
      </c>
      <c r="G7" s="34" t="n">
        <v>8</v>
      </c>
      <c r="H7" s="32" t="s">
        <v>425</v>
      </c>
      <c r="I7" s="29" t="s">
        <v>426</v>
      </c>
      <c r="J7" s="33" t="s">
        <v>427</v>
      </c>
      <c r="K7" s="22" t="s">
        <v>407</v>
      </c>
      <c r="L7" s="1" t="n">
        <v>0.12</v>
      </c>
      <c r="M7" s="7" t="s">
        <v>408</v>
      </c>
      <c r="N7" s="7" t="s">
        <v>419</v>
      </c>
    </row>
    <row r="8" customFormat="false" ht="28.5" hidden="false" customHeight="true" outlineLevel="0" collapsed="false">
      <c r="A8" s="29" t="s">
        <v>428</v>
      </c>
      <c r="B8" s="22" t="s">
        <v>429</v>
      </c>
      <c r="C8" s="29" t="s">
        <v>430</v>
      </c>
      <c r="D8" s="29" t="s">
        <v>402</v>
      </c>
      <c r="E8" s="22" t="s">
        <v>431</v>
      </c>
      <c r="F8" s="30" t="n">
        <v>0.0833</v>
      </c>
      <c r="G8" s="31" t="n">
        <v>6</v>
      </c>
      <c r="H8" s="32" t="s">
        <v>432</v>
      </c>
      <c r="I8" s="29" t="s">
        <v>433</v>
      </c>
      <c r="J8" s="33" t="s">
        <v>434</v>
      </c>
      <c r="K8" s="22" t="s">
        <v>407</v>
      </c>
      <c r="L8" s="1" t="n">
        <v>0.1</v>
      </c>
      <c r="M8" s="7" t="s">
        <v>408</v>
      </c>
      <c r="N8" s="7" t="s">
        <v>409</v>
      </c>
    </row>
    <row r="9" customFormat="false" ht="28.5" hidden="false" customHeight="true" outlineLevel="0" collapsed="false">
      <c r="A9" s="29" t="s">
        <v>435</v>
      </c>
      <c r="B9" s="22" t="s">
        <v>436</v>
      </c>
      <c r="C9" s="29" t="s">
        <v>437</v>
      </c>
      <c r="D9" s="29" t="s">
        <v>402</v>
      </c>
      <c r="E9" s="22" t="s">
        <v>403</v>
      </c>
      <c r="F9" s="30" t="n">
        <v>0.0667</v>
      </c>
      <c r="G9" s="31" t="n">
        <v>6</v>
      </c>
      <c r="H9" s="32" t="s">
        <v>438</v>
      </c>
      <c r="I9" s="29" t="s">
        <v>439</v>
      </c>
      <c r="J9" s="33" t="s">
        <v>440</v>
      </c>
      <c r="K9" s="22" t="s">
        <v>441</v>
      </c>
      <c r="L9" s="1" t="n">
        <v>0.08</v>
      </c>
      <c r="M9" s="7" t="s">
        <v>408</v>
      </c>
      <c r="N9" s="7" t="s">
        <v>409</v>
      </c>
    </row>
    <row r="10" customFormat="false" ht="13.5" hidden="false" customHeight="true" outlineLevel="0" collapsed="false">
      <c r="A10" s="28" t="s">
        <v>442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28.5" hidden="false" customHeight="true" outlineLevel="0" collapsed="false">
      <c r="A11" s="29" t="s">
        <v>443</v>
      </c>
      <c r="B11" s="22" t="s">
        <v>400</v>
      </c>
      <c r="C11" s="29" t="s">
        <v>444</v>
      </c>
      <c r="D11" s="22" t="s">
        <v>445</v>
      </c>
      <c r="E11" s="22" t="s">
        <v>431</v>
      </c>
      <c r="F11" s="30" t="n">
        <v>0.1312</v>
      </c>
      <c r="G11" s="31" t="n">
        <v>6</v>
      </c>
      <c r="H11" s="32" t="s">
        <v>446</v>
      </c>
      <c r="I11" s="29" t="s">
        <v>447</v>
      </c>
      <c r="J11" s="33" t="s">
        <v>448</v>
      </c>
      <c r="K11" s="22" t="s">
        <v>418</v>
      </c>
      <c r="L11" s="1" t="n">
        <v>0.15</v>
      </c>
      <c r="M11" s="7" t="s">
        <v>449</v>
      </c>
      <c r="N11" s="7" t="s">
        <v>419</v>
      </c>
    </row>
    <row r="12" customFormat="false" ht="28.5" hidden="false" customHeight="true" outlineLevel="0" collapsed="false">
      <c r="A12" s="29" t="s">
        <v>450</v>
      </c>
      <c r="B12" s="22" t="s">
        <v>451</v>
      </c>
      <c r="C12" s="29" t="s">
        <v>452</v>
      </c>
      <c r="D12" s="22" t="s">
        <v>445</v>
      </c>
      <c r="E12" s="22" t="s">
        <v>431</v>
      </c>
      <c r="F12" s="30" t="n">
        <v>0.0875</v>
      </c>
      <c r="G12" s="34" t="n">
        <v>8</v>
      </c>
      <c r="H12" s="32" t="s">
        <v>453</v>
      </c>
      <c r="I12" s="29" t="s">
        <v>454</v>
      </c>
      <c r="J12" s="33" t="s">
        <v>455</v>
      </c>
      <c r="K12" s="22" t="s">
        <v>418</v>
      </c>
      <c r="L12" s="1" t="n">
        <v>0.1</v>
      </c>
      <c r="M12" s="7" t="s">
        <v>449</v>
      </c>
      <c r="N12" s="7" t="s">
        <v>419</v>
      </c>
    </row>
    <row r="13" customFormat="false" ht="28.5" hidden="false" customHeight="true" outlineLevel="0" collapsed="false">
      <c r="A13" s="29" t="s">
        <v>456</v>
      </c>
      <c r="B13" s="22" t="s">
        <v>400</v>
      </c>
      <c r="C13" s="29" t="s">
        <v>457</v>
      </c>
      <c r="D13" s="22" t="s">
        <v>458</v>
      </c>
      <c r="E13" s="22" t="s">
        <v>431</v>
      </c>
      <c r="F13" s="30" t="n">
        <v>0.07</v>
      </c>
      <c r="G13" s="31" t="n">
        <v>6</v>
      </c>
      <c r="H13" s="32" t="s">
        <v>459</v>
      </c>
      <c r="I13" s="29" t="s">
        <v>460</v>
      </c>
      <c r="J13" s="33" t="s">
        <v>461</v>
      </c>
      <c r="K13" s="22" t="s">
        <v>418</v>
      </c>
      <c r="L13" s="1" t="n">
        <v>0.08</v>
      </c>
      <c r="M13" s="7" t="s">
        <v>449</v>
      </c>
      <c r="N13" s="7" t="s">
        <v>419</v>
      </c>
    </row>
    <row r="14" customFormat="false" ht="28.5" hidden="false" customHeight="true" outlineLevel="0" collapsed="false">
      <c r="A14" s="29" t="s">
        <v>462</v>
      </c>
      <c r="B14" s="22" t="s">
        <v>400</v>
      </c>
      <c r="C14" s="29" t="s">
        <v>463</v>
      </c>
      <c r="D14" s="22" t="s">
        <v>458</v>
      </c>
      <c r="E14" s="22" t="s">
        <v>431</v>
      </c>
      <c r="F14" s="30" t="n">
        <v>0.0612</v>
      </c>
      <c r="G14" s="31" t="n">
        <v>6</v>
      </c>
      <c r="H14" s="32" t="s">
        <v>464</v>
      </c>
      <c r="I14" s="29" t="s">
        <v>465</v>
      </c>
      <c r="J14" s="33" t="s">
        <v>466</v>
      </c>
      <c r="K14" s="22" t="s">
        <v>467</v>
      </c>
      <c r="L14" s="1" t="n">
        <v>0.07</v>
      </c>
      <c r="M14" s="7" t="s">
        <v>449</v>
      </c>
      <c r="N14" s="7" t="s">
        <v>419</v>
      </c>
    </row>
    <row r="15" customFormat="false" ht="13.5" hidden="false" customHeight="true" outlineLevel="0" collapsed="false">
      <c r="A15" s="28" t="s">
        <v>468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customFormat="false" ht="28.5" hidden="false" customHeight="true" outlineLevel="0" collapsed="false">
      <c r="A16" s="29" t="s">
        <v>469</v>
      </c>
      <c r="B16" s="22" t="s">
        <v>470</v>
      </c>
      <c r="C16" s="29" t="s">
        <v>471</v>
      </c>
      <c r="D16" s="29" t="s">
        <v>472</v>
      </c>
      <c r="E16" s="22" t="s">
        <v>431</v>
      </c>
      <c r="F16" s="30" t="n">
        <v>0.06</v>
      </c>
      <c r="G16" s="31" t="n">
        <v>6</v>
      </c>
      <c r="H16" s="32" t="s">
        <v>473</v>
      </c>
      <c r="I16" s="29" t="s">
        <v>439</v>
      </c>
      <c r="J16" s="32" t="s">
        <v>474</v>
      </c>
      <c r="K16" s="22" t="s">
        <v>475</v>
      </c>
      <c r="L16" s="1" t="n">
        <v>0.1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478</v>
      </c>
      <c r="B17" s="22" t="s">
        <v>436</v>
      </c>
      <c r="C17" s="29" t="s">
        <v>479</v>
      </c>
      <c r="D17" s="29" t="s">
        <v>402</v>
      </c>
      <c r="E17" s="22" t="s">
        <v>431</v>
      </c>
      <c r="F17" s="30" t="n">
        <v>0.048</v>
      </c>
      <c r="G17" s="34" t="n">
        <v>8</v>
      </c>
      <c r="H17" s="32" t="s">
        <v>473</v>
      </c>
      <c r="I17" s="29" t="s">
        <v>480</v>
      </c>
      <c r="J17" s="33" t="s">
        <v>481</v>
      </c>
      <c r="K17" s="22" t="s">
        <v>475</v>
      </c>
      <c r="L17" s="1" t="n">
        <v>0.08</v>
      </c>
      <c r="M17" s="7" t="s">
        <v>476</v>
      </c>
      <c r="N17" s="7" t="s">
        <v>409</v>
      </c>
    </row>
    <row r="18" customFormat="false" ht="28.5" hidden="false" customHeight="true" outlineLevel="0" collapsed="false">
      <c r="A18" s="29" t="s">
        <v>482</v>
      </c>
      <c r="B18" s="22" t="s">
        <v>436</v>
      </c>
      <c r="C18" s="29" t="s">
        <v>401</v>
      </c>
      <c r="D18" s="29" t="s">
        <v>472</v>
      </c>
      <c r="E18" s="22" t="s">
        <v>431</v>
      </c>
      <c r="F18" s="30" t="n">
        <v>0.042</v>
      </c>
      <c r="G18" s="31" t="n">
        <v>6</v>
      </c>
      <c r="H18" s="32" t="s">
        <v>404</v>
      </c>
      <c r="I18" s="29" t="s">
        <v>483</v>
      </c>
      <c r="J18" s="33" t="s">
        <v>484</v>
      </c>
      <c r="K18" s="22" t="s">
        <v>407</v>
      </c>
      <c r="L18" s="1" t="n">
        <v>0.07</v>
      </c>
      <c r="M18" s="7" t="s">
        <v>476</v>
      </c>
      <c r="N18" s="7" t="s">
        <v>409</v>
      </c>
    </row>
    <row r="19" customFormat="false" ht="17.25" hidden="false" customHeight="true" outlineLevel="0" collapsed="false">
      <c r="A19" s="35" t="s">
        <v>485</v>
      </c>
      <c r="B19" s="35"/>
      <c r="C19" s="35"/>
      <c r="D19" s="35"/>
      <c r="E19" s="35"/>
      <c r="F19" s="35"/>
      <c r="G19" s="36" t="n">
        <f aca="false">ROUND(SUMPRODUCT(F5:F18,G5:G18),1)</f>
        <v>6.8</v>
      </c>
      <c r="H19" s="37" t="s">
        <v>486</v>
      </c>
      <c r="I19" s="37"/>
      <c r="J19" s="37"/>
      <c r="K19" s="37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487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488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8</v>
      </c>
    </row>
    <row r="5" customFormat="false" ht="28.5" hidden="false" customHeight="true" outlineLevel="0" collapsed="false">
      <c r="A5" s="29" t="s">
        <v>489</v>
      </c>
      <c r="B5" s="29" t="s">
        <v>490</v>
      </c>
      <c r="C5" s="29" t="s">
        <v>491</v>
      </c>
      <c r="D5" s="22" t="s">
        <v>492</v>
      </c>
      <c r="E5" s="22" t="s">
        <v>424</v>
      </c>
      <c r="F5" s="30" t="n">
        <v>0.15</v>
      </c>
      <c r="G5" s="34" t="n">
        <v>8</v>
      </c>
      <c r="H5" s="32" t="s">
        <v>493</v>
      </c>
      <c r="I5" s="29" t="s">
        <v>447</v>
      </c>
      <c r="J5" s="33" t="s">
        <v>494</v>
      </c>
      <c r="K5" s="22" t="s">
        <v>467</v>
      </c>
      <c r="L5" s="1" t="n">
        <v>0.15</v>
      </c>
      <c r="M5" s="7" t="s">
        <v>408</v>
      </c>
      <c r="N5" s="7" t="s">
        <v>419</v>
      </c>
      <c r="O5" s="1" t="s">
        <v>410</v>
      </c>
      <c r="P5" s="1" t="n">
        <f aca="false">ROUND(SUMPRODUCT(F10:F13,G10:G13)/SUM(F10:F13),1)</f>
        <v>6.8</v>
      </c>
    </row>
    <row r="6" customFormat="false" ht="28.5" hidden="false" customHeight="true" outlineLevel="0" collapsed="false">
      <c r="A6" s="29" t="s">
        <v>495</v>
      </c>
      <c r="B6" s="22" t="s">
        <v>496</v>
      </c>
      <c r="C6" s="29" t="s">
        <v>497</v>
      </c>
      <c r="D6" s="22" t="s">
        <v>498</v>
      </c>
      <c r="E6" s="22" t="s">
        <v>424</v>
      </c>
      <c r="F6" s="30" t="n">
        <v>0.12</v>
      </c>
      <c r="G6" s="34" t="n">
        <v>10</v>
      </c>
      <c r="H6" s="32" t="s">
        <v>499</v>
      </c>
      <c r="I6" s="29" t="s">
        <v>500</v>
      </c>
      <c r="J6" s="33" t="s">
        <v>501</v>
      </c>
      <c r="K6" s="22" t="s">
        <v>418</v>
      </c>
      <c r="L6" s="1" t="n">
        <v>0.12</v>
      </c>
      <c r="M6" s="7" t="s">
        <v>408</v>
      </c>
      <c r="N6" s="7" t="s">
        <v>419</v>
      </c>
      <c r="O6" s="1" t="s">
        <v>420</v>
      </c>
      <c r="P6" s="1" t="n">
        <f aca="false">ROUND(SUMPRODUCT(F15:F17,G15:G17)/SUM(F15:F17),1)</f>
        <v>6.6</v>
      </c>
    </row>
    <row r="7" customFormat="false" ht="28.5" hidden="false" customHeight="true" outlineLevel="0" collapsed="false">
      <c r="A7" s="29" t="s">
        <v>502</v>
      </c>
      <c r="B7" s="22" t="s">
        <v>503</v>
      </c>
      <c r="C7" s="29" t="s">
        <v>504</v>
      </c>
      <c r="D7" s="29" t="s">
        <v>472</v>
      </c>
      <c r="E7" s="22" t="s">
        <v>431</v>
      </c>
      <c r="F7" s="30" t="n">
        <v>0.13</v>
      </c>
      <c r="G7" s="31" t="n">
        <v>6</v>
      </c>
      <c r="H7" s="32" t="s">
        <v>505</v>
      </c>
      <c r="I7" s="29" t="s">
        <v>433</v>
      </c>
      <c r="J7" s="33" t="s">
        <v>506</v>
      </c>
      <c r="K7" s="22" t="s">
        <v>407</v>
      </c>
      <c r="L7" s="1" t="n">
        <v>0.13</v>
      </c>
      <c r="M7" s="7" t="s">
        <v>408</v>
      </c>
      <c r="N7" s="7" t="s">
        <v>477</v>
      </c>
    </row>
    <row r="8" customFormat="false" ht="28.5" hidden="false" customHeight="true" outlineLevel="0" collapsed="false">
      <c r="A8" s="29" t="s">
        <v>507</v>
      </c>
      <c r="B8" s="22" t="s">
        <v>508</v>
      </c>
      <c r="C8" s="29" t="s">
        <v>509</v>
      </c>
      <c r="D8" s="29" t="s">
        <v>472</v>
      </c>
      <c r="E8" s="22" t="s">
        <v>510</v>
      </c>
      <c r="F8" s="30" t="n">
        <v>0.1</v>
      </c>
      <c r="G8" s="34" t="n">
        <v>8</v>
      </c>
      <c r="H8" s="32" t="s">
        <v>511</v>
      </c>
      <c r="I8" s="29" t="s">
        <v>405</v>
      </c>
      <c r="J8" s="33" t="s">
        <v>512</v>
      </c>
      <c r="K8" s="22" t="s">
        <v>475</v>
      </c>
      <c r="L8" s="1" t="n">
        <v>0.1</v>
      </c>
      <c r="M8" s="7" t="s">
        <v>408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513</v>
      </c>
      <c r="B10" s="22" t="s">
        <v>503</v>
      </c>
      <c r="C10" s="29" t="s">
        <v>514</v>
      </c>
      <c r="D10" s="22" t="s">
        <v>458</v>
      </c>
      <c r="E10" s="22" t="s">
        <v>431</v>
      </c>
      <c r="F10" s="30" t="n">
        <v>0.1167</v>
      </c>
      <c r="G10" s="31" t="n">
        <v>6</v>
      </c>
      <c r="H10" s="32" t="s">
        <v>515</v>
      </c>
      <c r="I10" s="29" t="s">
        <v>439</v>
      </c>
      <c r="J10" s="33" t="s">
        <v>516</v>
      </c>
      <c r="K10" s="22" t="s">
        <v>418</v>
      </c>
      <c r="L10" s="1" t="n">
        <v>0.15</v>
      </c>
      <c r="M10" s="7" t="s">
        <v>449</v>
      </c>
      <c r="N10" s="7" t="s">
        <v>419</v>
      </c>
    </row>
    <row r="11" customFormat="false" ht="28.5" hidden="false" customHeight="true" outlineLevel="0" collapsed="false">
      <c r="A11" s="29" t="s">
        <v>517</v>
      </c>
      <c r="B11" s="22" t="s">
        <v>518</v>
      </c>
      <c r="C11" s="29" t="s">
        <v>519</v>
      </c>
      <c r="D11" s="29" t="s">
        <v>520</v>
      </c>
      <c r="E11" s="22" t="s">
        <v>431</v>
      </c>
      <c r="F11" s="30" t="n">
        <v>0.0933</v>
      </c>
      <c r="G11" s="31" t="n">
        <v>6</v>
      </c>
      <c r="H11" s="32" t="s">
        <v>521</v>
      </c>
      <c r="I11" s="29" t="s">
        <v>447</v>
      </c>
      <c r="J11" s="33" t="s">
        <v>522</v>
      </c>
      <c r="K11" s="22" t="s">
        <v>418</v>
      </c>
      <c r="L11" s="1" t="n">
        <v>0.12</v>
      </c>
      <c r="M11" s="7" t="s">
        <v>449</v>
      </c>
      <c r="N11" s="7" t="s">
        <v>419</v>
      </c>
    </row>
    <row r="12" customFormat="false" ht="28.5" hidden="false" customHeight="true" outlineLevel="0" collapsed="false">
      <c r="A12" s="29" t="s">
        <v>523</v>
      </c>
      <c r="B12" s="22" t="s">
        <v>503</v>
      </c>
      <c r="C12" s="29" t="s">
        <v>524</v>
      </c>
      <c r="D12" s="22" t="s">
        <v>525</v>
      </c>
      <c r="E12" s="22" t="s">
        <v>424</v>
      </c>
      <c r="F12" s="30" t="n">
        <v>0.0778</v>
      </c>
      <c r="G12" s="34" t="n">
        <v>8</v>
      </c>
      <c r="H12" s="32" t="s">
        <v>526</v>
      </c>
      <c r="I12" s="29" t="s">
        <v>527</v>
      </c>
      <c r="J12" s="33" t="s">
        <v>528</v>
      </c>
      <c r="K12" s="22" t="s">
        <v>407</v>
      </c>
      <c r="L12" s="1" t="n">
        <v>0.1</v>
      </c>
      <c r="M12" s="7" t="s">
        <v>449</v>
      </c>
      <c r="N12" s="7" t="s">
        <v>529</v>
      </c>
    </row>
    <row r="13" customFormat="false" ht="28.5" hidden="false" customHeight="true" outlineLevel="0" collapsed="false">
      <c r="A13" s="29" t="s">
        <v>530</v>
      </c>
      <c r="B13" s="22" t="s">
        <v>429</v>
      </c>
      <c r="C13" s="29" t="s">
        <v>531</v>
      </c>
      <c r="D13" s="29" t="s">
        <v>402</v>
      </c>
      <c r="E13" s="22" t="s">
        <v>431</v>
      </c>
      <c r="F13" s="30" t="n">
        <v>0.0622</v>
      </c>
      <c r="G13" s="34" t="n">
        <v>8</v>
      </c>
      <c r="H13" s="32" t="s">
        <v>473</v>
      </c>
      <c r="I13" s="29" t="s">
        <v>532</v>
      </c>
      <c r="J13" s="33" t="s">
        <v>533</v>
      </c>
      <c r="K13" s="22" t="s">
        <v>407</v>
      </c>
      <c r="L13" s="1" t="n">
        <v>0.08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14.25" hidden="false" customHeight="true" outlineLevel="0" collapsed="false">
      <c r="A15" s="29" t="s">
        <v>534</v>
      </c>
      <c r="B15" s="22" t="s">
        <v>470</v>
      </c>
      <c r="C15" s="29" t="s">
        <v>535</v>
      </c>
      <c r="D15" s="29" t="s">
        <v>472</v>
      </c>
      <c r="E15" s="22" t="s">
        <v>431</v>
      </c>
      <c r="F15" s="30" t="n">
        <v>0.06</v>
      </c>
      <c r="G15" s="31" t="n">
        <v>6</v>
      </c>
      <c r="H15" s="32" t="s">
        <v>536</v>
      </c>
      <c r="I15" s="29" t="s">
        <v>537</v>
      </c>
      <c r="J15" s="32" t="s">
        <v>538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14.25" hidden="false" customHeight="true" outlineLevel="0" collapsed="false">
      <c r="A16" s="29" t="s">
        <v>539</v>
      </c>
      <c r="B16" s="22" t="s">
        <v>436</v>
      </c>
      <c r="C16" s="29" t="s">
        <v>540</v>
      </c>
      <c r="D16" s="29" t="s">
        <v>402</v>
      </c>
      <c r="E16" s="22" t="s">
        <v>431</v>
      </c>
      <c r="F16" s="30" t="n">
        <v>0.048</v>
      </c>
      <c r="G16" s="34" t="n">
        <v>8</v>
      </c>
      <c r="H16" s="32" t="s">
        <v>541</v>
      </c>
      <c r="I16" s="29" t="s">
        <v>460</v>
      </c>
      <c r="J16" s="33" t="s">
        <v>542</v>
      </c>
      <c r="K16" s="22" t="s">
        <v>475</v>
      </c>
      <c r="L16" s="1" t="n">
        <v>0.08</v>
      </c>
      <c r="M16" s="7" t="s">
        <v>476</v>
      </c>
      <c r="N16" s="7" t="s">
        <v>409</v>
      </c>
    </row>
    <row r="17" customFormat="false" ht="28.5" hidden="false" customHeight="true" outlineLevel="0" collapsed="false">
      <c r="A17" s="29" t="s">
        <v>543</v>
      </c>
      <c r="B17" s="22" t="s">
        <v>436</v>
      </c>
      <c r="C17" s="29" t="s">
        <v>544</v>
      </c>
      <c r="D17" s="29" t="s">
        <v>472</v>
      </c>
      <c r="E17" s="22" t="s">
        <v>431</v>
      </c>
      <c r="F17" s="30" t="n">
        <v>0.042</v>
      </c>
      <c r="G17" s="31" t="n">
        <v>6</v>
      </c>
      <c r="H17" s="32" t="s">
        <v>545</v>
      </c>
      <c r="I17" s="29" t="s">
        <v>447</v>
      </c>
      <c r="J17" s="33" t="s">
        <v>546</v>
      </c>
      <c r="K17" s="22" t="s">
        <v>407</v>
      </c>
      <c r="L17" s="1" t="n">
        <v>0.07</v>
      </c>
      <c r="M17" s="7" t="s">
        <v>476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7.4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547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548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8</v>
      </c>
    </row>
    <row r="5" customFormat="false" ht="28.5" hidden="false" customHeight="true" outlineLevel="0" collapsed="false">
      <c r="A5" s="29" t="s">
        <v>549</v>
      </c>
      <c r="B5" s="22" t="s">
        <v>550</v>
      </c>
      <c r="C5" s="29" t="s">
        <v>551</v>
      </c>
      <c r="D5" s="22" t="s">
        <v>552</v>
      </c>
      <c r="E5" s="22" t="s">
        <v>424</v>
      </c>
      <c r="F5" s="30" t="n">
        <v>0.15</v>
      </c>
      <c r="G5" s="34" t="n">
        <v>8</v>
      </c>
      <c r="H5" s="32" t="s">
        <v>553</v>
      </c>
      <c r="I5" s="29" t="s">
        <v>454</v>
      </c>
      <c r="J5" s="33" t="s">
        <v>554</v>
      </c>
      <c r="K5" s="22" t="s">
        <v>467</v>
      </c>
      <c r="L5" s="1" t="n">
        <v>0.15</v>
      </c>
      <c r="M5" s="7" t="s">
        <v>408</v>
      </c>
      <c r="N5" s="7" t="s">
        <v>419</v>
      </c>
      <c r="O5" s="1" t="s">
        <v>410</v>
      </c>
      <c r="P5" s="1" t="n">
        <f aca="false">ROUND(SUMPRODUCT(F10:F13,G10:G13)/SUM(F10:F13),1)</f>
        <v>6</v>
      </c>
    </row>
    <row r="6" customFormat="false" ht="28.5" hidden="false" customHeight="true" outlineLevel="0" collapsed="false">
      <c r="A6" s="29" t="s">
        <v>555</v>
      </c>
      <c r="B6" s="29" t="s">
        <v>556</v>
      </c>
      <c r="C6" s="29" t="s">
        <v>557</v>
      </c>
      <c r="D6" s="22" t="s">
        <v>498</v>
      </c>
      <c r="E6" s="22" t="s">
        <v>424</v>
      </c>
      <c r="F6" s="30" t="n">
        <v>0.12</v>
      </c>
      <c r="G6" s="34" t="n">
        <v>8</v>
      </c>
      <c r="H6" s="32" t="s">
        <v>558</v>
      </c>
      <c r="I6" s="29" t="s">
        <v>405</v>
      </c>
      <c r="J6" s="33" t="s">
        <v>559</v>
      </c>
      <c r="K6" s="22" t="s">
        <v>418</v>
      </c>
      <c r="L6" s="1" t="n">
        <v>0.12</v>
      </c>
      <c r="M6" s="7" t="s">
        <v>408</v>
      </c>
      <c r="N6" s="7" t="s">
        <v>419</v>
      </c>
      <c r="O6" s="1" t="s">
        <v>420</v>
      </c>
      <c r="P6" s="1" t="n">
        <f aca="false">ROUND(SUMPRODUCT(F15:F17,G15:G17)/SUM(F15:F17),1)</f>
        <v>6</v>
      </c>
    </row>
    <row r="7" customFormat="false" ht="28.5" hidden="false" customHeight="true" outlineLevel="0" collapsed="false">
      <c r="A7" s="29" t="s">
        <v>560</v>
      </c>
      <c r="B7" s="29" t="s">
        <v>561</v>
      </c>
      <c r="C7" s="29" t="s">
        <v>562</v>
      </c>
      <c r="D7" s="29" t="s">
        <v>472</v>
      </c>
      <c r="E7" s="22" t="s">
        <v>431</v>
      </c>
      <c r="F7" s="30" t="n">
        <v>0.13</v>
      </c>
      <c r="G7" s="34" t="n">
        <v>8</v>
      </c>
      <c r="H7" s="32" t="s">
        <v>563</v>
      </c>
      <c r="I7" s="29" t="s">
        <v>460</v>
      </c>
      <c r="J7" s="33" t="s">
        <v>564</v>
      </c>
      <c r="K7" s="22" t="s">
        <v>418</v>
      </c>
      <c r="L7" s="1" t="n">
        <v>0.13</v>
      </c>
      <c r="M7" s="7" t="s">
        <v>408</v>
      </c>
      <c r="N7" s="7" t="s">
        <v>409</v>
      </c>
    </row>
    <row r="8" customFormat="false" ht="28.5" hidden="false" customHeight="true" outlineLevel="0" collapsed="false">
      <c r="A8" s="29" t="s">
        <v>565</v>
      </c>
      <c r="B8" s="29" t="s">
        <v>561</v>
      </c>
      <c r="C8" s="29" t="s">
        <v>566</v>
      </c>
      <c r="D8" s="29" t="s">
        <v>567</v>
      </c>
      <c r="E8" s="22" t="s">
        <v>568</v>
      </c>
      <c r="F8" s="30" t="n">
        <v>0.1</v>
      </c>
      <c r="G8" s="34" t="n">
        <v>8</v>
      </c>
      <c r="H8" s="32" t="s">
        <v>432</v>
      </c>
      <c r="I8" s="29" t="s">
        <v>569</v>
      </c>
      <c r="J8" s="33" t="s">
        <v>570</v>
      </c>
      <c r="K8" s="22" t="s">
        <v>418</v>
      </c>
      <c r="L8" s="1" t="n">
        <v>0.1</v>
      </c>
      <c r="M8" s="7" t="s">
        <v>408</v>
      </c>
      <c r="N8" s="7" t="s">
        <v>529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571</v>
      </c>
      <c r="B10" s="22" t="s">
        <v>572</v>
      </c>
      <c r="C10" s="29" t="s">
        <v>573</v>
      </c>
      <c r="D10" s="22" t="s">
        <v>498</v>
      </c>
      <c r="E10" s="22" t="s">
        <v>431</v>
      </c>
      <c r="F10" s="30" t="n">
        <v>0.1167</v>
      </c>
      <c r="G10" s="31" t="n">
        <v>6</v>
      </c>
      <c r="H10" s="32" t="s">
        <v>574</v>
      </c>
      <c r="I10" s="29" t="s">
        <v>439</v>
      </c>
      <c r="J10" s="33" t="s">
        <v>575</v>
      </c>
      <c r="K10" s="22" t="s">
        <v>467</v>
      </c>
      <c r="L10" s="1" t="n">
        <v>0.15</v>
      </c>
      <c r="M10" s="7" t="s">
        <v>449</v>
      </c>
      <c r="N10" s="7" t="s">
        <v>419</v>
      </c>
    </row>
    <row r="11" customFormat="false" ht="28.5" hidden="false" customHeight="true" outlineLevel="0" collapsed="false">
      <c r="A11" s="29" t="s">
        <v>576</v>
      </c>
      <c r="B11" s="22" t="s">
        <v>572</v>
      </c>
      <c r="C11" s="29" t="s">
        <v>577</v>
      </c>
      <c r="D11" s="22" t="s">
        <v>498</v>
      </c>
      <c r="E11" s="22" t="s">
        <v>431</v>
      </c>
      <c r="F11" s="30" t="n">
        <v>0.0778</v>
      </c>
      <c r="G11" s="31" t="n">
        <v>6</v>
      </c>
      <c r="H11" s="32" t="s">
        <v>578</v>
      </c>
      <c r="I11" s="29" t="s">
        <v>405</v>
      </c>
      <c r="J11" s="33" t="s">
        <v>579</v>
      </c>
      <c r="K11" s="22" t="s">
        <v>467</v>
      </c>
      <c r="L11" s="1" t="n">
        <v>0.1</v>
      </c>
      <c r="M11" s="7" t="s">
        <v>449</v>
      </c>
      <c r="N11" s="7" t="s">
        <v>419</v>
      </c>
    </row>
    <row r="12" customFormat="false" ht="28.5" hidden="false" customHeight="true" outlineLevel="0" collapsed="false">
      <c r="A12" s="29" t="s">
        <v>580</v>
      </c>
      <c r="B12" s="29" t="s">
        <v>561</v>
      </c>
      <c r="C12" s="29" t="s">
        <v>581</v>
      </c>
      <c r="D12" s="29" t="s">
        <v>472</v>
      </c>
      <c r="E12" s="22" t="s">
        <v>431</v>
      </c>
      <c r="F12" s="30" t="n">
        <v>0.0933</v>
      </c>
      <c r="G12" s="31" t="n">
        <v>6</v>
      </c>
      <c r="H12" s="32" t="s">
        <v>582</v>
      </c>
      <c r="I12" s="29" t="s">
        <v>439</v>
      </c>
      <c r="J12" s="33" t="s">
        <v>583</v>
      </c>
      <c r="K12" s="22" t="s">
        <v>418</v>
      </c>
      <c r="L12" s="1" t="n">
        <v>0.12</v>
      </c>
      <c r="M12" s="7" t="s">
        <v>449</v>
      </c>
      <c r="N12" s="7" t="s">
        <v>409</v>
      </c>
    </row>
    <row r="13" customFormat="false" ht="28.5" hidden="false" customHeight="true" outlineLevel="0" collapsed="false">
      <c r="A13" s="29" t="s">
        <v>584</v>
      </c>
      <c r="B13" s="22" t="s">
        <v>436</v>
      </c>
      <c r="C13" s="29" t="s">
        <v>585</v>
      </c>
      <c r="D13" s="22" t="s">
        <v>586</v>
      </c>
      <c r="E13" s="22" t="s">
        <v>431</v>
      </c>
      <c r="F13" s="30" t="n">
        <v>0.0622</v>
      </c>
      <c r="G13" s="31" t="n">
        <v>6</v>
      </c>
      <c r="H13" s="32" t="s">
        <v>587</v>
      </c>
      <c r="I13" s="29" t="s">
        <v>433</v>
      </c>
      <c r="J13" s="33" t="s">
        <v>588</v>
      </c>
      <c r="K13" s="22" t="s">
        <v>407</v>
      </c>
      <c r="L13" s="1" t="n">
        <v>0.08</v>
      </c>
      <c r="M13" s="7" t="s">
        <v>449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590</v>
      </c>
      <c r="B15" s="22" t="s">
        <v>470</v>
      </c>
      <c r="C15" s="29" t="s">
        <v>591</v>
      </c>
      <c r="D15" s="22" t="s">
        <v>592</v>
      </c>
      <c r="E15" s="22" t="s">
        <v>431</v>
      </c>
      <c r="F15" s="30" t="n">
        <v>0.06</v>
      </c>
      <c r="G15" s="31" t="n">
        <v>6</v>
      </c>
      <c r="H15" s="32" t="s">
        <v>593</v>
      </c>
      <c r="I15" s="29" t="s">
        <v>405</v>
      </c>
      <c r="J15" s="32" t="s">
        <v>594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28.5" hidden="false" customHeight="true" outlineLevel="0" collapsed="false">
      <c r="A16" s="29" t="s">
        <v>595</v>
      </c>
      <c r="B16" s="22" t="s">
        <v>436</v>
      </c>
      <c r="C16" s="29" t="s">
        <v>596</v>
      </c>
      <c r="D16" s="29" t="s">
        <v>472</v>
      </c>
      <c r="E16" s="22" t="s">
        <v>431</v>
      </c>
      <c r="F16" s="30" t="n">
        <v>0.048</v>
      </c>
      <c r="G16" s="31" t="n">
        <v>6</v>
      </c>
      <c r="H16" s="32" t="s">
        <v>505</v>
      </c>
      <c r="I16" s="29" t="s">
        <v>433</v>
      </c>
      <c r="J16" s="33" t="s">
        <v>597</v>
      </c>
      <c r="K16" s="22" t="s">
        <v>475</v>
      </c>
      <c r="L16" s="1" t="n">
        <v>0.08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598</v>
      </c>
      <c r="B17" s="22" t="s">
        <v>436</v>
      </c>
      <c r="C17" s="29" t="s">
        <v>599</v>
      </c>
      <c r="D17" s="29" t="s">
        <v>472</v>
      </c>
      <c r="E17" s="22" t="s">
        <v>431</v>
      </c>
      <c r="F17" s="30" t="n">
        <v>0.042</v>
      </c>
      <c r="G17" s="31" t="n">
        <v>6</v>
      </c>
      <c r="H17" s="32" t="s">
        <v>600</v>
      </c>
      <c r="I17" s="29" t="s">
        <v>439</v>
      </c>
      <c r="J17" s="33" t="s">
        <v>546</v>
      </c>
      <c r="K17" s="22" t="s">
        <v>407</v>
      </c>
      <c r="L17" s="1" t="n">
        <v>0.07</v>
      </c>
      <c r="M17" s="7" t="s">
        <v>476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601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602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6.9</v>
      </c>
    </row>
    <row r="5" customFormat="false" ht="28.5" hidden="false" customHeight="true" outlineLevel="0" collapsed="false">
      <c r="A5" s="29" t="s">
        <v>603</v>
      </c>
      <c r="B5" s="29" t="s">
        <v>604</v>
      </c>
      <c r="C5" s="29" t="s">
        <v>605</v>
      </c>
      <c r="D5" s="29" t="s">
        <v>402</v>
      </c>
      <c r="E5" s="22" t="s">
        <v>568</v>
      </c>
      <c r="F5" s="30" t="n">
        <v>0.15</v>
      </c>
      <c r="G5" s="34" t="n">
        <v>8</v>
      </c>
      <c r="H5" s="32" t="s">
        <v>606</v>
      </c>
      <c r="I5" s="29" t="s">
        <v>426</v>
      </c>
      <c r="J5" s="33" t="s">
        <v>607</v>
      </c>
      <c r="K5" s="22" t="s">
        <v>418</v>
      </c>
      <c r="L5" s="1" t="n">
        <v>0.15</v>
      </c>
      <c r="M5" s="7" t="s">
        <v>608</v>
      </c>
      <c r="N5" s="7" t="s">
        <v>529</v>
      </c>
      <c r="O5" s="1" t="s">
        <v>410</v>
      </c>
      <c r="P5" s="1" t="n">
        <f aca="false">ROUND(SUMPRODUCT(F10:F13,G10:G13)/SUM(F10:F13),1)</f>
        <v>8.7</v>
      </c>
    </row>
    <row r="6" customFormat="false" ht="28.5" hidden="false" customHeight="true" outlineLevel="0" collapsed="false">
      <c r="A6" s="29" t="s">
        <v>609</v>
      </c>
      <c r="B6" s="29" t="s">
        <v>610</v>
      </c>
      <c r="C6" s="29" t="s">
        <v>611</v>
      </c>
      <c r="D6" s="22" t="s">
        <v>552</v>
      </c>
      <c r="E6" s="22" t="s">
        <v>424</v>
      </c>
      <c r="F6" s="30" t="n">
        <v>0.12</v>
      </c>
      <c r="G6" s="38" t="n">
        <v>4</v>
      </c>
      <c r="H6" s="32" t="s">
        <v>612</v>
      </c>
      <c r="I6" s="29" t="s">
        <v>613</v>
      </c>
      <c r="J6" s="33" t="s">
        <v>614</v>
      </c>
      <c r="K6" s="22" t="s">
        <v>407</v>
      </c>
      <c r="L6" s="1" t="n">
        <v>0.12</v>
      </c>
      <c r="M6" s="7" t="s">
        <v>608</v>
      </c>
      <c r="N6" s="7" t="s">
        <v>419</v>
      </c>
      <c r="O6" s="1" t="s">
        <v>420</v>
      </c>
      <c r="P6" s="1" t="n">
        <f aca="false">ROUND(SUMPRODUCT(F15:F17,G15:G17)/SUM(F15:F17),1)</f>
        <v>8.6</v>
      </c>
    </row>
    <row r="7" customFormat="false" ht="28.5" hidden="false" customHeight="true" outlineLevel="0" collapsed="false">
      <c r="A7" s="29" t="s">
        <v>615</v>
      </c>
      <c r="B7" s="22" t="s">
        <v>616</v>
      </c>
      <c r="C7" s="29" t="s">
        <v>617</v>
      </c>
      <c r="D7" s="22" t="s">
        <v>458</v>
      </c>
      <c r="E7" s="22" t="s">
        <v>424</v>
      </c>
      <c r="F7" s="30" t="n">
        <v>0.1</v>
      </c>
      <c r="G7" s="34" t="n">
        <v>8</v>
      </c>
      <c r="H7" s="32" t="s">
        <v>618</v>
      </c>
      <c r="I7" s="29" t="s">
        <v>426</v>
      </c>
      <c r="J7" s="33" t="s">
        <v>619</v>
      </c>
      <c r="K7" s="22" t="s">
        <v>467</v>
      </c>
      <c r="L7" s="1" t="n">
        <v>0.1</v>
      </c>
      <c r="M7" s="7" t="s">
        <v>608</v>
      </c>
      <c r="N7" s="7" t="s">
        <v>409</v>
      </c>
    </row>
    <row r="8" customFormat="false" ht="28.5" hidden="false" customHeight="true" outlineLevel="0" collapsed="false">
      <c r="A8" s="29" t="s">
        <v>620</v>
      </c>
      <c r="B8" s="29" t="s">
        <v>621</v>
      </c>
      <c r="C8" s="29" t="s">
        <v>622</v>
      </c>
      <c r="D8" s="29" t="s">
        <v>402</v>
      </c>
      <c r="E8" s="22" t="s">
        <v>431</v>
      </c>
      <c r="F8" s="30" t="n">
        <v>0.08</v>
      </c>
      <c r="G8" s="34" t="n">
        <v>8</v>
      </c>
      <c r="H8" s="32" t="s">
        <v>473</v>
      </c>
      <c r="I8" s="29" t="s">
        <v>532</v>
      </c>
      <c r="J8" s="33" t="s">
        <v>623</v>
      </c>
      <c r="K8" s="22" t="s">
        <v>441</v>
      </c>
      <c r="L8" s="1" t="n">
        <v>0.08</v>
      </c>
      <c r="M8" s="7" t="s">
        <v>608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624</v>
      </c>
      <c r="B10" s="29" t="s">
        <v>604</v>
      </c>
      <c r="C10" s="29" t="s">
        <v>625</v>
      </c>
      <c r="D10" s="22" t="s">
        <v>552</v>
      </c>
      <c r="E10" s="22" t="s">
        <v>431</v>
      </c>
      <c r="F10" s="30" t="n">
        <v>0.1395</v>
      </c>
      <c r="G10" s="34" t="n">
        <v>10</v>
      </c>
      <c r="H10" s="32" t="s">
        <v>626</v>
      </c>
      <c r="I10" s="29" t="s">
        <v>627</v>
      </c>
      <c r="J10" s="33" t="s">
        <v>628</v>
      </c>
      <c r="K10" s="22" t="s">
        <v>467</v>
      </c>
      <c r="L10" s="1" t="n">
        <v>0.15</v>
      </c>
      <c r="M10" s="7" t="s">
        <v>629</v>
      </c>
      <c r="N10" s="7" t="s">
        <v>419</v>
      </c>
    </row>
    <row r="11" customFormat="false" ht="28.5" hidden="false" customHeight="true" outlineLevel="0" collapsed="false">
      <c r="A11" s="29" t="s">
        <v>630</v>
      </c>
      <c r="B11" s="29" t="s">
        <v>610</v>
      </c>
      <c r="C11" s="29" t="s">
        <v>631</v>
      </c>
      <c r="D11" s="22" t="s">
        <v>498</v>
      </c>
      <c r="E11" s="22" t="s">
        <v>431</v>
      </c>
      <c r="F11" s="30" t="n">
        <v>0.093</v>
      </c>
      <c r="G11" s="34" t="n">
        <v>10</v>
      </c>
      <c r="H11" s="32" t="s">
        <v>632</v>
      </c>
      <c r="I11" s="29" t="s">
        <v>416</v>
      </c>
      <c r="J11" s="33" t="s">
        <v>633</v>
      </c>
      <c r="K11" s="22" t="s">
        <v>467</v>
      </c>
      <c r="L11" s="1" t="n">
        <v>0.1</v>
      </c>
      <c r="M11" s="7" t="s">
        <v>629</v>
      </c>
      <c r="N11" s="7" t="s">
        <v>419</v>
      </c>
    </row>
    <row r="12" customFormat="false" ht="28.5" hidden="false" customHeight="true" outlineLevel="0" collapsed="false">
      <c r="A12" s="29" t="s">
        <v>634</v>
      </c>
      <c r="B12" s="29" t="s">
        <v>610</v>
      </c>
      <c r="C12" s="29" t="s">
        <v>635</v>
      </c>
      <c r="D12" s="29" t="s">
        <v>520</v>
      </c>
      <c r="E12" s="22" t="s">
        <v>431</v>
      </c>
      <c r="F12" s="30" t="n">
        <v>0.093</v>
      </c>
      <c r="G12" s="31" t="n">
        <v>6</v>
      </c>
      <c r="H12" s="32" t="s">
        <v>636</v>
      </c>
      <c r="I12" s="29" t="s">
        <v>447</v>
      </c>
      <c r="J12" s="33" t="s">
        <v>637</v>
      </c>
      <c r="K12" s="22" t="s">
        <v>407</v>
      </c>
      <c r="L12" s="1" t="n">
        <v>0.1</v>
      </c>
      <c r="M12" s="7" t="s">
        <v>629</v>
      </c>
      <c r="N12" s="7" t="s">
        <v>409</v>
      </c>
    </row>
    <row r="13" customFormat="false" ht="28.5" hidden="false" customHeight="true" outlineLevel="0" collapsed="false">
      <c r="A13" s="29" t="s">
        <v>638</v>
      </c>
      <c r="B13" s="22" t="s">
        <v>639</v>
      </c>
      <c r="C13" s="29" t="s">
        <v>640</v>
      </c>
      <c r="D13" s="29" t="s">
        <v>402</v>
      </c>
      <c r="E13" s="22" t="s">
        <v>431</v>
      </c>
      <c r="F13" s="30" t="n">
        <v>0.0744</v>
      </c>
      <c r="G13" s="34" t="n">
        <v>8</v>
      </c>
      <c r="H13" s="32" t="s">
        <v>641</v>
      </c>
      <c r="I13" s="29" t="s">
        <v>454</v>
      </c>
      <c r="J13" s="33" t="s">
        <v>642</v>
      </c>
      <c r="K13" s="22" t="s">
        <v>407</v>
      </c>
      <c r="L13" s="1" t="n">
        <v>0.08</v>
      </c>
      <c r="M13" s="7" t="s">
        <v>629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643</v>
      </c>
      <c r="B15" s="22" t="s">
        <v>470</v>
      </c>
      <c r="C15" s="29" t="s">
        <v>644</v>
      </c>
      <c r="D15" s="22" t="s">
        <v>592</v>
      </c>
      <c r="E15" s="22" t="s">
        <v>431</v>
      </c>
      <c r="F15" s="30" t="n">
        <v>0.06</v>
      </c>
      <c r="G15" s="34" t="n">
        <v>8</v>
      </c>
      <c r="H15" s="32" t="s">
        <v>645</v>
      </c>
      <c r="I15" s="29" t="s">
        <v>646</v>
      </c>
      <c r="J15" s="32" t="s">
        <v>647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28.5" hidden="false" customHeight="true" outlineLevel="0" collapsed="false">
      <c r="A16" s="29" t="s">
        <v>648</v>
      </c>
      <c r="B16" s="22" t="s">
        <v>470</v>
      </c>
      <c r="C16" s="29" t="s">
        <v>649</v>
      </c>
      <c r="D16" s="22" t="s">
        <v>525</v>
      </c>
      <c r="E16" s="22" t="s">
        <v>424</v>
      </c>
      <c r="F16" s="30" t="n">
        <v>0.048</v>
      </c>
      <c r="G16" s="34" t="n">
        <v>8</v>
      </c>
      <c r="H16" s="32" t="s">
        <v>650</v>
      </c>
      <c r="I16" s="29" t="s">
        <v>483</v>
      </c>
      <c r="J16" s="33" t="s">
        <v>651</v>
      </c>
      <c r="K16" s="22" t="s">
        <v>475</v>
      </c>
      <c r="L16" s="1" t="n">
        <v>0.08</v>
      </c>
      <c r="M16" s="7" t="s">
        <v>476</v>
      </c>
      <c r="N16" s="7" t="s">
        <v>529</v>
      </c>
    </row>
    <row r="17" customFormat="false" ht="28.5" hidden="false" customHeight="true" outlineLevel="0" collapsed="false">
      <c r="A17" s="29" t="s">
        <v>652</v>
      </c>
      <c r="B17" s="22" t="s">
        <v>436</v>
      </c>
      <c r="C17" s="29" t="s">
        <v>531</v>
      </c>
      <c r="D17" s="29" t="s">
        <v>472</v>
      </c>
      <c r="E17" s="22" t="s">
        <v>431</v>
      </c>
      <c r="F17" s="30" t="n">
        <v>0.042</v>
      </c>
      <c r="G17" s="34" t="n">
        <v>10</v>
      </c>
      <c r="H17" s="32" t="s">
        <v>541</v>
      </c>
      <c r="I17" s="29" t="s">
        <v>653</v>
      </c>
      <c r="J17" s="33" t="s">
        <v>654</v>
      </c>
      <c r="K17" s="22" t="s">
        <v>407</v>
      </c>
      <c r="L17" s="1" t="n">
        <v>0.07</v>
      </c>
      <c r="M17" s="7" t="s">
        <v>476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7.9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655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656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ROUND(SUMPRODUCT(F5:F9,G5:G9)/SUM(F5:F9),1)</f>
        <v>8.2</v>
      </c>
    </row>
    <row r="5" customFormat="false" ht="28.5" hidden="false" customHeight="true" outlineLevel="0" collapsed="false">
      <c r="A5" s="29" t="s">
        <v>657</v>
      </c>
      <c r="B5" s="29" t="s">
        <v>658</v>
      </c>
      <c r="C5" s="29" t="s">
        <v>659</v>
      </c>
      <c r="D5" s="29" t="s">
        <v>402</v>
      </c>
      <c r="E5" s="22" t="s">
        <v>431</v>
      </c>
      <c r="F5" s="30" t="n">
        <v>0.1364</v>
      </c>
      <c r="G5" s="34" t="n">
        <v>8</v>
      </c>
      <c r="H5" s="32" t="s">
        <v>660</v>
      </c>
      <c r="I5" s="29" t="s">
        <v>653</v>
      </c>
      <c r="J5" s="33" t="s">
        <v>661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ROUND(SUMPRODUCT(F11:F14,G11:G14)/SUM(F11:F14),1)</f>
        <v>7.2</v>
      </c>
    </row>
    <row r="6" customFormat="false" ht="28.5" hidden="false" customHeight="true" outlineLevel="0" collapsed="false">
      <c r="A6" s="29" t="s">
        <v>662</v>
      </c>
      <c r="B6" s="29" t="s">
        <v>663</v>
      </c>
      <c r="C6" s="29" t="s">
        <v>664</v>
      </c>
      <c r="D6" s="29" t="s">
        <v>567</v>
      </c>
      <c r="E6" s="22" t="s">
        <v>414</v>
      </c>
      <c r="F6" s="30" t="n">
        <v>0.1091</v>
      </c>
      <c r="G6" s="34" t="n">
        <v>9</v>
      </c>
      <c r="H6" s="33" t="s">
        <v>665</v>
      </c>
      <c r="I6" s="29" t="s">
        <v>666</v>
      </c>
      <c r="J6" s="33" t="s">
        <v>667</v>
      </c>
      <c r="K6" s="22" t="s">
        <v>418</v>
      </c>
      <c r="L6" s="1" t="n">
        <v>0.12</v>
      </c>
      <c r="M6" s="7" t="s">
        <v>408</v>
      </c>
      <c r="N6" s="7" t="s">
        <v>419</v>
      </c>
      <c r="O6" s="1" t="s">
        <v>420</v>
      </c>
      <c r="P6" s="1" t="n">
        <f aca="false">ROUND(SUMPRODUCT(F16:F18,G16:G18)/SUM(F16:F18),1)</f>
        <v>8</v>
      </c>
    </row>
    <row r="7" customFormat="false" ht="28.5" hidden="false" customHeight="true" outlineLevel="0" collapsed="false">
      <c r="A7" s="29" t="s">
        <v>668</v>
      </c>
      <c r="B7" s="29" t="s">
        <v>669</v>
      </c>
      <c r="C7" s="29" t="s">
        <v>670</v>
      </c>
      <c r="D7" s="29" t="s">
        <v>402</v>
      </c>
      <c r="E7" s="22" t="s">
        <v>431</v>
      </c>
      <c r="F7" s="30" t="n">
        <v>0.0909</v>
      </c>
      <c r="G7" s="31" t="n">
        <v>7</v>
      </c>
      <c r="H7" s="32" t="s">
        <v>671</v>
      </c>
      <c r="I7" s="29" t="s">
        <v>672</v>
      </c>
      <c r="J7" s="33" t="s">
        <v>673</v>
      </c>
      <c r="K7" s="22" t="s">
        <v>475</v>
      </c>
      <c r="L7" s="1" t="n">
        <v>0.1</v>
      </c>
      <c r="M7" s="7" t="s">
        <v>408</v>
      </c>
      <c r="N7" s="7" t="s">
        <v>589</v>
      </c>
    </row>
    <row r="8" customFormat="false" ht="28.5" hidden="false" customHeight="true" outlineLevel="0" collapsed="false">
      <c r="A8" s="29" t="s">
        <v>674</v>
      </c>
      <c r="B8" s="22" t="s">
        <v>675</v>
      </c>
      <c r="C8" s="29" t="s">
        <v>676</v>
      </c>
      <c r="D8" s="29" t="s">
        <v>402</v>
      </c>
      <c r="E8" s="22" t="s">
        <v>431</v>
      </c>
      <c r="F8" s="30" t="n">
        <v>0.0909</v>
      </c>
      <c r="G8" s="34" t="n">
        <v>8</v>
      </c>
      <c r="H8" s="32" t="s">
        <v>677</v>
      </c>
      <c r="I8" s="29" t="s">
        <v>646</v>
      </c>
      <c r="J8" s="33" t="s">
        <v>678</v>
      </c>
      <c r="K8" s="22" t="s">
        <v>475</v>
      </c>
      <c r="L8" s="1" t="n">
        <v>0.1</v>
      </c>
      <c r="M8" s="7" t="s">
        <v>408</v>
      </c>
      <c r="N8" s="7" t="s">
        <v>679</v>
      </c>
    </row>
    <row r="9" customFormat="false" ht="28.5" hidden="false" customHeight="true" outlineLevel="0" collapsed="false">
      <c r="A9" s="29" t="s">
        <v>680</v>
      </c>
      <c r="B9" s="22" t="s">
        <v>681</v>
      </c>
      <c r="C9" s="29" t="s">
        <v>682</v>
      </c>
      <c r="D9" s="22" t="s">
        <v>525</v>
      </c>
      <c r="E9" s="22" t="s">
        <v>683</v>
      </c>
      <c r="F9" s="30" t="n">
        <v>0.0727</v>
      </c>
      <c r="G9" s="34" t="n">
        <v>9</v>
      </c>
      <c r="H9" s="33" t="s">
        <v>684</v>
      </c>
      <c r="I9" s="29" t="s">
        <v>426</v>
      </c>
      <c r="J9" s="33" t="s">
        <v>685</v>
      </c>
      <c r="K9" s="22" t="s">
        <v>475</v>
      </c>
      <c r="L9" s="1" t="n">
        <v>0.08</v>
      </c>
      <c r="M9" s="7" t="s">
        <v>408</v>
      </c>
      <c r="N9" s="7" t="s">
        <v>529</v>
      </c>
    </row>
    <row r="10" customFormat="false" ht="13.5" hidden="false" customHeight="true" outlineLevel="0" collapsed="false">
      <c r="A10" s="28" t="s">
        <v>442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28.5" hidden="false" customHeight="true" outlineLevel="0" collapsed="false">
      <c r="A11" s="29" t="s">
        <v>686</v>
      </c>
      <c r="B11" s="22" t="s">
        <v>687</v>
      </c>
      <c r="C11" s="29" t="s">
        <v>688</v>
      </c>
      <c r="D11" s="29" t="s">
        <v>472</v>
      </c>
      <c r="E11" s="22" t="s">
        <v>431</v>
      </c>
      <c r="F11" s="30" t="n">
        <v>0.1105</v>
      </c>
      <c r="G11" s="34" t="n">
        <v>8</v>
      </c>
      <c r="H11" s="32" t="s">
        <v>689</v>
      </c>
      <c r="I11" s="29" t="s">
        <v>646</v>
      </c>
      <c r="J11" s="33" t="s">
        <v>690</v>
      </c>
      <c r="K11" s="22" t="s">
        <v>407</v>
      </c>
      <c r="L11" s="1" t="n">
        <v>0.12</v>
      </c>
      <c r="M11" s="7" t="s">
        <v>449</v>
      </c>
      <c r="N11" s="7" t="s">
        <v>477</v>
      </c>
    </row>
    <row r="12" customFormat="false" ht="28.5" hidden="false" customHeight="true" outlineLevel="0" collapsed="false">
      <c r="A12" s="29" t="s">
        <v>691</v>
      </c>
      <c r="B12" s="29" t="s">
        <v>692</v>
      </c>
      <c r="C12" s="29" t="s">
        <v>540</v>
      </c>
      <c r="D12" s="29" t="s">
        <v>402</v>
      </c>
      <c r="E12" s="22" t="s">
        <v>431</v>
      </c>
      <c r="F12" s="30" t="n">
        <v>0.0921</v>
      </c>
      <c r="G12" s="34" t="n">
        <v>8</v>
      </c>
      <c r="H12" s="32" t="s">
        <v>541</v>
      </c>
      <c r="I12" s="29" t="s">
        <v>480</v>
      </c>
      <c r="J12" s="33" t="s">
        <v>693</v>
      </c>
      <c r="K12" s="22" t="s">
        <v>475</v>
      </c>
      <c r="L12" s="1" t="n">
        <v>0.1</v>
      </c>
      <c r="M12" s="7" t="s">
        <v>449</v>
      </c>
      <c r="N12" s="7" t="s">
        <v>589</v>
      </c>
    </row>
    <row r="13" customFormat="false" ht="28.5" hidden="false" customHeight="true" outlineLevel="0" collapsed="false">
      <c r="A13" s="29" t="s">
        <v>694</v>
      </c>
      <c r="B13" s="29" t="s">
        <v>695</v>
      </c>
      <c r="C13" s="29" t="s">
        <v>696</v>
      </c>
      <c r="D13" s="29" t="s">
        <v>402</v>
      </c>
      <c r="E13" s="22" t="s">
        <v>431</v>
      </c>
      <c r="F13" s="30" t="n">
        <v>0.0737</v>
      </c>
      <c r="G13" s="31" t="n">
        <v>6</v>
      </c>
      <c r="H13" s="32" t="s">
        <v>600</v>
      </c>
      <c r="I13" s="29" t="s">
        <v>447</v>
      </c>
      <c r="J13" s="32" t="s">
        <v>697</v>
      </c>
      <c r="K13" s="22" t="s">
        <v>475</v>
      </c>
      <c r="L13" s="1" t="n">
        <v>0.08</v>
      </c>
      <c r="M13" s="7" t="s">
        <v>449</v>
      </c>
      <c r="N13" s="7" t="s">
        <v>589</v>
      </c>
    </row>
    <row r="14" customFormat="false" ht="28.5" hidden="false" customHeight="true" outlineLevel="0" collapsed="false">
      <c r="A14" s="29" t="s">
        <v>698</v>
      </c>
      <c r="B14" s="22" t="s">
        <v>699</v>
      </c>
      <c r="C14" s="29" t="s">
        <v>700</v>
      </c>
      <c r="D14" s="22" t="s">
        <v>701</v>
      </c>
      <c r="E14" s="22" t="s">
        <v>431</v>
      </c>
      <c r="F14" s="30" t="n">
        <v>0.0737</v>
      </c>
      <c r="G14" s="31" t="n">
        <v>6</v>
      </c>
      <c r="H14" s="32" t="s">
        <v>702</v>
      </c>
      <c r="I14" s="29" t="s">
        <v>460</v>
      </c>
      <c r="J14" s="33" t="s">
        <v>703</v>
      </c>
      <c r="K14" s="22" t="s">
        <v>407</v>
      </c>
      <c r="L14" s="1" t="n">
        <v>0.08</v>
      </c>
      <c r="M14" s="7" t="s">
        <v>449</v>
      </c>
      <c r="N14" s="7" t="s">
        <v>589</v>
      </c>
    </row>
    <row r="15" customFormat="false" ht="13.5" hidden="false" customHeight="true" outlineLevel="0" collapsed="false">
      <c r="A15" s="28" t="s">
        <v>468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customFormat="false" ht="28.5" hidden="false" customHeight="true" outlineLevel="0" collapsed="false">
      <c r="A16" s="29" t="s">
        <v>704</v>
      </c>
      <c r="B16" s="22" t="s">
        <v>470</v>
      </c>
      <c r="C16" s="29" t="s">
        <v>705</v>
      </c>
      <c r="D16" s="29" t="s">
        <v>472</v>
      </c>
      <c r="E16" s="22" t="s">
        <v>431</v>
      </c>
      <c r="F16" s="30" t="n">
        <v>0.0625</v>
      </c>
      <c r="G16" s="34" t="n">
        <v>8</v>
      </c>
      <c r="H16" s="32" t="s">
        <v>706</v>
      </c>
      <c r="I16" s="29" t="s">
        <v>454</v>
      </c>
      <c r="J16" s="32" t="s">
        <v>707</v>
      </c>
      <c r="K16" s="22" t="s">
        <v>475</v>
      </c>
      <c r="L16" s="1" t="n">
        <v>0.1</v>
      </c>
      <c r="M16" s="7" t="s">
        <v>476</v>
      </c>
      <c r="N16" s="7" t="s">
        <v>419</v>
      </c>
    </row>
    <row r="17" customFormat="false" ht="14.25" hidden="false" customHeight="true" outlineLevel="0" collapsed="false">
      <c r="A17" s="29" t="s">
        <v>708</v>
      </c>
      <c r="B17" s="22" t="s">
        <v>436</v>
      </c>
      <c r="C17" s="29" t="s">
        <v>709</v>
      </c>
      <c r="D17" s="29" t="s">
        <v>402</v>
      </c>
      <c r="E17" s="22" t="s">
        <v>431</v>
      </c>
      <c r="F17" s="30" t="n">
        <v>0.0437</v>
      </c>
      <c r="G17" s="34" t="n">
        <v>8</v>
      </c>
      <c r="H17" s="32" t="s">
        <v>473</v>
      </c>
      <c r="I17" s="29" t="s">
        <v>532</v>
      </c>
      <c r="J17" s="33" t="s">
        <v>710</v>
      </c>
      <c r="K17" s="22" t="s">
        <v>475</v>
      </c>
      <c r="L17" s="1" t="n">
        <v>0.07</v>
      </c>
      <c r="M17" s="7" t="s">
        <v>476</v>
      </c>
      <c r="N17" s="7" t="s">
        <v>409</v>
      </c>
    </row>
    <row r="18" customFormat="false" ht="14.25" hidden="false" customHeight="true" outlineLevel="0" collapsed="false">
      <c r="A18" s="29" t="s">
        <v>711</v>
      </c>
      <c r="B18" s="22" t="s">
        <v>429</v>
      </c>
      <c r="C18" s="29" t="s">
        <v>712</v>
      </c>
      <c r="D18" s="29" t="s">
        <v>402</v>
      </c>
      <c r="E18" s="22" t="s">
        <v>431</v>
      </c>
      <c r="F18" s="30" t="n">
        <v>0.0437</v>
      </c>
      <c r="G18" s="34" t="n">
        <v>8</v>
      </c>
      <c r="H18" s="32" t="s">
        <v>541</v>
      </c>
      <c r="I18" s="29" t="s">
        <v>672</v>
      </c>
      <c r="J18" s="33" t="s">
        <v>713</v>
      </c>
      <c r="K18" s="22" t="s">
        <v>407</v>
      </c>
      <c r="L18" s="1" t="n">
        <v>0.07</v>
      </c>
      <c r="M18" s="7" t="s">
        <v>476</v>
      </c>
      <c r="N18" s="7" t="s">
        <v>409</v>
      </c>
    </row>
    <row r="19" customFormat="false" ht="17.25" hidden="false" customHeight="true" outlineLevel="0" collapsed="false">
      <c r="A19" s="35" t="s">
        <v>485</v>
      </c>
      <c r="B19" s="35"/>
      <c r="C19" s="35"/>
      <c r="D19" s="35"/>
      <c r="E19" s="35"/>
      <c r="F19" s="35"/>
      <c r="G19" s="36" t="n">
        <f aca="false">ROUND(SUMPRODUCT(F5:F18,G5:G18),1)</f>
        <v>7.8</v>
      </c>
      <c r="H19" s="37" t="s">
        <v>486</v>
      </c>
      <c r="I19" s="37"/>
      <c r="J19" s="37"/>
      <c r="K19" s="37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714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715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5.3</v>
      </c>
    </row>
    <row r="5" customFormat="false" ht="28.5" hidden="false" customHeight="true" outlineLevel="0" collapsed="false">
      <c r="A5" s="29" t="s">
        <v>716</v>
      </c>
      <c r="B5" s="22" t="s">
        <v>436</v>
      </c>
      <c r="C5" s="29" t="s">
        <v>717</v>
      </c>
      <c r="D5" s="29" t="s">
        <v>402</v>
      </c>
      <c r="E5" s="22" t="s">
        <v>424</v>
      </c>
      <c r="F5" s="30" t="n">
        <v>0.1277</v>
      </c>
      <c r="G5" s="38" t="n">
        <v>4</v>
      </c>
      <c r="H5" s="32" t="s">
        <v>541</v>
      </c>
      <c r="I5" s="29" t="s">
        <v>718</v>
      </c>
      <c r="J5" s="33" t="s">
        <v>719</v>
      </c>
      <c r="K5" s="22" t="s">
        <v>407</v>
      </c>
      <c r="L5" s="1" t="n">
        <v>0.15</v>
      </c>
      <c r="M5" s="7" t="s">
        <v>629</v>
      </c>
      <c r="N5" s="7" t="s">
        <v>409</v>
      </c>
      <c r="O5" s="1" t="s">
        <v>410</v>
      </c>
      <c r="P5" s="1" t="n">
        <f aca="false">ROUND(SUMPRODUCT(F10:F13,G10:G13)/SUM(F10:F13),1)</f>
        <v>7.2</v>
      </c>
    </row>
    <row r="6" customFormat="false" ht="28.5" hidden="false" customHeight="true" outlineLevel="0" collapsed="false">
      <c r="A6" s="29" t="s">
        <v>720</v>
      </c>
      <c r="B6" s="22" t="s">
        <v>436</v>
      </c>
      <c r="C6" s="29" t="s">
        <v>721</v>
      </c>
      <c r="D6" s="29" t="s">
        <v>402</v>
      </c>
      <c r="E6" s="22" t="s">
        <v>424</v>
      </c>
      <c r="F6" s="30" t="n">
        <v>0.1021</v>
      </c>
      <c r="G6" s="38" t="n">
        <v>4</v>
      </c>
      <c r="H6" s="32" t="s">
        <v>600</v>
      </c>
      <c r="I6" s="29" t="s">
        <v>500</v>
      </c>
      <c r="J6" s="33" t="s">
        <v>722</v>
      </c>
      <c r="K6" s="22" t="s">
        <v>407</v>
      </c>
      <c r="L6" s="1" t="n">
        <v>0.12</v>
      </c>
      <c r="M6" s="7" t="s">
        <v>629</v>
      </c>
      <c r="N6" s="7" t="s">
        <v>409</v>
      </c>
      <c r="O6" s="1" t="s">
        <v>420</v>
      </c>
      <c r="P6" s="1" t="n">
        <f aca="false">ROUND(SUMPRODUCT(F15:F17,G15:G17)/SUM(F15:F17),1)</f>
        <v>7.4</v>
      </c>
    </row>
    <row r="7" customFormat="false" ht="28.5" hidden="false" customHeight="true" outlineLevel="0" collapsed="false">
      <c r="A7" s="29" t="s">
        <v>723</v>
      </c>
      <c r="B7" s="29" t="s">
        <v>724</v>
      </c>
      <c r="C7" s="29" t="s">
        <v>725</v>
      </c>
      <c r="D7" s="29" t="s">
        <v>402</v>
      </c>
      <c r="E7" s="22" t="s">
        <v>424</v>
      </c>
      <c r="F7" s="30" t="n">
        <v>0.0851</v>
      </c>
      <c r="G7" s="34" t="n">
        <v>8</v>
      </c>
      <c r="H7" s="32" t="s">
        <v>432</v>
      </c>
      <c r="I7" s="29" t="s">
        <v>405</v>
      </c>
      <c r="J7" s="33" t="s">
        <v>726</v>
      </c>
      <c r="K7" s="22" t="s">
        <v>467</v>
      </c>
      <c r="L7" s="1" t="n">
        <v>0.1</v>
      </c>
      <c r="M7" s="7" t="s">
        <v>629</v>
      </c>
      <c r="N7" s="7" t="s">
        <v>419</v>
      </c>
    </row>
    <row r="8" customFormat="false" ht="28.5" hidden="false" customHeight="true" outlineLevel="0" collapsed="false">
      <c r="A8" s="29" t="s">
        <v>727</v>
      </c>
      <c r="B8" s="22" t="s">
        <v>728</v>
      </c>
      <c r="C8" s="29" t="s">
        <v>635</v>
      </c>
      <c r="D8" s="29" t="s">
        <v>402</v>
      </c>
      <c r="E8" s="22" t="s">
        <v>431</v>
      </c>
      <c r="F8" s="30" t="n">
        <v>0.0851</v>
      </c>
      <c r="G8" s="31" t="n">
        <v>6</v>
      </c>
      <c r="H8" s="32" t="s">
        <v>473</v>
      </c>
      <c r="I8" s="29" t="s">
        <v>447</v>
      </c>
      <c r="J8" s="33" t="s">
        <v>729</v>
      </c>
      <c r="K8" s="22" t="s">
        <v>407</v>
      </c>
      <c r="L8" s="1" t="n">
        <v>0.1</v>
      </c>
      <c r="M8" s="7" t="s">
        <v>629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14.25" hidden="false" customHeight="true" outlineLevel="0" collapsed="false">
      <c r="A10" s="29" t="s">
        <v>730</v>
      </c>
      <c r="B10" s="22" t="s">
        <v>728</v>
      </c>
      <c r="C10" s="29" t="s">
        <v>709</v>
      </c>
      <c r="D10" s="29" t="s">
        <v>402</v>
      </c>
      <c r="E10" s="22" t="s">
        <v>431</v>
      </c>
      <c r="F10" s="30" t="n">
        <v>0.1395</v>
      </c>
      <c r="G10" s="34" t="n">
        <v>8</v>
      </c>
      <c r="H10" s="32" t="s">
        <v>473</v>
      </c>
      <c r="I10" s="29" t="s">
        <v>454</v>
      </c>
      <c r="J10" s="33" t="s">
        <v>731</v>
      </c>
      <c r="K10" s="22" t="s">
        <v>407</v>
      </c>
      <c r="L10" s="1" t="n">
        <v>0.15</v>
      </c>
      <c r="M10" s="7" t="s">
        <v>629</v>
      </c>
      <c r="N10" s="7" t="s">
        <v>589</v>
      </c>
    </row>
    <row r="11" customFormat="false" ht="28.5" hidden="false" customHeight="true" outlineLevel="0" collapsed="false">
      <c r="A11" s="29" t="s">
        <v>732</v>
      </c>
      <c r="B11" s="22" t="s">
        <v>728</v>
      </c>
      <c r="C11" s="29" t="s">
        <v>733</v>
      </c>
      <c r="D11" s="29" t="s">
        <v>402</v>
      </c>
      <c r="E11" s="22" t="s">
        <v>431</v>
      </c>
      <c r="F11" s="30" t="n">
        <v>0.093</v>
      </c>
      <c r="G11" s="31" t="n">
        <v>6</v>
      </c>
      <c r="H11" s="32" t="s">
        <v>541</v>
      </c>
      <c r="I11" s="29" t="s">
        <v>447</v>
      </c>
      <c r="J11" s="33" t="s">
        <v>734</v>
      </c>
      <c r="K11" s="22" t="s">
        <v>407</v>
      </c>
      <c r="L11" s="1" t="n">
        <v>0.1</v>
      </c>
      <c r="M11" s="7" t="s">
        <v>629</v>
      </c>
      <c r="N11" s="7" t="s">
        <v>589</v>
      </c>
    </row>
    <row r="12" customFormat="false" ht="14.25" hidden="false" customHeight="true" outlineLevel="0" collapsed="false">
      <c r="A12" s="29" t="s">
        <v>735</v>
      </c>
      <c r="B12" s="22" t="s">
        <v>728</v>
      </c>
      <c r="C12" s="29" t="s">
        <v>736</v>
      </c>
      <c r="D12" s="29" t="s">
        <v>402</v>
      </c>
      <c r="E12" s="22" t="s">
        <v>431</v>
      </c>
      <c r="F12" s="30" t="n">
        <v>0.0744</v>
      </c>
      <c r="G12" s="31" t="n">
        <v>6</v>
      </c>
      <c r="H12" s="32" t="s">
        <v>541</v>
      </c>
      <c r="I12" s="29" t="s">
        <v>433</v>
      </c>
      <c r="J12" s="33" t="s">
        <v>737</v>
      </c>
      <c r="K12" s="22" t="s">
        <v>407</v>
      </c>
      <c r="L12" s="1" t="n">
        <v>0.08</v>
      </c>
      <c r="M12" s="7" t="s">
        <v>629</v>
      </c>
      <c r="N12" s="7" t="s">
        <v>589</v>
      </c>
    </row>
    <row r="13" customFormat="false" ht="14.25" hidden="false" customHeight="true" outlineLevel="0" collapsed="false">
      <c r="A13" s="29" t="s">
        <v>738</v>
      </c>
      <c r="B13" s="22" t="s">
        <v>429</v>
      </c>
      <c r="C13" s="29" t="s">
        <v>659</v>
      </c>
      <c r="D13" s="29" t="s">
        <v>402</v>
      </c>
      <c r="E13" s="22" t="s">
        <v>431</v>
      </c>
      <c r="F13" s="30" t="n">
        <v>0.093</v>
      </c>
      <c r="G13" s="34" t="n">
        <v>8</v>
      </c>
      <c r="H13" s="32" t="s">
        <v>473</v>
      </c>
      <c r="I13" s="29" t="s">
        <v>739</v>
      </c>
      <c r="J13" s="33" t="s">
        <v>740</v>
      </c>
      <c r="K13" s="22" t="s">
        <v>407</v>
      </c>
      <c r="L13" s="1" t="n">
        <v>0.1</v>
      </c>
      <c r="M13" s="7" t="s">
        <v>629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741</v>
      </c>
      <c r="B15" s="22" t="s">
        <v>470</v>
      </c>
      <c r="C15" s="29" t="s">
        <v>742</v>
      </c>
      <c r="D15" s="29" t="s">
        <v>472</v>
      </c>
      <c r="E15" s="22" t="s">
        <v>431</v>
      </c>
      <c r="F15" s="30" t="n">
        <v>0.08</v>
      </c>
      <c r="G15" s="34" t="n">
        <v>8</v>
      </c>
      <c r="H15" s="32" t="s">
        <v>743</v>
      </c>
      <c r="I15" s="29" t="s">
        <v>480</v>
      </c>
      <c r="J15" s="32" t="s">
        <v>744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746</v>
      </c>
      <c r="B16" s="22" t="s">
        <v>470</v>
      </c>
      <c r="C16" s="29" t="s">
        <v>747</v>
      </c>
      <c r="D16" s="22" t="s">
        <v>525</v>
      </c>
      <c r="E16" s="22" t="s">
        <v>424</v>
      </c>
      <c r="F16" s="30" t="n">
        <v>0.064</v>
      </c>
      <c r="G16" s="34" t="n">
        <v>8</v>
      </c>
      <c r="H16" s="32" t="s">
        <v>748</v>
      </c>
      <c r="I16" s="29" t="s">
        <v>405</v>
      </c>
      <c r="J16" s="33" t="s">
        <v>651</v>
      </c>
      <c r="K16" s="22" t="s">
        <v>475</v>
      </c>
      <c r="L16" s="1" t="n">
        <v>0.08</v>
      </c>
      <c r="M16" s="7" t="s">
        <v>745</v>
      </c>
      <c r="N16" s="7" t="s">
        <v>529</v>
      </c>
    </row>
    <row r="17" customFormat="false" ht="28.5" hidden="false" customHeight="true" outlineLevel="0" collapsed="false">
      <c r="A17" s="29" t="s">
        <v>749</v>
      </c>
      <c r="B17" s="22" t="s">
        <v>750</v>
      </c>
      <c r="C17" s="29" t="s">
        <v>544</v>
      </c>
      <c r="D17" s="29" t="s">
        <v>402</v>
      </c>
      <c r="E17" s="22" t="s">
        <v>431</v>
      </c>
      <c r="F17" s="30" t="n">
        <v>0.056</v>
      </c>
      <c r="G17" s="31" t="n">
        <v>6</v>
      </c>
      <c r="H17" s="32" t="s">
        <v>545</v>
      </c>
      <c r="I17" s="29" t="s">
        <v>447</v>
      </c>
      <c r="J17" s="33" t="s">
        <v>751</v>
      </c>
      <c r="K17" s="22" t="s">
        <v>407</v>
      </c>
      <c r="L17" s="1" t="n">
        <v>0.07</v>
      </c>
      <c r="M17" s="7" t="s">
        <v>745</v>
      </c>
      <c r="N17" s="7" t="s">
        <v>419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6.5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752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753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5.9</v>
      </c>
    </row>
    <row r="5" customFormat="false" ht="28.5" hidden="false" customHeight="true" outlineLevel="0" collapsed="false">
      <c r="A5" s="29" t="s">
        <v>754</v>
      </c>
      <c r="B5" s="22" t="s">
        <v>400</v>
      </c>
      <c r="C5" s="29" t="s">
        <v>755</v>
      </c>
      <c r="D5" s="29" t="s">
        <v>402</v>
      </c>
      <c r="E5" s="22" t="s">
        <v>431</v>
      </c>
      <c r="F5" s="30" t="n">
        <v>0.08</v>
      </c>
      <c r="G5" s="31" t="n">
        <v>6</v>
      </c>
      <c r="H5" s="32" t="s">
        <v>756</v>
      </c>
      <c r="I5" s="29" t="s">
        <v>447</v>
      </c>
      <c r="J5" s="33" t="s">
        <v>757</v>
      </c>
      <c r="K5" s="22" t="s">
        <v>407</v>
      </c>
      <c r="L5" s="1" t="n">
        <v>0.12</v>
      </c>
      <c r="M5" s="7" t="s">
        <v>758</v>
      </c>
      <c r="N5" s="7" t="s">
        <v>419</v>
      </c>
      <c r="O5" s="1" t="s">
        <v>410</v>
      </c>
      <c r="P5" s="1" t="n">
        <f aca="false">ROUND(SUMPRODUCT(F10:F13,G10:G13)/SUM(F10:F13),1)</f>
        <v>6.8</v>
      </c>
    </row>
    <row r="6" customFormat="false" ht="28.5" hidden="false" customHeight="true" outlineLevel="0" collapsed="false">
      <c r="A6" s="29" t="s">
        <v>759</v>
      </c>
      <c r="B6" s="22" t="s">
        <v>760</v>
      </c>
      <c r="C6" s="29" t="s">
        <v>761</v>
      </c>
      <c r="D6" s="29" t="s">
        <v>402</v>
      </c>
      <c r="E6" s="22" t="s">
        <v>424</v>
      </c>
      <c r="F6" s="30" t="n">
        <v>0.0667</v>
      </c>
      <c r="G6" s="34" t="n">
        <v>8</v>
      </c>
      <c r="H6" s="32" t="s">
        <v>432</v>
      </c>
      <c r="I6" s="29" t="s">
        <v>569</v>
      </c>
      <c r="J6" s="33" t="s">
        <v>762</v>
      </c>
      <c r="K6" s="22" t="s">
        <v>407</v>
      </c>
      <c r="L6" s="1" t="n">
        <v>0.1</v>
      </c>
      <c r="M6" s="7" t="s">
        <v>758</v>
      </c>
      <c r="N6" s="7" t="s">
        <v>419</v>
      </c>
      <c r="O6" s="1" t="s">
        <v>420</v>
      </c>
      <c r="P6" s="1" t="n">
        <f aca="false">ROUND(SUMPRODUCT(F15:F17,G15:G17)/SUM(F15:F17),1)</f>
        <v>7.4</v>
      </c>
    </row>
    <row r="7" customFormat="false" ht="28.5" hidden="false" customHeight="true" outlineLevel="0" collapsed="false">
      <c r="A7" s="29" t="s">
        <v>763</v>
      </c>
      <c r="B7" s="22" t="s">
        <v>436</v>
      </c>
      <c r="C7" s="29" t="s">
        <v>688</v>
      </c>
      <c r="D7" s="22" t="s">
        <v>458</v>
      </c>
      <c r="E7" s="22" t="s">
        <v>424</v>
      </c>
      <c r="F7" s="30" t="n">
        <v>0.0867</v>
      </c>
      <c r="G7" s="38" t="n">
        <v>4</v>
      </c>
      <c r="H7" s="32" t="s">
        <v>459</v>
      </c>
      <c r="I7" s="29" t="s">
        <v>718</v>
      </c>
      <c r="J7" s="33" t="s">
        <v>764</v>
      </c>
      <c r="K7" s="22" t="s">
        <v>407</v>
      </c>
      <c r="L7" s="1" t="n">
        <v>0.13</v>
      </c>
      <c r="M7" s="7" t="s">
        <v>758</v>
      </c>
      <c r="N7" s="7" t="s">
        <v>409</v>
      </c>
    </row>
    <row r="8" customFormat="false" ht="28.5" hidden="false" customHeight="true" outlineLevel="0" collapsed="false">
      <c r="A8" s="29" t="s">
        <v>765</v>
      </c>
      <c r="B8" s="22" t="s">
        <v>436</v>
      </c>
      <c r="C8" s="29" t="s">
        <v>766</v>
      </c>
      <c r="D8" s="29" t="s">
        <v>402</v>
      </c>
      <c r="E8" s="22" t="s">
        <v>431</v>
      </c>
      <c r="F8" s="30" t="n">
        <v>0.0667</v>
      </c>
      <c r="G8" s="31" t="n">
        <v>6</v>
      </c>
      <c r="H8" s="32" t="s">
        <v>767</v>
      </c>
      <c r="I8" s="29" t="s">
        <v>439</v>
      </c>
      <c r="J8" s="33" t="s">
        <v>768</v>
      </c>
      <c r="K8" s="22" t="s">
        <v>407</v>
      </c>
      <c r="L8" s="1" t="n">
        <v>0.1</v>
      </c>
      <c r="M8" s="7" t="s">
        <v>758</v>
      </c>
      <c r="N8" s="7" t="s">
        <v>589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769</v>
      </c>
      <c r="B10" s="22" t="s">
        <v>770</v>
      </c>
      <c r="C10" s="29" t="s">
        <v>771</v>
      </c>
      <c r="D10" s="22" t="s">
        <v>772</v>
      </c>
      <c r="E10" s="22" t="s">
        <v>424</v>
      </c>
      <c r="F10" s="30" t="n">
        <v>0.1776</v>
      </c>
      <c r="G10" s="34" t="n">
        <v>8</v>
      </c>
      <c r="H10" s="32" t="s">
        <v>773</v>
      </c>
      <c r="I10" s="29" t="s">
        <v>532</v>
      </c>
      <c r="J10" s="33" t="s">
        <v>774</v>
      </c>
      <c r="K10" s="22" t="s">
        <v>418</v>
      </c>
      <c r="L10" s="1" t="n">
        <v>0.15</v>
      </c>
      <c r="M10" s="7" t="s">
        <v>608</v>
      </c>
      <c r="N10" s="7" t="s">
        <v>419</v>
      </c>
    </row>
    <row r="11" customFormat="false" ht="14.25" hidden="false" customHeight="true" outlineLevel="0" collapsed="false">
      <c r="A11" s="29" t="s">
        <v>775</v>
      </c>
      <c r="B11" s="22" t="s">
        <v>436</v>
      </c>
      <c r="C11" s="29" t="s">
        <v>509</v>
      </c>
      <c r="D11" s="29" t="s">
        <v>402</v>
      </c>
      <c r="E11" s="22" t="s">
        <v>431</v>
      </c>
      <c r="F11" s="30" t="n">
        <v>0.0947</v>
      </c>
      <c r="G11" s="31" t="n">
        <v>6</v>
      </c>
      <c r="H11" s="32" t="s">
        <v>776</v>
      </c>
      <c r="I11" s="29" t="s">
        <v>433</v>
      </c>
      <c r="J11" s="33" t="s">
        <v>777</v>
      </c>
      <c r="K11" s="22" t="s">
        <v>407</v>
      </c>
      <c r="L11" s="1" t="n">
        <v>0.08</v>
      </c>
      <c r="M11" s="7" t="s">
        <v>608</v>
      </c>
      <c r="N11" s="7" t="s">
        <v>589</v>
      </c>
    </row>
    <row r="12" customFormat="false" ht="14.25" hidden="false" customHeight="true" outlineLevel="0" collapsed="false">
      <c r="A12" s="29" t="s">
        <v>778</v>
      </c>
      <c r="B12" s="22" t="s">
        <v>436</v>
      </c>
      <c r="C12" s="29" t="s">
        <v>599</v>
      </c>
      <c r="D12" s="29" t="s">
        <v>402</v>
      </c>
      <c r="E12" s="22" t="s">
        <v>431</v>
      </c>
      <c r="F12" s="30" t="n">
        <v>0.0947</v>
      </c>
      <c r="G12" s="31" t="n">
        <v>6</v>
      </c>
      <c r="H12" s="32" t="s">
        <v>776</v>
      </c>
      <c r="I12" s="29" t="s">
        <v>439</v>
      </c>
      <c r="J12" s="33" t="s">
        <v>779</v>
      </c>
      <c r="K12" s="22" t="s">
        <v>407</v>
      </c>
      <c r="L12" s="1" t="n">
        <v>0.08</v>
      </c>
      <c r="M12" s="7" t="s">
        <v>608</v>
      </c>
      <c r="N12" s="7" t="s">
        <v>589</v>
      </c>
    </row>
    <row r="13" customFormat="false" ht="14.25" hidden="false" customHeight="true" outlineLevel="0" collapsed="false">
      <c r="A13" s="29" t="s">
        <v>780</v>
      </c>
      <c r="B13" s="22" t="s">
        <v>781</v>
      </c>
      <c r="C13" s="29" t="s">
        <v>544</v>
      </c>
      <c r="D13" s="29" t="s">
        <v>402</v>
      </c>
      <c r="E13" s="22" t="s">
        <v>431</v>
      </c>
      <c r="F13" s="30" t="n">
        <v>0.0829</v>
      </c>
      <c r="G13" s="31" t="n">
        <v>6</v>
      </c>
      <c r="H13" s="32" t="s">
        <v>776</v>
      </c>
      <c r="I13" s="29" t="s">
        <v>537</v>
      </c>
      <c r="J13" s="33" t="s">
        <v>782</v>
      </c>
      <c r="K13" s="22" t="s">
        <v>407</v>
      </c>
      <c r="L13" s="1" t="n">
        <v>0.07</v>
      </c>
      <c r="M13" s="7" t="s">
        <v>608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783</v>
      </c>
      <c r="B15" s="22" t="s">
        <v>470</v>
      </c>
      <c r="C15" s="29" t="s">
        <v>784</v>
      </c>
      <c r="D15" s="29" t="s">
        <v>472</v>
      </c>
      <c r="E15" s="22" t="s">
        <v>431</v>
      </c>
      <c r="F15" s="30" t="n">
        <v>0.1</v>
      </c>
      <c r="G15" s="34" t="n">
        <v>8</v>
      </c>
      <c r="H15" s="32" t="s">
        <v>785</v>
      </c>
      <c r="I15" s="29" t="s">
        <v>532</v>
      </c>
      <c r="J15" s="32" t="s">
        <v>786</v>
      </c>
      <c r="K15" s="22" t="s">
        <v>475</v>
      </c>
      <c r="L15" s="1" t="n">
        <v>0.1</v>
      </c>
      <c r="M15" s="7" t="s">
        <v>787</v>
      </c>
      <c r="N15" s="7" t="s">
        <v>477</v>
      </c>
    </row>
    <row r="16" customFormat="false" ht="28.5" hidden="false" customHeight="true" outlineLevel="0" collapsed="false">
      <c r="A16" s="29" t="s">
        <v>788</v>
      </c>
      <c r="B16" s="22" t="s">
        <v>470</v>
      </c>
      <c r="C16" s="29" t="s">
        <v>789</v>
      </c>
      <c r="D16" s="29" t="s">
        <v>472</v>
      </c>
      <c r="E16" s="22" t="s">
        <v>431</v>
      </c>
      <c r="F16" s="30" t="n">
        <v>0.08</v>
      </c>
      <c r="G16" s="34" t="n">
        <v>8</v>
      </c>
      <c r="H16" s="32" t="s">
        <v>790</v>
      </c>
      <c r="I16" s="29" t="s">
        <v>454</v>
      </c>
      <c r="J16" s="33" t="s">
        <v>791</v>
      </c>
      <c r="K16" s="22" t="s">
        <v>475</v>
      </c>
      <c r="L16" s="1" t="n">
        <v>0.08</v>
      </c>
      <c r="M16" s="7" t="s">
        <v>787</v>
      </c>
      <c r="N16" s="7" t="s">
        <v>419</v>
      </c>
    </row>
    <row r="17" customFormat="false" ht="28.5" hidden="false" customHeight="true" outlineLevel="0" collapsed="false">
      <c r="A17" s="29" t="s">
        <v>792</v>
      </c>
      <c r="B17" s="22" t="s">
        <v>436</v>
      </c>
      <c r="C17" s="29" t="s">
        <v>437</v>
      </c>
      <c r="D17" s="29" t="s">
        <v>472</v>
      </c>
      <c r="E17" s="22" t="s">
        <v>431</v>
      </c>
      <c r="F17" s="30" t="n">
        <v>0.07</v>
      </c>
      <c r="G17" s="31" t="n">
        <v>6</v>
      </c>
      <c r="H17" s="32" t="s">
        <v>793</v>
      </c>
      <c r="I17" s="29" t="s">
        <v>483</v>
      </c>
      <c r="J17" s="33" t="s">
        <v>794</v>
      </c>
      <c r="K17" s="22" t="s">
        <v>407</v>
      </c>
      <c r="L17" s="1" t="n">
        <v>0.07</v>
      </c>
      <c r="M17" s="7" t="s">
        <v>787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6.7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795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796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7.6</v>
      </c>
    </row>
    <row r="5" customFormat="false" ht="28.5" hidden="false" customHeight="true" outlineLevel="0" collapsed="false">
      <c r="A5" s="29" t="s">
        <v>797</v>
      </c>
      <c r="B5" s="22" t="s">
        <v>798</v>
      </c>
      <c r="C5" s="29" t="s">
        <v>721</v>
      </c>
      <c r="D5" s="29" t="s">
        <v>402</v>
      </c>
      <c r="E5" s="22" t="s">
        <v>424</v>
      </c>
      <c r="F5" s="30" t="n">
        <v>0.1333</v>
      </c>
      <c r="G5" s="34" t="n">
        <v>8</v>
      </c>
      <c r="H5" s="32" t="s">
        <v>425</v>
      </c>
      <c r="I5" s="29" t="s">
        <v>483</v>
      </c>
      <c r="J5" s="33" t="s">
        <v>799</v>
      </c>
      <c r="K5" s="22" t="s">
        <v>467</v>
      </c>
      <c r="L5" s="1" t="n">
        <v>0.15</v>
      </c>
      <c r="M5" s="7" t="s">
        <v>629</v>
      </c>
      <c r="N5" s="7" t="s">
        <v>419</v>
      </c>
      <c r="O5" s="1" t="s">
        <v>410</v>
      </c>
      <c r="P5" s="1" t="n">
        <f aca="false">ROUND(SUMPRODUCT(F10:F13,G10:G13)/SUM(F10:F13),1)</f>
        <v>6.7</v>
      </c>
    </row>
    <row r="6" customFormat="false" ht="28.5" hidden="false" customHeight="true" outlineLevel="0" collapsed="false">
      <c r="A6" s="29" t="s">
        <v>800</v>
      </c>
      <c r="B6" s="29" t="s">
        <v>801</v>
      </c>
      <c r="C6" s="29" t="s">
        <v>802</v>
      </c>
      <c r="D6" s="29" t="s">
        <v>402</v>
      </c>
      <c r="E6" s="22" t="s">
        <v>424</v>
      </c>
      <c r="F6" s="30" t="n">
        <v>0.1067</v>
      </c>
      <c r="G6" s="34" t="n">
        <v>8</v>
      </c>
      <c r="H6" s="32" t="s">
        <v>432</v>
      </c>
      <c r="I6" s="29" t="s">
        <v>405</v>
      </c>
      <c r="J6" s="33" t="s">
        <v>803</v>
      </c>
      <c r="K6" s="22" t="s">
        <v>418</v>
      </c>
      <c r="L6" s="1" t="n">
        <v>0.12</v>
      </c>
      <c r="M6" s="7" t="s">
        <v>629</v>
      </c>
      <c r="N6" s="7" t="s">
        <v>419</v>
      </c>
      <c r="O6" s="1" t="s">
        <v>420</v>
      </c>
      <c r="P6" s="1" t="n">
        <f aca="false">ROUND(SUMPRODUCT(F15:F17,G15:G17)/SUM(F15:F17),1)</f>
        <v>6</v>
      </c>
    </row>
    <row r="7" customFormat="false" ht="28.5" hidden="false" customHeight="true" outlineLevel="0" collapsed="false">
      <c r="A7" s="29" t="s">
        <v>804</v>
      </c>
      <c r="B7" s="22" t="s">
        <v>805</v>
      </c>
      <c r="C7" s="29" t="s">
        <v>423</v>
      </c>
      <c r="D7" s="29" t="s">
        <v>402</v>
      </c>
      <c r="E7" s="22" t="s">
        <v>568</v>
      </c>
      <c r="F7" s="30" t="n">
        <v>0.0889</v>
      </c>
      <c r="G7" s="34" t="n">
        <v>8</v>
      </c>
      <c r="H7" s="32" t="s">
        <v>432</v>
      </c>
      <c r="I7" s="29" t="s">
        <v>569</v>
      </c>
      <c r="J7" s="33" t="s">
        <v>806</v>
      </c>
      <c r="K7" s="22" t="s">
        <v>407</v>
      </c>
      <c r="L7" s="1" t="n">
        <v>0.1</v>
      </c>
      <c r="M7" s="7" t="s">
        <v>629</v>
      </c>
      <c r="N7" s="7" t="s">
        <v>529</v>
      </c>
    </row>
    <row r="8" customFormat="false" ht="28.5" hidden="false" customHeight="true" outlineLevel="0" collapsed="false">
      <c r="A8" s="29" t="s">
        <v>807</v>
      </c>
      <c r="B8" s="22" t="s">
        <v>808</v>
      </c>
      <c r="C8" s="29" t="s">
        <v>809</v>
      </c>
      <c r="D8" s="22"/>
      <c r="E8" s="22" t="s">
        <v>810</v>
      </c>
      <c r="F8" s="30" t="n">
        <v>0.0711</v>
      </c>
      <c r="G8" s="31" t="n">
        <v>6</v>
      </c>
      <c r="H8" s="33" t="s">
        <v>811</v>
      </c>
      <c r="I8" s="29" t="s">
        <v>447</v>
      </c>
      <c r="J8" s="33" t="s">
        <v>812</v>
      </c>
      <c r="K8" s="22" t="s">
        <v>467</v>
      </c>
      <c r="L8" s="1" t="n">
        <v>0.08</v>
      </c>
      <c r="M8" s="7" t="s">
        <v>629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813</v>
      </c>
      <c r="B10" s="22" t="s">
        <v>429</v>
      </c>
      <c r="C10" s="29" t="s">
        <v>540</v>
      </c>
      <c r="D10" s="29" t="s">
        <v>402</v>
      </c>
      <c r="E10" s="22" t="s">
        <v>431</v>
      </c>
      <c r="F10" s="30" t="n">
        <v>0.1333</v>
      </c>
      <c r="G10" s="34" t="n">
        <v>8</v>
      </c>
      <c r="H10" s="32" t="s">
        <v>541</v>
      </c>
      <c r="I10" s="29" t="s">
        <v>460</v>
      </c>
      <c r="J10" s="33" t="s">
        <v>814</v>
      </c>
      <c r="K10" s="22" t="s">
        <v>407</v>
      </c>
      <c r="L10" s="1" t="n">
        <v>0.15</v>
      </c>
      <c r="M10" s="7" t="s">
        <v>629</v>
      </c>
      <c r="N10" s="7" t="s">
        <v>409</v>
      </c>
    </row>
    <row r="11" customFormat="false" ht="14.25" hidden="false" customHeight="true" outlineLevel="0" collapsed="false">
      <c r="A11" s="29" t="s">
        <v>815</v>
      </c>
      <c r="B11" s="22" t="s">
        <v>429</v>
      </c>
      <c r="C11" s="29" t="s">
        <v>816</v>
      </c>
      <c r="D11" s="29" t="s">
        <v>402</v>
      </c>
      <c r="E11" s="22" t="s">
        <v>431</v>
      </c>
      <c r="F11" s="30" t="n">
        <v>0.1067</v>
      </c>
      <c r="G11" s="31" t="n">
        <v>6</v>
      </c>
      <c r="H11" s="32" t="s">
        <v>541</v>
      </c>
      <c r="I11" s="29" t="s">
        <v>447</v>
      </c>
      <c r="J11" s="33" t="s">
        <v>817</v>
      </c>
      <c r="K11" s="22" t="s">
        <v>407</v>
      </c>
      <c r="L11" s="1" t="n">
        <v>0.12</v>
      </c>
      <c r="M11" s="7" t="s">
        <v>629</v>
      </c>
      <c r="N11" s="7" t="s">
        <v>409</v>
      </c>
    </row>
    <row r="12" customFormat="false" ht="28.5" hidden="false" customHeight="true" outlineLevel="0" collapsed="false">
      <c r="A12" s="29" t="s">
        <v>818</v>
      </c>
      <c r="B12" s="22" t="s">
        <v>819</v>
      </c>
      <c r="C12" s="29" t="s">
        <v>820</v>
      </c>
      <c r="D12" s="22" t="s">
        <v>458</v>
      </c>
      <c r="E12" s="22" t="s">
        <v>431</v>
      </c>
      <c r="F12" s="30" t="n">
        <v>0.0889</v>
      </c>
      <c r="G12" s="31" t="n">
        <v>6</v>
      </c>
      <c r="H12" s="32" t="s">
        <v>821</v>
      </c>
      <c r="I12" s="29" t="s">
        <v>460</v>
      </c>
      <c r="J12" s="33" t="s">
        <v>822</v>
      </c>
      <c r="K12" s="22" t="s">
        <v>418</v>
      </c>
      <c r="L12" s="1" t="n">
        <v>0.1</v>
      </c>
      <c r="M12" s="7" t="s">
        <v>629</v>
      </c>
      <c r="N12" s="7" t="s">
        <v>419</v>
      </c>
    </row>
    <row r="13" customFormat="false" ht="28.5" hidden="false" customHeight="true" outlineLevel="0" collapsed="false">
      <c r="A13" s="29" t="s">
        <v>823</v>
      </c>
      <c r="B13" s="22" t="s">
        <v>824</v>
      </c>
      <c r="C13" s="29" t="s">
        <v>825</v>
      </c>
      <c r="D13" s="29" t="s">
        <v>472</v>
      </c>
      <c r="E13" s="22" t="s">
        <v>431</v>
      </c>
      <c r="F13" s="30" t="n">
        <v>0.0711</v>
      </c>
      <c r="G13" s="31" t="n">
        <v>6</v>
      </c>
      <c r="H13" s="32" t="s">
        <v>563</v>
      </c>
      <c r="I13" s="29" t="s">
        <v>433</v>
      </c>
      <c r="J13" s="33" t="s">
        <v>826</v>
      </c>
      <c r="K13" s="22" t="s">
        <v>407</v>
      </c>
      <c r="L13" s="1" t="n">
        <v>0.08</v>
      </c>
      <c r="M13" s="7" t="s">
        <v>629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827</v>
      </c>
      <c r="B15" s="22" t="s">
        <v>470</v>
      </c>
      <c r="C15" s="29" t="s">
        <v>828</v>
      </c>
      <c r="D15" s="29" t="s">
        <v>472</v>
      </c>
      <c r="E15" s="22" t="s">
        <v>431</v>
      </c>
      <c r="F15" s="30" t="n">
        <v>0.08</v>
      </c>
      <c r="G15" s="31" t="n">
        <v>6</v>
      </c>
      <c r="H15" s="32" t="s">
        <v>767</v>
      </c>
      <c r="I15" s="29" t="s">
        <v>537</v>
      </c>
      <c r="J15" s="32" t="s">
        <v>829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830</v>
      </c>
      <c r="B16" s="22" t="s">
        <v>470</v>
      </c>
      <c r="C16" s="29" t="s">
        <v>831</v>
      </c>
      <c r="D16" s="22" t="s">
        <v>525</v>
      </c>
      <c r="E16" s="22" t="s">
        <v>424</v>
      </c>
      <c r="F16" s="30" t="n">
        <v>0.064</v>
      </c>
      <c r="G16" s="31" t="n">
        <v>6</v>
      </c>
      <c r="H16" s="32" t="s">
        <v>832</v>
      </c>
      <c r="I16" s="29" t="s">
        <v>439</v>
      </c>
      <c r="J16" s="33" t="s">
        <v>651</v>
      </c>
      <c r="K16" s="22" t="s">
        <v>475</v>
      </c>
      <c r="L16" s="1" t="n">
        <v>0.08</v>
      </c>
      <c r="M16" s="7" t="s">
        <v>745</v>
      </c>
      <c r="N16" s="7" t="s">
        <v>529</v>
      </c>
    </row>
    <row r="17" customFormat="false" ht="14.25" hidden="false" customHeight="true" outlineLevel="0" collapsed="false">
      <c r="A17" s="29" t="s">
        <v>833</v>
      </c>
      <c r="B17" s="22" t="s">
        <v>436</v>
      </c>
      <c r="C17" s="29" t="s">
        <v>834</v>
      </c>
      <c r="D17" s="29" t="s">
        <v>402</v>
      </c>
      <c r="E17" s="22" t="s">
        <v>431</v>
      </c>
      <c r="F17" s="30" t="n">
        <v>0.056</v>
      </c>
      <c r="G17" s="31" t="n">
        <v>6</v>
      </c>
      <c r="H17" s="32" t="s">
        <v>541</v>
      </c>
      <c r="I17" s="29" t="s">
        <v>439</v>
      </c>
      <c r="J17" s="33" t="s">
        <v>835</v>
      </c>
      <c r="K17" s="22" t="s">
        <v>407</v>
      </c>
      <c r="L17" s="1" t="n">
        <v>0.07</v>
      </c>
      <c r="M17" s="7" t="s">
        <v>745</v>
      </c>
      <c r="N17" s="7" t="s">
        <v>589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6.9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836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837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6.6</v>
      </c>
    </row>
    <row r="5" customFormat="false" ht="28.5" hidden="false" customHeight="true" outlineLevel="0" collapsed="false">
      <c r="A5" s="29" t="s">
        <v>838</v>
      </c>
      <c r="B5" s="22" t="s">
        <v>839</v>
      </c>
      <c r="C5" s="29" t="s">
        <v>717</v>
      </c>
      <c r="D5" s="29" t="s">
        <v>402</v>
      </c>
      <c r="E5" s="22" t="s">
        <v>424</v>
      </c>
      <c r="F5" s="30" t="n">
        <v>0.1333</v>
      </c>
      <c r="G5" s="34" t="n">
        <v>8</v>
      </c>
      <c r="H5" s="32" t="s">
        <v>425</v>
      </c>
      <c r="I5" s="29" t="s">
        <v>426</v>
      </c>
      <c r="J5" s="33" t="s">
        <v>840</v>
      </c>
      <c r="K5" s="22" t="s">
        <v>418</v>
      </c>
      <c r="L5" s="1" t="n">
        <v>0.15</v>
      </c>
      <c r="M5" s="7" t="s">
        <v>629</v>
      </c>
      <c r="N5" s="7" t="s">
        <v>419</v>
      </c>
      <c r="O5" s="1" t="s">
        <v>410</v>
      </c>
      <c r="P5" s="1" t="n">
        <f aca="false">ROUND(SUMPRODUCT(F10:F13,G10:G13)/SUM(F10:F13),1)</f>
        <v>5</v>
      </c>
    </row>
    <row r="6" customFormat="false" ht="28.5" hidden="false" customHeight="true" outlineLevel="0" collapsed="false">
      <c r="A6" s="29" t="s">
        <v>841</v>
      </c>
      <c r="B6" s="22" t="s">
        <v>842</v>
      </c>
      <c r="C6" s="29" t="s">
        <v>725</v>
      </c>
      <c r="D6" s="29" t="s">
        <v>402</v>
      </c>
      <c r="E6" s="22" t="s">
        <v>424</v>
      </c>
      <c r="F6" s="30" t="n">
        <v>0.0889</v>
      </c>
      <c r="G6" s="34" t="n">
        <v>8</v>
      </c>
      <c r="H6" s="32" t="s">
        <v>432</v>
      </c>
      <c r="I6" s="29" t="s">
        <v>483</v>
      </c>
      <c r="J6" s="33" t="s">
        <v>843</v>
      </c>
      <c r="K6" s="22" t="s">
        <v>407</v>
      </c>
      <c r="L6" s="1" t="n">
        <v>0.1</v>
      </c>
      <c r="M6" s="7" t="s">
        <v>629</v>
      </c>
      <c r="N6" s="7" t="s">
        <v>419</v>
      </c>
      <c r="O6" s="1" t="s">
        <v>420</v>
      </c>
      <c r="P6" s="1" t="n">
        <f aca="false">ROUND(SUMPRODUCT(F15:F17,G15:G17)/SUM(F15:F17),1)</f>
        <v>6</v>
      </c>
    </row>
    <row r="7" customFormat="false" ht="28.5" hidden="false" customHeight="true" outlineLevel="0" collapsed="false">
      <c r="A7" s="29" t="s">
        <v>844</v>
      </c>
      <c r="B7" s="22" t="s">
        <v>436</v>
      </c>
      <c r="C7" s="29" t="s">
        <v>717</v>
      </c>
      <c r="D7" s="29" t="s">
        <v>402</v>
      </c>
      <c r="E7" s="22" t="s">
        <v>424</v>
      </c>
      <c r="F7" s="30" t="n">
        <v>0.1067</v>
      </c>
      <c r="G7" s="38" t="n">
        <v>4</v>
      </c>
      <c r="H7" s="32" t="s">
        <v>541</v>
      </c>
      <c r="I7" s="29" t="s">
        <v>718</v>
      </c>
      <c r="J7" s="33" t="s">
        <v>719</v>
      </c>
      <c r="K7" s="22" t="s">
        <v>407</v>
      </c>
      <c r="L7" s="1" t="n">
        <v>0.12</v>
      </c>
      <c r="M7" s="7" t="s">
        <v>629</v>
      </c>
      <c r="N7" s="7" t="s">
        <v>409</v>
      </c>
    </row>
    <row r="8" customFormat="false" ht="28.5" hidden="false" customHeight="true" outlineLevel="0" collapsed="false">
      <c r="A8" s="29" t="s">
        <v>845</v>
      </c>
      <c r="B8" s="22" t="s">
        <v>805</v>
      </c>
      <c r="C8" s="29" t="s">
        <v>544</v>
      </c>
      <c r="D8" s="29" t="s">
        <v>402</v>
      </c>
      <c r="E8" s="22" t="s">
        <v>431</v>
      </c>
      <c r="F8" s="30" t="n">
        <v>0.0711</v>
      </c>
      <c r="G8" s="31" t="n">
        <v>6</v>
      </c>
      <c r="H8" s="32" t="s">
        <v>600</v>
      </c>
      <c r="I8" s="29" t="s">
        <v>433</v>
      </c>
      <c r="J8" s="33" t="s">
        <v>846</v>
      </c>
      <c r="K8" s="22" t="s">
        <v>407</v>
      </c>
      <c r="L8" s="1" t="n">
        <v>0.08</v>
      </c>
      <c r="M8" s="7" t="s">
        <v>629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847</v>
      </c>
      <c r="B10" s="22" t="s">
        <v>503</v>
      </c>
      <c r="C10" s="29" t="s">
        <v>848</v>
      </c>
      <c r="D10" s="22" t="s">
        <v>498</v>
      </c>
      <c r="E10" s="22" t="s">
        <v>424</v>
      </c>
      <c r="F10" s="30" t="n">
        <v>0.1143</v>
      </c>
      <c r="G10" s="38" t="n">
        <v>4</v>
      </c>
      <c r="H10" s="32" t="s">
        <v>849</v>
      </c>
      <c r="I10" s="29" t="s">
        <v>850</v>
      </c>
      <c r="J10" s="33" t="s">
        <v>851</v>
      </c>
      <c r="K10" s="22" t="s">
        <v>418</v>
      </c>
      <c r="L10" s="1" t="n">
        <v>0.12</v>
      </c>
      <c r="M10" s="7" t="s">
        <v>629</v>
      </c>
      <c r="N10" s="7" t="s">
        <v>419</v>
      </c>
    </row>
    <row r="11" customFormat="false" ht="28.5" hidden="false" customHeight="true" outlineLevel="0" collapsed="false">
      <c r="A11" s="29" t="s">
        <v>852</v>
      </c>
      <c r="B11" s="22" t="s">
        <v>503</v>
      </c>
      <c r="C11" s="29" t="s">
        <v>853</v>
      </c>
      <c r="D11" s="22" t="s">
        <v>498</v>
      </c>
      <c r="E11" s="22" t="s">
        <v>424</v>
      </c>
      <c r="F11" s="30" t="n">
        <v>0.0952</v>
      </c>
      <c r="G11" s="38" t="n">
        <v>4</v>
      </c>
      <c r="H11" s="32" t="s">
        <v>854</v>
      </c>
      <c r="I11" s="29" t="s">
        <v>569</v>
      </c>
      <c r="J11" s="33" t="s">
        <v>855</v>
      </c>
      <c r="K11" s="22" t="s">
        <v>418</v>
      </c>
      <c r="L11" s="1" t="n">
        <v>0.1</v>
      </c>
      <c r="M11" s="7" t="s">
        <v>629</v>
      </c>
      <c r="N11" s="7" t="s">
        <v>419</v>
      </c>
    </row>
    <row r="12" customFormat="false" ht="28.5" hidden="false" customHeight="true" outlineLevel="0" collapsed="false">
      <c r="A12" s="29" t="s">
        <v>856</v>
      </c>
      <c r="B12" s="22" t="s">
        <v>436</v>
      </c>
      <c r="C12" s="29" t="s">
        <v>857</v>
      </c>
      <c r="D12" s="29" t="s">
        <v>402</v>
      </c>
      <c r="E12" s="22" t="s">
        <v>431</v>
      </c>
      <c r="F12" s="30" t="n">
        <v>0.1143</v>
      </c>
      <c r="G12" s="31" t="n">
        <v>6</v>
      </c>
      <c r="H12" s="32" t="s">
        <v>541</v>
      </c>
      <c r="I12" s="29" t="s">
        <v>405</v>
      </c>
      <c r="J12" s="33" t="s">
        <v>858</v>
      </c>
      <c r="K12" s="22" t="s">
        <v>407</v>
      </c>
      <c r="L12" s="1" t="n">
        <v>0.12</v>
      </c>
      <c r="M12" s="7" t="s">
        <v>629</v>
      </c>
      <c r="N12" s="7" t="s">
        <v>589</v>
      </c>
    </row>
    <row r="13" customFormat="false" ht="28.5" hidden="false" customHeight="true" outlineLevel="0" collapsed="false">
      <c r="A13" s="29" t="s">
        <v>859</v>
      </c>
      <c r="B13" s="22" t="s">
        <v>503</v>
      </c>
      <c r="C13" s="29" t="s">
        <v>491</v>
      </c>
      <c r="D13" s="29" t="s">
        <v>472</v>
      </c>
      <c r="E13" s="22" t="s">
        <v>431</v>
      </c>
      <c r="F13" s="30" t="n">
        <v>0.0762</v>
      </c>
      <c r="G13" s="31" t="n">
        <v>6</v>
      </c>
      <c r="H13" s="32" t="s">
        <v>505</v>
      </c>
      <c r="I13" s="29" t="s">
        <v>439</v>
      </c>
      <c r="J13" s="33" t="s">
        <v>860</v>
      </c>
      <c r="K13" s="22" t="s">
        <v>407</v>
      </c>
      <c r="L13" s="1" t="n">
        <v>0.08</v>
      </c>
      <c r="M13" s="7" t="s">
        <v>629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861</v>
      </c>
      <c r="B15" s="22" t="s">
        <v>470</v>
      </c>
      <c r="C15" s="29" t="s">
        <v>535</v>
      </c>
      <c r="D15" s="29" t="s">
        <v>472</v>
      </c>
      <c r="E15" s="22" t="s">
        <v>431</v>
      </c>
      <c r="F15" s="30" t="n">
        <v>0.08</v>
      </c>
      <c r="G15" s="31" t="n">
        <v>6</v>
      </c>
      <c r="H15" s="32" t="s">
        <v>536</v>
      </c>
      <c r="I15" s="29" t="s">
        <v>439</v>
      </c>
      <c r="J15" s="32" t="s">
        <v>862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863</v>
      </c>
      <c r="B16" s="22" t="s">
        <v>470</v>
      </c>
      <c r="C16" s="29" t="s">
        <v>682</v>
      </c>
      <c r="D16" s="22" t="s">
        <v>525</v>
      </c>
      <c r="E16" s="22" t="s">
        <v>424</v>
      </c>
      <c r="F16" s="30" t="n">
        <v>0.064</v>
      </c>
      <c r="G16" s="31" t="n">
        <v>6</v>
      </c>
      <c r="H16" s="32" t="s">
        <v>864</v>
      </c>
      <c r="I16" s="29" t="s">
        <v>405</v>
      </c>
      <c r="J16" s="33" t="s">
        <v>651</v>
      </c>
      <c r="K16" s="22" t="s">
        <v>475</v>
      </c>
      <c r="L16" s="1" t="n">
        <v>0.08</v>
      </c>
      <c r="M16" s="7" t="s">
        <v>745</v>
      </c>
      <c r="N16" s="7" t="s">
        <v>529</v>
      </c>
    </row>
    <row r="17" customFormat="false" ht="28.5" hidden="false" customHeight="true" outlineLevel="0" collapsed="false">
      <c r="A17" s="29" t="s">
        <v>865</v>
      </c>
      <c r="B17" s="22" t="s">
        <v>436</v>
      </c>
      <c r="C17" s="29" t="s">
        <v>733</v>
      </c>
      <c r="D17" s="29" t="s">
        <v>402</v>
      </c>
      <c r="E17" s="22" t="s">
        <v>431</v>
      </c>
      <c r="F17" s="30" t="n">
        <v>0.056</v>
      </c>
      <c r="G17" s="31" t="n">
        <v>6</v>
      </c>
      <c r="H17" s="32" t="s">
        <v>541</v>
      </c>
      <c r="I17" s="29" t="s">
        <v>433</v>
      </c>
      <c r="J17" s="33" t="s">
        <v>866</v>
      </c>
      <c r="K17" s="22" t="s">
        <v>475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5.8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867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868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8</v>
      </c>
    </row>
    <row r="5" customFormat="false" ht="28.5" hidden="false" customHeight="true" outlineLevel="0" collapsed="false">
      <c r="A5" s="29" t="s">
        <v>869</v>
      </c>
      <c r="B5" s="29" t="s">
        <v>870</v>
      </c>
      <c r="C5" s="29" t="s">
        <v>871</v>
      </c>
      <c r="D5" s="22" t="s">
        <v>872</v>
      </c>
      <c r="E5" s="22" t="s">
        <v>431</v>
      </c>
      <c r="F5" s="30" t="n">
        <v>0.1667</v>
      </c>
      <c r="G5" s="34" t="n">
        <v>8</v>
      </c>
      <c r="H5" s="32" t="s">
        <v>873</v>
      </c>
      <c r="I5" s="29" t="s">
        <v>646</v>
      </c>
      <c r="J5" s="33" t="s">
        <v>874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ROUND(SUMPRODUCT(F10:F13,G10:G13)/SUM(F10:F13),1)</f>
        <v>7.2</v>
      </c>
    </row>
    <row r="6" customFormat="false" ht="28.5" hidden="false" customHeight="true" outlineLevel="0" collapsed="false">
      <c r="A6" s="29" t="s">
        <v>875</v>
      </c>
      <c r="B6" s="22" t="s">
        <v>876</v>
      </c>
      <c r="C6" s="29" t="s">
        <v>877</v>
      </c>
      <c r="D6" s="29" t="s">
        <v>472</v>
      </c>
      <c r="E6" s="22" t="s">
        <v>878</v>
      </c>
      <c r="F6" s="30" t="n">
        <v>0.1111</v>
      </c>
      <c r="G6" s="34" t="n">
        <v>8</v>
      </c>
      <c r="H6" s="32" t="s">
        <v>879</v>
      </c>
      <c r="I6" s="29" t="s">
        <v>447</v>
      </c>
      <c r="J6" s="33" t="s">
        <v>880</v>
      </c>
      <c r="K6" s="22" t="s">
        <v>441</v>
      </c>
      <c r="L6" s="1" t="n">
        <v>0.1</v>
      </c>
      <c r="M6" s="7" t="s">
        <v>408</v>
      </c>
      <c r="N6" s="7" t="s">
        <v>409</v>
      </c>
      <c r="O6" s="1" t="s">
        <v>420</v>
      </c>
      <c r="P6" s="1" t="n">
        <f aca="false">ROUND(SUMPRODUCT(F15:F17,G15:G17)/SUM(F15:F17),1)</f>
        <v>8</v>
      </c>
    </row>
    <row r="7" customFormat="false" ht="28.5" hidden="false" customHeight="true" outlineLevel="0" collapsed="false">
      <c r="A7" s="29" t="s">
        <v>881</v>
      </c>
      <c r="B7" s="22" t="s">
        <v>882</v>
      </c>
      <c r="C7" s="29" t="s">
        <v>725</v>
      </c>
      <c r="D7" s="29" t="s">
        <v>402</v>
      </c>
      <c r="E7" s="22" t="s">
        <v>424</v>
      </c>
      <c r="F7" s="30" t="n">
        <v>0.1111</v>
      </c>
      <c r="G7" s="34" t="n">
        <v>8</v>
      </c>
      <c r="H7" s="32" t="s">
        <v>432</v>
      </c>
      <c r="I7" s="29" t="s">
        <v>483</v>
      </c>
      <c r="J7" s="33" t="s">
        <v>883</v>
      </c>
      <c r="K7" s="22" t="s">
        <v>407</v>
      </c>
      <c r="L7" s="1" t="n">
        <v>0.1</v>
      </c>
      <c r="M7" s="7" t="s">
        <v>408</v>
      </c>
      <c r="N7" s="7" t="s">
        <v>419</v>
      </c>
    </row>
    <row r="8" customFormat="false" ht="28.5" hidden="false" customHeight="true" outlineLevel="0" collapsed="false">
      <c r="A8" s="29" t="s">
        <v>884</v>
      </c>
      <c r="B8" s="29" t="s">
        <v>885</v>
      </c>
      <c r="C8" s="29" t="s">
        <v>712</v>
      </c>
      <c r="D8" s="29" t="s">
        <v>402</v>
      </c>
      <c r="E8" s="22" t="s">
        <v>431</v>
      </c>
      <c r="F8" s="30" t="n">
        <v>0.1111</v>
      </c>
      <c r="G8" s="34" t="n">
        <v>8</v>
      </c>
      <c r="H8" s="32" t="s">
        <v>886</v>
      </c>
      <c r="I8" s="29" t="s">
        <v>480</v>
      </c>
      <c r="J8" s="33" t="s">
        <v>887</v>
      </c>
      <c r="K8" s="22" t="s">
        <v>475</v>
      </c>
      <c r="L8" s="1" t="n">
        <v>0.1</v>
      </c>
      <c r="M8" s="7" t="s">
        <v>408</v>
      </c>
      <c r="N8" s="7" t="s">
        <v>679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14.25" hidden="false" customHeight="true" outlineLevel="0" collapsed="false">
      <c r="A10" s="29" t="s">
        <v>888</v>
      </c>
      <c r="B10" s="22" t="s">
        <v>436</v>
      </c>
      <c r="C10" s="29" t="s">
        <v>540</v>
      </c>
      <c r="D10" s="29" t="s">
        <v>402</v>
      </c>
      <c r="E10" s="22" t="s">
        <v>431</v>
      </c>
      <c r="F10" s="30" t="n">
        <v>0.1105</v>
      </c>
      <c r="G10" s="34" t="n">
        <v>8</v>
      </c>
      <c r="H10" s="32" t="s">
        <v>541</v>
      </c>
      <c r="I10" s="29" t="s">
        <v>454</v>
      </c>
      <c r="J10" s="33" t="s">
        <v>889</v>
      </c>
      <c r="K10" s="22" t="s">
        <v>407</v>
      </c>
      <c r="L10" s="1" t="n">
        <v>0.12</v>
      </c>
      <c r="M10" s="7" t="s">
        <v>449</v>
      </c>
      <c r="N10" s="7" t="s">
        <v>589</v>
      </c>
    </row>
    <row r="11" customFormat="false" ht="14.25" hidden="false" customHeight="true" outlineLevel="0" collapsed="false">
      <c r="A11" s="29" t="s">
        <v>890</v>
      </c>
      <c r="B11" s="22" t="s">
        <v>436</v>
      </c>
      <c r="C11" s="29" t="s">
        <v>736</v>
      </c>
      <c r="D11" s="29" t="s">
        <v>402</v>
      </c>
      <c r="E11" s="22" t="s">
        <v>431</v>
      </c>
      <c r="F11" s="30" t="n">
        <v>0.0737</v>
      </c>
      <c r="G11" s="31" t="n">
        <v>6</v>
      </c>
      <c r="H11" s="32" t="s">
        <v>776</v>
      </c>
      <c r="I11" s="29" t="s">
        <v>447</v>
      </c>
      <c r="J11" s="33" t="s">
        <v>891</v>
      </c>
      <c r="K11" s="22" t="s">
        <v>407</v>
      </c>
      <c r="L11" s="1" t="n">
        <v>0.08</v>
      </c>
      <c r="M11" s="7" t="s">
        <v>449</v>
      </c>
      <c r="N11" s="7" t="s">
        <v>589</v>
      </c>
    </row>
    <row r="12" customFormat="false" ht="28.5" hidden="false" customHeight="true" outlineLevel="0" collapsed="false">
      <c r="A12" s="29" t="s">
        <v>892</v>
      </c>
      <c r="B12" s="22" t="s">
        <v>429</v>
      </c>
      <c r="C12" s="29" t="s">
        <v>659</v>
      </c>
      <c r="D12" s="29" t="s">
        <v>402</v>
      </c>
      <c r="E12" s="22" t="s">
        <v>431</v>
      </c>
      <c r="F12" s="30" t="n">
        <v>0.0921</v>
      </c>
      <c r="G12" s="34" t="n">
        <v>8</v>
      </c>
      <c r="H12" s="32" t="s">
        <v>473</v>
      </c>
      <c r="I12" s="29" t="s">
        <v>739</v>
      </c>
      <c r="J12" s="33" t="s">
        <v>893</v>
      </c>
      <c r="K12" s="22" t="s">
        <v>407</v>
      </c>
      <c r="L12" s="1" t="n">
        <v>0.1</v>
      </c>
      <c r="M12" s="7" t="s">
        <v>449</v>
      </c>
      <c r="N12" s="7" t="s">
        <v>409</v>
      </c>
    </row>
    <row r="13" customFormat="false" ht="28.5" hidden="false" customHeight="true" outlineLevel="0" collapsed="false">
      <c r="A13" s="29" t="s">
        <v>894</v>
      </c>
      <c r="B13" s="22" t="s">
        <v>895</v>
      </c>
      <c r="C13" s="29" t="s">
        <v>733</v>
      </c>
      <c r="D13" s="29" t="s">
        <v>402</v>
      </c>
      <c r="E13" s="22" t="s">
        <v>431</v>
      </c>
      <c r="F13" s="30" t="n">
        <v>0.0737</v>
      </c>
      <c r="G13" s="31" t="n">
        <v>6</v>
      </c>
      <c r="H13" s="32" t="s">
        <v>541</v>
      </c>
      <c r="I13" s="29" t="s">
        <v>460</v>
      </c>
      <c r="J13" s="33" t="s">
        <v>896</v>
      </c>
      <c r="K13" s="22" t="s">
        <v>407</v>
      </c>
      <c r="L13" s="1" t="n">
        <v>0.08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897</v>
      </c>
      <c r="B15" s="22" t="s">
        <v>470</v>
      </c>
      <c r="C15" s="29" t="s">
        <v>581</v>
      </c>
      <c r="D15" s="29" t="s">
        <v>472</v>
      </c>
      <c r="E15" s="22" t="s">
        <v>431</v>
      </c>
      <c r="F15" s="30" t="n">
        <v>0.06</v>
      </c>
      <c r="G15" s="34" t="n">
        <v>8</v>
      </c>
      <c r="H15" s="32" t="s">
        <v>898</v>
      </c>
      <c r="I15" s="29" t="s">
        <v>532</v>
      </c>
      <c r="J15" s="32" t="s">
        <v>899</v>
      </c>
      <c r="K15" s="22" t="s">
        <v>475</v>
      </c>
      <c r="L15" s="1" t="n">
        <v>0.1</v>
      </c>
      <c r="M15" s="7" t="s">
        <v>476</v>
      </c>
      <c r="N15" s="7" t="s">
        <v>419</v>
      </c>
    </row>
    <row r="16" customFormat="false" ht="28.5" hidden="false" customHeight="true" outlineLevel="0" collapsed="false">
      <c r="A16" s="29" t="s">
        <v>900</v>
      </c>
      <c r="B16" s="22" t="s">
        <v>470</v>
      </c>
      <c r="C16" s="29" t="s">
        <v>901</v>
      </c>
      <c r="D16" s="29" t="s">
        <v>472</v>
      </c>
      <c r="E16" s="22" t="s">
        <v>431</v>
      </c>
      <c r="F16" s="30" t="n">
        <v>0.048</v>
      </c>
      <c r="G16" s="34" t="n">
        <v>8</v>
      </c>
      <c r="H16" s="32" t="s">
        <v>902</v>
      </c>
      <c r="I16" s="29" t="s">
        <v>480</v>
      </c>
      <c r="J16" s="33" t="s">
        <v>903</v>
      </c>
      <c r="K16" s="22" t="s">
        <v>475</v>
      </c>
      <c r="L16" s="1" t="n">
        <v>0.08</v>
      </c>
      <c r="M16" s="7" t="s">
        <v>476</v>
      </c>
      <c r="N16" s="7" t="s">
        <v>409</v>
      </c>
    </row>
    <row r="17" customFormat="false" ht="28.5" hidden="false" customHeight="true" outlineLevel="0" collapsed="false">
      <c r="A17" s="29" t="s">
        <v>904</v>
      </c>
      <c r="B17" s="22" t="s">
        <v>436</v>
      </c>
      <c r="C17" s="29" t="s">
        <v>709</v>
      </c>
      <c r="D17" s="29" t="s">
        <v>402</v>
      </c>
      <c r="E17" s="22" t="s">
        <v>431</v>
      </c>
      <c r="F17" s="30" t="n">
        <v>0.042</v>
      </c>
      <c r="G17" s="34" t="n">
        <v>8</v>
      </c>
      <c r="H17" s="32" t="s">
        <v>473</v>
      </c>
      <c r="I17" s="29" t="s">
        <v>532</v>
      </c>
      <c r="J17" s="33" t="s">
        <v>905</v>
      </c>
      <c r="K17" s="22" t="s">
        <v>407</v>
      </c>
      <c r="L17" s="1" t="n">
        <v>0.07</v>
      </c>
      <c r="M17" s="7" t="s">
        <v>476</v>
      </c>
      <c r="N17" s="7" t="s">
        <v>477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7.7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906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907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9</v>
      </c>
    </row>
    <row r="5" customFormat="false" ht="28.5" hidden="false" customHeight="true" outlineLevel="0" collapsed="false">
      <c r="A5" s="29" t="s">
        <v>908</v>
      </c>
      <c r="B5" s="22" t="s">
        <v>496</v>
      </c>
      <c r="C5" s="29" t="s">
        <v>605</v>
      </c>
      <c r="D5" s="29" t="s">
        <v>402</v>
      </c>
      <c r="E5" s="22" t="s">
        <v>424</v>
      </c>
      <c r="F5" s="30" t="n">
        <v>0.1</v>
      </c>
      <c r="G5" s="34" t="n">
        <v>10</v>
      </c>
      <c r="H5" s="32" t="s">
        <v>425</v>
      </c>
      <c r="I5" s="29" t="s">
        <v>909</v>
      </c>
      <c r="J5" s="33" t="s">
        <v>910</v>
      </c>
      <c r="K5" s="22" t="s">
        <v>418</v>
      </c>
      <c r="L5" s="1" t="n">
        <v>0.15</v>
      </c>
      <c r="M5" s="7" t="s">
        <v>758</v>
      </c>
      <c r="N5" s="7" t="s">
        <v>419</v>
      </c>
      <c r="O5" s="1" t="s">
        <v>410</v>
      </c>
      <c r="P5" s="1" t="n">
        <f aca="false">ROUND(SUMPRODUCT(F10:F13,G10:G13)/SUM(F10:F13),1)</f>
        <v>7.1</v>
      </c>
    </row>
    <row r="6" customFormat="false" ht="28.5" hidden="false" customHeight="true" outlineLevel="0" collapsed="false">
      <c r="A6" s="29" t="s">
        <v>911</v>
      </c>
      <c r="B6" s="22" t="s">
        <v>429</v>
      </c>
      <c r="C6" s="29" t="s">
        <v>912</v>
      </c>
      <c r="D6" s="29" t="s">
        <v>402</v>
      </c>
      <c r="E6" s="22" t="s">
        <v>424</v>
      </c>
      <c r="F6" s="30" t="n">
        <v>0.08</v>
      </c>
      <c r="G6" s="34" t="n">
        <v>8</v>
      </c>
      <c r="H6" s="32" t="s">
        <v>432</v>
      </c>
      <c r="I6" s="29" t="s">
        <v>569</v>
      </c>
      <c r="J6" s="33" t="s">
        <v>913</v>
      </c>
      <c r="K6" s="22" t="s">
        <v>407</v>
      </c>
      <c r="L6" s="1" t="n">
        <v>0.12</v>
      </c>
      <c r="M6" s="7" t="s">
        <v>758</v>
      </c>
      <c r="N6" s="7" t="s">
        <v>419</v>
      </c>
      <c r="O6" s="1" t="s">
        <v>420</v>
      </c>
      <c r="P6" s="1" t="n">
        <f aca="false">ROUND(SUMPRODUCT(F15:F17,G15:G17)/SUM(F15:F17),1)</f>
        <v>8</v>
      </c>
    </row>
    <row r="7" customFormat="false" ht="28.5" hidden="false" customHeight="true" outlineLevel="0" collapsed="false">
      <c r="A7" s="29" t="s">
        <v>914</v>
      </c>
      <c r="B7" s="22" t="s">
        <v>915</v>
      </c>
      <c r="C7" s="29" t="s">
        <v>916</v>
      </c>
      <c r="D7" s="29" t="s">
        <v>917</v>
      </c>
      <c r="E7" s="22" t="s">
        <v>918</v>
      </c>
      <c r="F7" s="30" t="n">
        <v>0.0667</v>
      </c>
      <c r="G7" s="34" t="n">
        <v>8</v>
      </c>
      <c r="H7" s="32" t="s">
        <v>919</v>
      </c>
      <c r="I7" s="29" t="s">
        <v>646</v>
      </c>
      <c r="J7" s="33" t="s">
        <v>920</v>
      </c>
      <c r="K7" s="22" t="s">
        <v>467</v>
      </c>
      <c r="L7" s="1" t="n">
        <v>0.1</v>
      </c>
      <c r="M7" s="7" t="s">
        <v>758</v>
      </c>
      <c r="N7" s="7" t="s">
        <v>409</v>
      </c>
    </row>
    <row r="8" customFormat="false" ht="28.5" hidden="false" customHeight="true" outlineLevel="0" collapsed="false">
      <c r="A8" s="29" t="s">
        <v>921</v>
      </c>
      <c r="B8" s="22" t="s">
        <v>922</v>
      </c>
      <c r="C8" s="29" t="s">
        <v>923</v>
      </c>
      <c r="D8" s="29" t="s">
        <v>924</v>
      </c>
      <c r="E8" s="22" t="s">
        <v>925</v>
      </c>
      <c r="F8" s="30" t="n">
        <v>0.0533</v>
      </c>
      <c r="G8" s="34" t="n">
        <v>10</v>
      </c>
      <c r="H8" s="32" t="s">
        <v>926</v>
      </c>
      <c r="I8" s="29" t="s">
        <v>627</v>
      </c>
      <c r="J8" s="33" t="s">
        <v>927</v>
      </c>
      <c r="K8" s="22" t="s">
        <v>441</v>
      </c>
      <c r="L8" s="1" t="n">
        <v>0.08</v>
      </c>
      <c r="M8" s="7" t="s">
        <v>758</v>
      </c>
      <c r="N8" s="7" t="s">
        <v>679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928</v>
      </c>
      <c r="B10" s="22" t="s">
        <v>922</v>
      </c>
      <c r="C10" s="29" t="s">
        <v>640</v>
      </c>
      <c r="D10" s="29" t="s">
        <v>402</v>
      </c>
      <c r="E10" s="22" t="s">
        <v>431</v>
      </c>
      <c r="F10" s="30" t="n">
        <v>0.1646</v>
      </c>
      <c r="G10" s="34" t="n">
        <v>8</v>
      </c>
      <c r="H10" s="32" t="s">
        <v>767</v>
      </c>
      <c r="I10" s="29" t="s">
        <v>454</v>
      </c>
      <c r="J10" s="33" t="s">
        <v>929</v>
      </c>
      <c r="K10" s="22" t="s">
        <v>407</v>
      </c>
      <c r="L10" s="1" t="n">
        <v>0.15</v>
      </c>
      <c r="M10" s="7" t="s">
        <v>608</v>
      </c>
      <c r="N10" s="7" t="s">
        <v>409</v>
      </c>
    </row>
    <row r="11" customFormat="false" ht="28.5" hidden="false" customHeight="true" outlineLevel="0" collapsed="false">
      <c r="A11" s="29" t="s">
        <v>930</v>
      </c>
      <c r="B11" s="22" t="s">
        <v>922</v>
      </c>
      <c r="C11" s="29" t="s">
        <v>931</v>
      </c>
      <c r="D11" s="22" t="s">
        <v>932</v>
      </c>
      <c r="E11" s="22" t="s">
        <v>431</v>
      </c>
      <c r="F11" s="30" t="n">
        <v>0.1098</v>
      </c>
      <c r="G11" s="31" t="n">
        <v>6</v>
      </c>
      <c r="H11" s="32" t="s">
        <v>933</v>
      </c>
      <c r="I11" s="29" t="s">
        <v>447</v>
      </c>
      <c r="J11" s="33" t="s">
        <v>934</v>
      </c>
      <c r="K11" s="22" t="s">
        <v>407</v>
      </c>
      <c r="L11" s="1" t="n">
        <v>0.1</v>
      </c>
      <c r="M11" s="7" t="s">
        <v>608</v>
      </c>
      <c r="N11" s="7" t="s">
        <v>409</v>
      </c>
    </row>
    <row r="12" customFormat="false" ht="28.5" hidden="false" customHeight="true" outlineLevel="0" collapsed="false">
      <c r="A12" s="29" t="s">
        <v>935</v>
      </c>
      <c r="B12" s="22" t="s">
        <v>922</v>
      </c>
      <c r="C12" s="29" t="s">
        <v>936</v>
      </c>
      <c r="D12" s="22" t="s">
        <v>932</v>
      </c>
      <c r="E12" s="22" t="s">
        <v>431</v>
      </c>
      <c r="F12" s="30" t="n">
        <v>0.0878</v>
      </c>
      <c r="G12" s="34" t="n">
        <v>8</v>
      </c>
      <c r="H12" s="32" t="s">
        <v>937</v>
      </c>
      <c r="I12" s="29" t="s">
        <v>739</v>
      </c>
      <c r="J12" s="33" t="s">
        <v>938</v>
      </c>
      <c r="K12" s="22" t="s">
        <v>407</v>
      </c>
      <c r="L12" s="1" t="n">
        <v>0.08</v>
      </c>
      <c r="M12" s="7" t="s">
        <v>608</v>
      </c>
      <c r="N12" s="7" t="s">
        <v>409</v>
      </c>
    </row>
    <row r="13" customFormat="false" ht="28.5" hidden="false" customHeight="true" outlineLevel="0" collapsed="false">
      <c r="A13" s="29" t="s">
        <v>939</v>
      </c>
      <c r="B13" s="22" t="s">
        <v>922</v>
      </c>
      <c r="C13" s="29" t="s">
        <v>519</v>
      </c>
      <c r="D13" s="29" t="s">
        <v>520</v>
      </c>
      <c r="E13" s="22" t="s">
        <v>431</v>
      </c>
      <c r="F13" s="30" t="n">
        <v>0.0878</v>
      </c>
      <c r="G13" s="31" t="n">
        <v>6</v>
      </c>
      <c r="H13" s="32" t="s">
        <v>940</v>
      </c>
      <c r="I13" s="29" t="s">
        <v>460</v>
      </c>
      <c r="J13" s="33" t="s">
        <v>941</v>
      </c>
      <c r="K13" s="22" t="s">
        <v>407</v>
      </c>
      <c r="L13" s="1" t="n">
        <v>0.08</v>
      </c>
      <c r="M13" s="7" t="s">
        <v>608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942</v>
      </c>
      <c r="B15" s="22" t="s">
        <v>470</v>
      </c>
      <c r="C15" s="29" t="s">
        <v>742</v>
      </c>
      <c r="D15" s="29" t="s">
        <v>472</v>
      </c>
      <c r="E15" s="22" t="s">
        <v>431</v>
      </c>
      <c r="F15" s="30" t="n">
        <v>0.1</v>
      </c>
      <c r="G15" s="34" t="n">
        <v>8</v>
      </c>
      <c r="H15" s="32" t="s">
        <v>743</v>
      </c>
      <c r="I15" s="29" t="s">
        <v>480</v>
      </c>
      <c r="J15" s="32" t="s">
        <v>943</v>
      </c>
      <c r="K15" s="22" t="s">
        <v>475</v>
      </c>
      <c r="L15" s="1" t="n">
        <v>0.1</v>
      </c>
      <c r="M15" s="7" t="s">
        <v>787</v>
      </c>
      <c r="N15" s="7" t="s">
        <v>477</v>
      </c>
    </row>
    <row r="16" customFormat="false" ht="28.5" hidden="false" customHeight="true" outlineLevel="0" collapsed="false">
      <c r="A16" s="29" t="s">
        <v>944</v>
      </c>
      <c r="B16" s="22" t="s">
        <v>470</v>
      </c>
      <c r="C16" s="29" t="s">
        <v>945</v>
      </c>
      <c r="D16" s="29" t="s">
        <v>472</v>
      </c>
      <c r="E16" s="22" t="s">
        <v>424</v>
      </c>
      <c r="F16" s="30" t="n">
        <v>0.08</v>
      </c>
      <c r="G16" s="34" t="n">
        <v>8</v>
      </c>
      <c r="H16" s="32" t="s">
        <v>946</v>
      </c>
      <c r="I16" s="29" t="s">
        <v>405</v>
      </c>
      <c r="J16" s="33" t="s">
        <v>947</v>
      </c>
      <c r="K16" s="22" t="s">
        <v>475</v>
      </c>
      <c r="L16" s="1" t="n">
        <v>0.08</v>
      </c>
      <c r="M16" s="7" t="s">
        <v>787</v>
      </c>
      <c r="N16" s="7" t="s">
        <v>529</v>
      </c>
    </row>
    <row r="17" customFormat="false" ht="28.5" hidden="false" customHeight="true" outlineLevel="0" collapsed="false">
      <c r="A17" s="29" t="s">
        <v>948</v>
      </c>
      <c r="B17" s="22" t="s">
        <v>436</v>
      </c>
      <c r="C17" s="29" t="s">
        <v>622</v>
      </c>
      <c r="D17" s="29" t="s">
        <v>402</v>
      </c>
      <c r="E17" s="22" t="s">
        <v>431</v>
      </c>
      <c r="F17" s="30" t="n">
        <v>0.07</v>
      </c>
      <c r="G17" s="34" t="n">
        <v>8</v>
      </c>
      <c r="H17" s="32" t="s">
        <v>473</v>
      </c>
      <c r="I17" s="29" t="s">
        <v>646</v>
      </c>
      <c r="J17" s="33" t="s">
        <v>949</v>
      </c>
      <c r="K17" s="22" t="s">
        <v>475</v>
      </c>
      <c r="L17" s="1" t="n">
        <v>0.07</v>
      </c>
      <c r="M17" s="7" t="s">
        <v>787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7.9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950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951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8</v>
      </c>
    </row>
    <row r="5" customFormat="false" ht="28.5" hidden="false" customHeight="true" outlineLevel="0" collapsed="false">
      <c r="A5" s="29" t="s">
        <v>952</v>
      </c>
      <c r="B5" s="22" t="s">
        <v>953</v>
      </c>
      <c r="C5" s="29" t="s">
        <v>954</v>
      </c>
      <c r="D5" s="22" t="s">
        <v>458</v>
      </c>
      <c r="E5" s="22" t="s">
        <v>431</v>
      </c>
      <c r="F5" s="30" t="n">
        <v>0.1333</v>
      </c>
      <c r="G5" s="34" t="n">
        <v>8</v>
      </c>
      <c r="H5" s="32" t="s">
        <v>955</v>
      </c>
      <c r="I5" s="29" t="s">
        <v>672</v>
      </c>
      <c r="J5" s="33" t="s">
        <v>956</v>
      </c>
      <c r="K5" s="22" t="s">
        <v>467</v>
      </c>
      <c r="L5" s="1" t="n">
        <v>0.15</v>
      </c>
      <c r="M5" s="7" t="s">
        <v>629</v>
      </c>
      <c r="N5" s="7" t="s">
        <v>409</v>
      </c>
      <c r="O5" s="1" t="s">
        <v>410</v>
      </c>
      <c r="P5" s="1" t="n">
        <f aca="false">ROUND(SUMPRODUCT(F10:F13,G10:G13)/SUM(F10:F13),1)</f>
        <v>8</v>
      </c>
    </row>
    <row r="6" customFormat="false" ht="28.5" hidden="false" customHeight="true" outlineLevel="0" collapsed="false">
      <c r="A6" s="29" t="s">
        <v>957</v>
      </c>
      <c r="B6" s="22" t="s">
        <v>953</v>
      </c>
      <c r="C6" s="29" t="s">
        <v>958</v>
      </c>
      <c r="D6" s="22" t="s">
        <v>458</v>
      </c>
      <c r="E6" s="22" t="s">
        <v>431</v>
      </c>
      <c r="F6" s="30" t="n">
        <v>0.0889</v>
      </c>
      <c r="G6" s="34" t="n">
        <v>8</v>
      </c>
      <c r="H6" s="32" t="s">
        <v>959</v>
      </c>
      <c r="I6" s="29" t="s">
        <v>532</v>
      </c>
      <c r="J6" s="33" t="s">
        <v>960</v>
      </c>
      <c r="K6" s="22" t="s">
        <v>467</v>
      </c>
      <c r="L6" s="1" t="n">
        <v>0.1</v>
      </c>
      <c r="M6" s="7" t="s">
        <v>629</v>
      </c>
      <c r="N6" s="7" t="s">
        <v>409</v>
      </c>
      <c r="O6" s="1" t="s">
        <v>420</v>
      </c>
      <c r="P6" s="1" t="n">
        <f aca="false">ROUND(SUMPRODUCT(F15:F17,G15:G17)/SUM(F15:F17),1)</f>
        <v>8</v>
      </c>
    </row>
    <row r="7" customFormat="false" ht="28.5" hidden="false" customHeight="true" outlineLevel="0" collapsed="false">
      <c r="A7" s="29" t="s">
        <v>961</v>
      </c>
      <c r="B7" s="22" t="s">
        <v>962</v>
      </c>
      <c r="C7" s="29" t="s">
        <v>963</v>
      </c>
      <c r="D7" s="22" t="s">
        <v>458</v>
      </c>
      <c r="E7" s="22" t="s">
        <v>431</v>
      </c>
      <c r="F7" s="30" t="n">
        <v>0.1067</v>
      </c>
      <c r="G7" s="34" t="n">
        <v>8</v>
      </c>
      <c r="H7" s="32" t="s">
        <v>964</v>
      </c>
      <c r="I7" s="29" t="s">
        <v>454</v>
      </c>
      <c r="J7" s="33" t="s">
        <v>965</v>
      </c>
      <c r="K7" s="22" t="s">
        <v>418</v>
      </c>
      <c r="L7" s="1" t="n">
        <v>0.12</v>
      </c>
      <c r="M7" s="7" t="s">
        <v>629</v>
      </c>
      <c r="N7" s="7" t="s">
        <v>409</v>
      </c>
    </row>
    <row r="8" customFormat="false" ht="28.5" hidden="false" customHeight="true" outlineLevel="0" collapsed="false">
      <c r="A8" s="29" t="s">
        <v>966</v>
      </c>
      <c r="B8" s="29" t="s">
        <v>967</v>
      </c>
      <c r="C8" s="29" t="s">
        <v>717</v>
      </c>
      <c r="D8" s="29" t="s">
        <v>402</v>
      </c>
      <c r="E8" s="22" t="s">
        <v>424</v>
      </c>
      <c r="F8" s="30" t="n">
        <v>0.0711</v>
      </c>
      <c r="G8" s="34" t="n">
        <v>8</v>
      </c>
      <c r="H8" s="32" t="s">
        <v>425</v>
      </c>
      <c r="I8" s="29" t="s">
        <v>426</v>
      </c>
      <c r="J8" s="33" t="s">
        <v>968</v>
      </c>
      <c r="K8" s="22" t="s">
        <v>407</v>
      </c>
      <c r="L8" s="1" t="n">
        <v>0.08</v>
      </c>
      <c r="M8" s="7" t="s">
        <v>629</v>
      </c>
      <c r="N8" s="7" t="s">
        <v>419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969</v>
      </c>
      <c r="B10" s="22" t="s">
        <v>970</v>
      </c>
      <c r="C10" s="29" t="s">
        <v>971</v>
      </c>
      <c r="D10" s="29" t="s">
        <v>402</v>
      </c>
      <c r="E10" s="22" t="s">
        <v>431</v>
      </c>
      <c r="F10" s="30" t="n">
        <v>0.12</v>
      </c>
      <c r="G10" s="34" t="n">
        <v>8</v>
      </c>
      <c r="H10" s="32" t="s">
        <v>972</v>
      </c>
      <c r="I10" s="29" t="s">
        <v>460</v>
      </c>
      <c r="J10" s="33" t="s">
        <v>973</v>
      </c>
      <c r="K10" s="22" t="s">
        <v>407</v>
      </c>
      <c r="L10" s="1" t="n">
        <v>0.12</v>
      </c>
      <c r="M10" s="7" t="s">
        <v>629</v>
      </c>
      <c r="N10" s="7" t="s">
        <v>589</v>
      </c>
    </row>
    <row r="11" customFormat="false" ht="28.5" hidden="false" customHeight="true" outlineLevel="0" collapsed="false">
      <c r="A11" s="29" t="s">
        <v>974</v>
      </c>
      <c r="B11" s="22" t="s">
        <v>975</v>
      </c>
      <c r="C11" s="29" t="s">
        <v>976</v>
      </c>
      <c r="D11" s="29" t="s">
        <v>402</v>
      </c>
      <c r="E11" s="22" t="s">
        <v>431</v>
      </c>
      <c r="F11" s="30" t="n">
        <v>0.12</v>
      </c>
      <c r="G11" s="34" t="n">
        <v>8</v>
      </c>
      <c r="H11" s="32" t="s">
        <v>977</v>
      </c>
      <c r="I11" s="29" t="s">
        <v>739</v>
      </c>
      <c r="J11" s="33" t="s">
        <v>978</v>
      </c>
      <c r="K11" s="22" t="s">
        <v>407</v>
      </c>
      <c r="L11" s="1" t="n">
        <v>0.12</v>
      </c>
      <c r="M11" s="7" t="s">
        <v>629</v>
      </c>
      <c r="N11" s="7" t="s">
        <v>589</v>
      </c>
    </row>
    <row r="12" customFormat="false" ht="14.25" hidden="false" customHeight="true" outlineLevel="0" collapsed="false">
      <c r="A12" s="29" t="s">
        <v>979</v>
      </c>
      <c r="B12" s="22" t="s">
        <v>980</v>
      </c>
      <c r="C12" s="29" t="s">
        <v>981</v>
      </c>
      <c r="D12" s="29" t="s">
        <v>402</v>
      </c>
      <c r="E12" s="22" t="s">
        <v>431</v>
      </c>
      <c r="F12" s="30" t="n">
        <v>0.08</v>
      </c>
      <c r="G12" s="31" t="n">
        <v>6</v>
      </c>
      <c r="H12" s="32" t="s">
        <v>972</v>
      </c>
      <c r="I12" s="29" t="s">
        <v>447</v>
      </c>
      <c r="J12" s="33" t="s">
        <v>982</v>
      </c>
      <c r="K12" s="22" t="s">
        <v>407</v>
      </c>
      <c r="L12" s="1" t="n">
        <v>0.08</v>
      </c>
      <c r="M12" s="7" t="s">
        <v>629</v>
      </c>
      <c r="N12" s="7" t="s">
        <v>589</v>
      </c>
    </row>
    <row r="13" customFormat="false" ht="28.5" hidden="false" customHeight="true" outlineLevel="0" collapsed="false">
      <c r="A13" s="29" t="s">
        <v>983</v>
      </c>
      <c r="B13" s="22" t="s">
        <v>984</v>
      </c>
      <c r="C13" s="29" t="s">
        <v>664</v>
      </c>
      <c r="D13" s="29" t="s">
        <v>402</v>
      </c>
      <c r="E13" s="22" t="s">
        <v>431</v>
      </c>
      <c r="F13" s="30" t="n">
        <v>0.08</v>
      </c>
      <c r="G13" s="34" t="n">
        <v>10</v>
      </c>
      <c r="H13" s="32" t="s">
        <v>785</v>
      </c>
      <c r="I13" s="29" t="s">
        <v>653</v>
      </c>
      <c r="J13" s="33" t="s">
        <v>985</v>
      </c>
      <c r="K13" s="22" t="s">
        <v>407</v>
      </c>
      <c r="L13" s="1" t="n">
        <v>0.08</v>
      </c>
      <c r="M13" s="7" t="s">
        <v>629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986</v>
      </c>
      <c r="B15" s="22" t="s">
        <v>470</v>
      </c>
      <c r="C15" s="29" t="s">
        <v>987</v>
      </c>
      <c r="D15" s="22" t="s">
        <v>592</v>
      </c>
      <c r="E15" s="22" t="s">
        <v>431</v>
      </c>
      <c r="F15" s="30" t="n">
        <v>0.08</v>
      </c>
      <c r="G15" s="34" t="n">
        <v>8</v>
      </c>
      <c r="H15" s="32" t="s">
        <v>593</v>
      </c>
      <c r="I15" s="29" t="s">
        <v>672</v>
      </c>
      <c r="J15" s="32" t="s">
        <v>988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989</v>
      </c>
      <c r="B16" s="22" t="s">
        <v>470</v>
      </c>
      <c r="C16" s="29" t="s">
        <v>682</v>
      </c>
      <c r="D16" s="29" t="s">
        <v>472</v>
      </c>
      <c r="E16" s="22" t="s">
        <v>424</v>
      </c>
      <c r="F16" s="30" t="n">
        <v>0.064</v>
      </c>
      <c r="G16" s="34" t="n">
        <v>8</v>
      </c>
      <c r="H16" s="32" t="s">
        <v>990</v>
      </c>
      <c r="I16" s="29" t="s">
        <v>439</v>
      </c>
      <c r="J16" s="33" t="s">
        <v>947</v>
      </c>
      <c r="K16" s="22" t="s">
        <v>475</v>
      </c>
      <c r="L16" s="1" t="n">
        <v>0.08</v>
      </c>
      <c r="M16" s="7" t="s">
        <v>745</v>
      </c>
      <c r="N16" s="7" t="s">
        <v>529</v>
      </c>
    </row>
    <row r="17" customFormat="false" ht="28.5" hidden="false" customHeight="true" outlineLevel="0" collapsed="false">
      <c r="A17" s="29" t="s">
        <v>991</v>
      </c>
      <c r="B17" s="22" t="s">
        <v>436</v>
      </c>
      <c r="C17" s="29" t="s">
        <v>540</v>
      </c>
      <c r="D17" s="29" t="s">
        <v>402</v>
      </c>
      <c r="E17" s="22" t="s">
        <v>431</v>
      </c>
      <c r="F17" s="30" t="n">
        <v>0.056</v>
      </c>
      <c r="G17" s="34" t="n">
        <v>8</v>
      </c>
      <c r="H17" s="32" t="s">
        <v>541</v>
      </c>
      <c r="I17" s="29" t="s">
        <v>460</v>
      </c>
      <c r="J17" s="33" t="s">
        <v>992</v>
      </c>
      <c r="K17" s="22" t="s">
        <v>475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8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993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994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4.9</v>
      </c>
    </row>
    <row r="5" customFormat="false" ht="28.5" hidden="false" customHeight="true" outlineLevel="0" collapsed="false">
      <c r="A5" s="29" t="s">
        <v>995</v>
      </c>
      <c r="B5" s="22" t="s">
        <v>996</v>
      </c>
      <c r="C5" s="29" t="s">
        <v>997</v>
      </c>
      <c r="D5" s="29" t="s">
        <v>402</v>
      </c>
      <c r="E5" s="22" t="s">
        <v>424</v>
      </c>
      <c r="F5" s="30" t="n">
        <v>0.1667</v>
      </c>
      <c r="G5" s="38" t="n">
        <v>4</v>
      </c>
      <c r="H5" s="32" t="s">
        <v>998</v>
      </c>
      <c r="I5" s="29" t="s">
        <v>999</v>
      </c>
      <c r="J5" s="33" t="s">
        <v>1000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ROUND(SUMPRODUCT(F10:F13,G10:G13)/SUM(F10:F13),1)</f>
        <v>4</v>
      </c>
    </row>
    <row r="6" customFormat="false" ht="28.5" hidden="false" customHeight="true" outlineLevel="0" collapsed="false">
      <c r="A6" s="29" t="s">
        <v>1001</v>
      </c>
      <c r="B6" s="22" t="s">
        <v>996</v>
      </c>
      <c r="C6" s="29" t="s">
        <v>1002</v>
      </c>
      <c r="D6" s="29" t="s">
        <v>402</v>
      </c>
      <c r="E6" s="22" t="s">
        <v>424</v>
      </c>
      <c r="F6" s="30" t="n">
        <v>0.1333</v>
      </c>
      <c r="G6" s="38" t="n">
        <v>4</v>
      </c>
      <c r="H6" s="32" t="s">
        <v>1003</v>
      </c>
      <c r="I6" s="29" t="s">
        <v>1004</v>
      </c>
      <c r="J6" s="33" t="s">
        <v>1005</v>
      </c>
      <c r="K6" s="22" t="s">
        <v>407</v>
      </c>
      <c r="L6" s="1" t="n">
        <v>0.12</v>
      </c>
      <c r="M6" s="7" t="s">
        <v>408</v>
      </c>
      <c r="N6" s="7" t="s">
        <v>409</v>
      </c>
      <c r="O6" s="1" t="s">
        <v>420</v>
      </c>
      <c r="P6" s="1" t="n">
        <f aca="false">ROUND(SUMPRODUCT(F15:F17,G15:G17)/SUM(F15:F17),1)</f>
        <v>3.4</v>
      </c>
    </row>
    <row r="7" customFormat="false" ht="28.5" hidden="false" customHeight="true" outlineLevel="0" collapsed="false">
      <c r="A7" s="29" t="s">
        <v>1006</v>
      </c>
      <c r="B7" s="22" t="s">
        <v>1007</v>
      </c>
      <c r="C7" s="29" t="s">
        <v>1008</v>
      </c>
      <c r="D7" s="29" t="s">
        <v>472</v>
      </c>
      <c r="E7" s="22" t="s">
        <v>424</v>
      </c>
      <c r="F7" s="30" t="n">
        <v>0.1111</v>
      </c>
      <c r="G7" s="34" t="n">
        <v>8</v>
      </c>
      <c r="H7" s="32" t="s">
        <v>1009</v>
      </c>
      <c r="I7" s="29" t="s">
        <v>426</v>
      </c>
      <c r="J7" s="33" t="s">
        <v>1010</v>
      </c>
      <c r="K7" s="22" t="s">
        <v>407</v>
      </c>
      <c r="L7" s="1" t="n">
        <v>0.1</v>
      </c>
      <c r="M7" s="7" t="s">
        <v>408</v>
      </c>
      <c r="N7" s="7" t="s">
        <v>419</v>
      </c>
    </row>
    <row r="8" customFormat="false" ht="28.5" hidden="false" customHeight="true" outlineLevel="0" collapsed="false">
      <c r="A8" s="29" t="s">
        <v>1011</v>
      </c>
      <c r="B8" s="22" t="s">
        <v>1012</v>
      </c>
      <c r="C8" s="29" t="s">
        <v>1013</v>
      </c>
      <c r="D8" s="29" t="s">
        <v>402</v>
      </c>
      <c r="E8" s="22" t="s">
        <v>424</v>
      </c>
      <c r="F8" s="30" t="n">
        <v>0.0889</v>
      </c>
      <c r="G8" s="38" t="n">
        <v>4</v>
      </c>
      <c r="H8" s="32" t="s">
        <v>998</v>
      </c>
      <c r="I8" s="29" t="s">
        <v>1014</v>
      </c>
      <c r="J8" s="33" t="s">
        <v>1015</v>
      </c>
      <c r="K8" s="22" t="s">
        <v>475</v>
      </c>
      <c r="L8" s="1" t="n">
        <v>0.08</v>
      </c>
      <c r="M8" s="7" t="s">
        <v>408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1016</v>
      </c>
      <c r="B10" s="22" t="s">
        <v>436</v>
      </c>
      <c r="C10" s="29" t="s">
        <v>717</v>
      </c>
      <c r="D10" s="29" t="s">
        <v>402</v>
      </c>
      <c r="E10" s="22" t="s">
        <v>424</v>
      </c>
      <c r="F10" s="30" t="n">
        <v>0.1167</v>
      </c>
      <c r="G10" s="38" t="n">
        <v>4</v>
      </c>
      <c r="H10" s="32" t="s">
        <v>600</v>
      </c>
      <c r="I10" s="29" t="s">
        <v>718</v>
      </c>
      <c r="J10" s="33" t="s">
        <v>1017</v>
      </c>
      <c r="K10" s="22" t="s">
        <v>407</v>
      </c>
      <c r="L10" s="1" t="n">
        <v>0.15</v>
      </c>
      <c r="M10" s="7" t="s">
        <v>449</v>
      </c>
      <c r="N10" s="7" t="s">
        <v>409</v>
      </c>
    </row>
    <row r="11" customFormat="false" ht="28.5" hidden="false" customHeight="true" outlineLevel="0" collapsed="false">
      <c r="A11" s="29" t="s">
        <v>1018</v>
      </c>
      <c r="B11" s="22" t="s">
        <v>436</v>
      </c>
      <c r="C11" s="29" t="s">
        <v>1019</v>
      </c>
      <c r="D11" s="29" t="s">
        <v>567</v>
      </c>
      <c r="E11" s="22" t="s">
        <v>424</v>
      </c>
      <c r="F11" s="30" t="n">
        <v>0.0933</v>
      </c>
      <c r="G11" s="38" t="n">
        <v>4</v>
      </c>
      <c r="H11" s="32" t="s">
        <v>1020</v>
      </c>
      <c r="I11" s="29" t="s">
        <v>999</v>
      </c>
      <c r="J11" s="33" t="s">
        <v>1021</v>
      </c>
      <c r="K11" s="22" t="s">
        <v>407</v>
      </c>
      <c r="L11" s="1" t="n">
        <v>0.12</v>
      </c>
      <c r="M11" s="7" t="s">
        <v>449</v>
      </c>
      <c r="N11" s="7" t="s">
        <v>419</v>
      </c>
    </row>
    <row r="12" customFormat="false" ht="28.5" hidden="false" customHeight="true" outlineLevel="0" collapsed="false">
      <c r="A12" s="29" t="s">
        <v>1022</v>
      </c>
      <c r="B12" s="22" t="s">
        <v>1023</v>
      </c>
      <c r="C12" s="29" t="s">
        <v>540</v>
      </c>
      <c r="D12" s="29" t="s">
        <v>567</v>
      </c>
      <c r="E12" s="22" t="s">
        <v>431</v>
      </c>
      <c r="F12" s="30" t="n">
        <v>0.0622</v>
      </c>
      <c r="G12" s="38" t="n">
        <v>4</v>
      </c>
      <c r="H12" s="32" t="s">
        <v>432</v>
      </c>
      <c r="I12" s="29" t="s">
        <v>672</v>
      </c>
      <c r="J12" s="33" t="s">
        <v>1024</v>
      </c>
      <c r="K12" s="22" t="s">
        <v>407</v>
      </c>
      <c r="L12" s="1" t="n">
        <v>0.08</v>
      </c>
      <c r="M12" s="7" t="s">
        <v>449</v>
      </c>
      <c r="N12" s="7" t="s">
        <v>529</v>
      </c>
    </row>
    <row r="13" customFormat="false" ht="28.5" hidden="false" customHeight="true" outlineLevel="0" collapsed="false">
      <c r="A13" s="29" t="s">
        <v>1025</v>
      </c>
      <c r="B13" s="22" t="s">
        <v>436</v>
      </c>
      <c r="C13" s="29" t="s">
        <v>1026</v>
      </c>
      <c r="D13" s="29" t="s">
        <v>402</v>
      </c>
      <c r="E13" s="22" t="s">
        <v>424</v>
      </c>
      <c r="F13" s="30" t="n">
        <v>0.0778</v>
      </c>
      <c r="G13" s="38" t="n">
        <v>4</v>
      </c>
      <c r="H13" s="32" t="s">
        <v>1003</v>
      </c>
      <c r="I13" s="29" t="s">
        <v>1014</v>
      </c>
      <c r="J13" s="33" t="s">
        <v>1027</v>
      </c>
      <c r="K13" s="22" t="s">
        <v>407</v>
      </c>
      <c r="L13" s="1" t="n">
        <v>0.1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1028</v>
      </c>
      <c r="B15" s="22" t="s">
        <v>436</v>
      </c>
      <c r="C15" s="29" t="s">
        <v>605</v>
      </c>
      <c r="D15" s="29" t="s">
        <v>402</v>
      </c>
      <c r="E15" s="22" t="s">
        <v>424</v>
      </c>
      <c r="F15" s="30" t="n">
        <v>0.06</v>
      </c>
      <c r="G15" s="38" t="n">
        <v>4</v>
      </c>
      <c r="H15" s="32" t="s">
        <v>541</v>
      </c>
      <c r="I15" s="29" t="s">
        <v>909</v>
      </c>
      <c r="J15" s="33" t="s">
        <v>1029</v>
      </c>
      <c r="K15" s="22" t="s">
        <v>407</v>
      </c>
      <c r="L15" s="1" t="n">
        <v>0.1</v>
      </c>
      <c r="M15" s="7" t="s">
        <v>476</v>
      </c>
      <c r="N15" s="7" t="s">
        <v>409</v>
      </c>
    </row>
    <row r="16" customFormat="false" ht="28.5" hidden="false" customHeight="true" outlineLevel="0" collapsed="false">
      <c r="A16" s="29" t="s">
        <v>1030</v>
      </c>
      <c r="B16" s="22" t="s">
        <v>470</v>
      </c>
      <c r="C16" s="29" t="s">
        <v>1031</v>
      </c>
      <c r="D16" s="22" t="s">
        <v>592</v>
      </c>
      <c r="E16" s="22" t="s">
        <v>1032</v>
      </c>
      <c r="F16" s="30" t="n">
        <v>0.048</v>
      </c>
      <c r="G16" s="40" t="n">
        <v>2</v>
      </c>
      <c r="H16" s="32" t="s">
        <v>1033</v>
      </c>
      <c r="I16" s="29" t="s">
        <v>613</v>
      </c>
      <c r="J16" s="32" t="s">
        <v>1034</v>
      </c>
      <c r="K16" s="22" t="s">
        <v>475</v>
      </c>
      <c r="L16" s="1" t="n">
        <v>0.08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1035</v>
      </c>
      <c r="B17" s="22" t="s">
        <v>436</v>
      </c>
      <c r="C17" s="29" t="s">
        <v>1036</v>
      </c>
      <c r="D17" s="29" t="s">
        <v>402</v>
      </c>
      <c r="E17" s="22" t="s">
        <v>424</v>
      </c>
      <c r="F17" s="30" t="n">
        <v>0.042</v>
      </c>
      <c r="G17" s="38" t="n">
        <v>4</v>
      </c>
      <c r="H17" s="32" t="s">
        <v>600</v>
      </c>
      <c r="I17" s="29" t="s">
        <v>1004</v>
      </c>
      <c r="J17" s="33" t="s">
        <v>1037</v>
      </c>
      <c r="K17" s="22" t="s">
        <v>407</v>
      </c>
      <c r="L17" s="1" t="n">
        <v>0.07</v>
      </c>
      <c r="M17" s="7" t="s">
        <v>476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41" t="n">
        <f aca="false">ROUND(SUMPRODUCT(F5:F17,G5:G17),1)</f>
        <v>4.3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1038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1039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5.5</v>
      </c>
    </row>
    <row r="5" customFormat="false" ht="28.5" hidden="false" customHeight="true" outlineLevel="0" collapsed="false">
      <c r="A5" s="29" t="s">
        <v>1040</v>
      </c>
      <c r="B5" s="22" t="s">
        <v>436</v>
      </c>
      <c r="C5" s="29" t="s">
        <v>766</v>
      </c>
      <c r="D5" s="29" t="s">
        <v>402</v>
      </c>
      <c r="E5" s="22" t="s">
        <v>431</v>
      </c>
      <c r="F5" s="30" t="n">
        <v>0.1333</v>
      </c>
      <c r="G5" s="31" t="n">
        <v>6</v>
      </c>
      <c r="H5" s="32" t="s">
        <v>767</v>
      </c>
      <c r="I5" s="29" t="s">
        <v>439</v>
      </c>
      <c r="J5" s="33" t="s">
        <v>768</v>
      </c>
      <c r="K5" s="22" t="s">
        <v>407</v>
      </c>
      <c r="L5" s="1" t="n">
        <v>0.15</v>
      </c>
      <c r="M5" s="7" t="s">
        <v>629</v>
      </c>
      <c r="N5" s="7" t="s">
        <v>589</v>
      </c>
      <c r="O5" s="1" t="s">
        <v>410</v>
      </c>
      <c r="P5" s="1" t="n">
        <f aca="false">ROUND(SUMPRODUCT(F10:F13,G10:G13)/SUM(F10:F13),1)</f>
        <v>7.4</v>
      </c>
    </row>
    <row r="6" customFormat="false" ht="28.5" hidden="false" customHeight="true" outlineLevel="0" collapsed="false">
      <c r="A6" s="29" t="s">
        <v>1041</v>
      </c>
      <c r="B6" s="22" t="s">
        <v>436</v>
      </c>
      <c r="C6" s="29" t="s">
        <v>688</v>
      </c>
      <c r="D6" s="22" t="s">
        <v>458</v>
      </c>
      <c r="E6" s="22" t="s">
        <v>424</v>
      </c>
      <c r="F6" s="30" t="n">
        <v>0.1067</v>
      </c>
      <c r="G6" s="38" t="n">
        <v>4</v>
      </c>
      <c r="H6" s="32" t="s">
        <v>459</v>
      </c>
      <c r="I6" s="29" t="s">
        <v>718</v>
      </c>
      <c r="J6" s="33" t="s">
        <v>1042</v>
      </c>
      <c r="K6" s="22" t="s">
        <v>407</v>
      </c>
      <c r="L6" s="1" t="n">
        <v>0.12</v>
      </c>
      <c r="M6" s="7" t="s">
        <v>629</v>
      </c>
      <c r="N6" s="7" t="s">
        <v>409</v>
      </c>
      <c r="O6" s="1" t="s">
        <v>420</v>
      </c>
      <c r="P6" s="1" t="n">
        <f aca="false">ROUND(SUMPRODUCT(F15:F17,G15:G17)/SUM(F15:F17),1)</f>
        <v>6.6</v>
      </c>
    </row>
    <row r="7" customFormat="false" ht="28.5" hidden="false" customHeight="true" outlineLevel="0" collapsed="false">
      <c r="A7" s="29" t="s">
        <v>1043</v>
      </c>
      <c r="B7" s="22" t="s">
        <v>436</v>
      </c>
      <c r="C7" s="29" t="s">
        <v>1044</v>
      </c>
      <c r="D7" s="29" t="s">
        <v>402</v>
      </c>
      <c r="E7" s="22" t="s">
        <v>431</v>
      </c>
      <c r="F7" s="30" t="n">
        <v>0.0889</v>
      </c>
      <c r="G7" s="31" t="n">
        <v>6</v>
      </c>
      <c r="H7" s="32" t="s">
        <v>1045</v>
      </c>
      <c r="I7" s="29" t="s">
        <v>439</v>
      </c>
      <c r="J7" s="33" t="s">
        <v>1046</v>
      </c>
      <c r="K7" s="22" t="s">
        <v>475</v>
      </c>
      <c r="L7" s="1" t="n">
        <v>0.1</v>
      </c>
      <c r="M7" s="7" t="s">
        <v>629</v>
      </c>
      <c r="N7" s="7" t="s">
        <v>589</v>
      </c>
    </row>
    <row r="8" customFormat="false" ht="28.5" hidden="false" customHeight="true" outlineLevel="0" collapsed="false">
      <c r="A8" s="29" t="s">
        <v>1047</v>
      </c>
      <c r="B8" s="22" t="s">
        <v>1048</v>
      </c>
      <c r="C8" s="29" t="s">
        <v>1049</v>
      </c>
      <c r="D8" s="29" t="s">
        <v>472</v>
      </c>
      <c r="E8" s="22" t="s">
        <v>431</v>
      </c>
      <c r="F8" s="30" t="n">
        <v>0.0711</v>
      </c>
      <c r="G8" s="31" t="n">
        <v>6</v>
      </c>
      <c r="H8" s="32" t="s">
        <v>1050</v>
      </c>
      <c r="I8" s="29" t="s">
        <v>447</v>
      </c>
      <c r="J8" s="33" t="s">
        <v>1051</v>
      </c>
      <c r="K8" s="22" t="s">
        <v>475</v>
      </c>
      <c r="L8" s="1" t="n">
        <v>0.08</v>
      </c>
      <c r="M8" s="7" t="s">
        <v>629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1052</v>
      </c>
      <c r="B10" s="22" t="s">
        <v>436</v>
      </c>
      <c r="C10" s="29" t="s">
        <v>531</v>
      </c>
      <c r="D10" s="29" t="s">
        <v>402</v>
      </c>
      <c r="E10" s="22" t="s">
        <v>431</v>
      </c>
      <c r="F10" s="30" t="n">
        <v>0.12</v>
      </c>
      <c r="G10" s="34" t="n">
        <v>8</v>
      </c>
      <c r="H10" s="32" t="s">
        <v>977</v>
      </c>
      <c r="I10" s="29" t="s">
        <v>454</v>
      </c>
      <c r="J10" s="33" t="s">
        <v>1053</v>
      </c>
      <c r="K10" s="22" t="s">
        <v>407</v>
      </c>
      <c r="L10" s="1" t="n">
        <v>0.12</v>
      </c>
      <c r="M10" s="7" t="s">
        <v>629</v>
      </c>
      <c r="N10" s="7" t="s">
        <v>589</v>
      </c>
    </row>
    <row r="11" customFormat="false" ht="14.25" hidden="false" customHeight="true" outlineLevel="0" collapsed="false">
      <c r="A11" s="29" t="s">
        <v>1054</v>
      </c>
      <c r="B11" s="22" t="s">
        <v>436</v>
      </c>
      <c r="C11" s="29" t="s">
        <v>1055</v>
      </c>
      <c r="D11" s="29" t="s">
        <v>402</v>
      </c>
      <c r="E11" s="22" t="s">
        <v>431</v>
      </c>
      <c r="F11" s="30" t="n">
        <v>0.1</v>
      </c>
      <c r="G11" s="31" t="n">
        <v>6</v>
      </c>
      <c r="H11" s="32" t="s">
        <v>541</v>
      </c>
      <c r="I11" s="29" t="s">
        <v>537</v>
      </c>
      <c r="J11" s="33" t="s">
        <v>1056</v>
      </c>
      <c r="K11" s="22" t="s">
        <v>407</v>
      </c>
      <c r="L11" s="1" t="n">
        <v>0.1</v>
      </c>
      <c r="M11" s="7" t="s">
        <v>629</v>
      </c>
      <c r="N11" s="7" t="s">
        <v>589</v>
      </c>
    </row>
    <row r="12" customFormat="false" ht="14.25" hidden="false" customHeight="true" outlineLevel="0" collapsed="false">
      <c r="A12" s="29" t="s">
        <v>1057</v>
      </c>
      <c r="B12" s="22" t="s">
        <v>1048</v>
      </c>
      <c r="C12" s="29" t="s">
        <v>544</v>
      </c>
      <c r="D12" s="29" t="s">
        <v>402</v>
      </c>
      <c r="E12" s="22" t="s">
        <v>431</v>
      </c>
      <c r="F12" s="30" t="n">
        <v>0.1</v>
      </c>
      <c r="G12" s="31" t="n">
        <v>6</v>
      </c>
      <c r="H12" s="32" t="s">
        <v>776</v>
      </c>
      <c r="I12" s="29" t="s">
        <v>439</v>
      </c>
      <c r="J12" s="33" t="s">
        <v>1058</v>
      </c>
      <c r="K12" s="22" t="s">
        <v>407</v>
      </c>
      <c r="L12" s="1" t="n">
        <v>0.1</v>
      </c>
      <c r="M12" s="7" t="s">
        <v>629</v>
      </c>
      <c r="N12" s="7" t="s">
        <v>409</v>
      </c>
    </row>
    <row r="13" customFormat="false" ht="28.5" hidden="false" customHeight="true" outlineLevel="0" collapsed="false">
      <c r="A13" s="29" t="s">
        <v>983</v>
      </c>
      <c r="B13" s="22" t="s">
        <v>984</v>
      </c>
      <c r="C13" s="29" t="s">
        <v>664</v>
      </c>
      <c r="D13" s="29" t="s">
        <v>402</v>
      </c>
      <c r="E13" s="22" t="s">
        <v>431</v>
      </c>
      <c r="F13" s="30" t="n">
        <v>0.08</v>
      </c>
      <c r="G13" s="34" t="n">
        <v>10</v>
      </c>
      <c r="H13" s="32" t="s">
        <v>785</v>
      </c>
      <c r="I13" s="29" t="s">
        <v>653</v>
      </c>
      <c r="J13" s="33" t="s">
        <v>1059</v>
      </c>
      <c r="K13" s="22" t="s">
        <v>407</v>
      </c>
      <c r="L13" s="1" t="n">
        <v>0.08</v>
      </c>
      <c r="M13" s="7" t="s">
        <v>629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1060</v>
      </c>
      <c r="B15" s="22" t="s">
        <v>470</v>
      </c>
      <c r="C15" s="29" t="s">
        <v>1061</v>
      </c>
      <c r="D15" s="29" t="s">
        <v>472</v>
      </c>
      <c r="E15" s="22" t="s">
        <v>431</v>
      </c>
      <c r="F15" s="30" t="n">
        <v>0.08</v>
      </c>
      <c r="G15" s="31" t="n">
        <v>6</v>
      </c>
      <c r="H15" s="32" t="s">
        <v>1062</v>
      </c>
      <c r="I15" s="29" t="s">
        <v>537</v>
      </c>
      <c r="J15" s="32" t="s">
        <v>1063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1064</v>
      </c>
      <c r="B16" s="22" t="s">
        <v>470</v>
      </c>
      <c r="C16" s="29" t="s">
        <v>877</v>
      </c>
      <c r="D16" s="22" t="s">
        <v>525</v>
      </c>
      <c r="E16" s="22" t="s">
        <v>424</v>
      </c>
      <c r="F16" s="30" t="n">
        <v>0.064</v>
      </c>
      <c r="G16" s="34" t="n">
        <v>8</v>
      </c>
      <c r="H16" s="32" t="s">
        <v>748</v>
      </c>
      <c r="I16" s="29" t="s">
        <v>439</v>
      </c>
      <c r="J16" s="33" t="s">
        <v>651</v>
      </c>
      <c r="K16" s="22" t="s">
        <v>475</v>
      </c>
      <c r="L16" s="1" t="n">
        <v>0.08</v>
      </c>
      <c r="M16" s="7" t="s">
        <v>745</v>
      </c>
      <c r="N16" s="7" t="s">
        <v>529</v>
      </c>
    </row>
    <row r="17" customFormat="false" ht="14.25" hidden="false" customHeight="true" outlineLevel="0" collapsed="false">
      <c r="A17" s="29" t="s">
        <v>1065</v>
      </c>
      <c r="B17" s="22" t="s">
        <v>436</v>
      </c>
      <c r="C17" s="29" t="s">
        <v>1066</v>
      </c>
      <c r="D17" s="29" t="s">
        <v>472</v>
      </c>
      <c r="E17" s="22" t="s">
        <v>431</v>
      </c>
      <c r="F17" s="30" t="n">
        <v>0.056</v>
      </c>
      <c r="G17" s="31" t="n">
        <v>6</v>
      </c>
      <c r="H17" s="32" t="s">
        <v>793</v>
      </c>
      <c r="I17" s="29" t="s">
        <v>426</v>
      </c>
      <c r="J17" s="33" t="s">
        <v>1067</v>
      </c>
      <c r="K17" s="22" t="s">
        <v>407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6.5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1068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1069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7.2</v>
      </c>
    </row>
    <row r="5" customFormat="false" ht="28.5" hidden="false" customHeight="true" outlineLevel="0" collapsed="false">
      <c r="A5" s="29" t="s">
        <v>1070</v>
      </c>
      <c r="B5" s="22" t="s">
        <v>436</v>
      </c>
      <c r="C5" s="29" t="s">
        <v>1044</v>
      </c>
      <c r="D5" s="29" t="s">
        <v>402</v>
      </c>
      <c r="E5" s="22" t="s">
        <v>431</v>
      </c>
      <c r="F5" s="30" t="n">
        <v>0.1333</v>
      </c>
      <c r="G5" s="31" t="n">
        <v>6</v>
      </c>
      <c r="H5" s="32" t="s">
        <v>1045</v>
      </c>
      <c r="I5" s="29" t="s">
        <v>439</v>
      </c>
      <c r="J5" s="33" t="s">
        <v>1046</v>
      </c>
      <c r="K5" s="22" t="s">
        <v>475</v>
      </c>
      <c r="L5" s="1" t="n">
        <v>0.15</v>
      </c>
      <c r="M5" s="7" t="s">
        <v>629</v>
      </c>
      <c r="N5" s="7" t="s">
        <v>589</v>
      </c>
      <c r="O5" s="1" t="s">
        <v>410</v>
      </c>
      <c r="P5" s="1" t="n">
        <f aca="false">ROUND(SUMPRODUCT(F10:F13,G10:G13)/SUM(F10:F13),1)</f>
        <v>7.6</v>
      </c>
    </row>
    <row r="6" customFormat="false" ht="28.5" hidden="false" customHeight="true" outlineLevel="0" collapsed="false">
      <c r="A6" s="29" t="s">
        <v>1071</v>
      </c>
      <c r="B6" s="22" t="s">
        <v>1072</v>
      </c>
      <c r="C6" s="29" t="s">
        <v>413</v>
      </c>
      <c r="D6" s="29" t="s">
        <v>402</v>
      </c>
      <c r="E6" s="22" t="s">
        <v>431</v>
      </c>
      <c r="F6" s="30" t="n">
        <v>0.1067</v>
      </c>
      <c r="G6" s="34" t="n">
        <v>9</v>
      </c>
      <c r="H6" s="32" t="s">
        <v>671</v>
      </c>
      <c r="I6" s="29" t="s">
        <v>416</v>
      </c>
      <c r="J6" s="33" t="s">
        <v>1073</v>
      </c>
      <c r="K6" s="22" t="s">
        <v>1074</v>
      </c>
      <c r="L6" s="1" t="n">
        <v>0.12</v>
      </c>
      <c r="M6" s="7" t="s">
        <v>629</v>
      </c>
      <c r="N6" s="7" t="s">
        <v>409</v>
      </c>
      <c r="O6" s="1" t="s">
        <v>420</v>
      </c>
      <c r="P6" s="1" t="n">
        <f aca="false">ROUND(SUMPRODUCT(F15:F17,G15:G17)/SUM(F15:F17),1)</f>
        <v>5.4</v>
      </c>
    </row>
    <row r="7" customFormat="false" ht="28.5" hidden="false" customHeight="true" outlineLevel="0" collapsed="false">
      <c r="A7" s="29" t="s">
        <v>1075</v>
      </c>
      <c r="B7" s="22" t="s">
        <v>975</v>
      </c>
      <c r="C7" s="29" t="s">
        <v>562</v>
      </c>
      <c r="D7" s="29" t="s">
        <v>472</v>
      </c>
      <c r="E7" s="22" t="s">
        <v>431</v>
      </c>
      <c r="F7" s="30" t="n">
        <v>0.0889</v>
      </c>
      <c r="G7" s="31" t="n">
        <v>6</v>
      </c>
      <c r="H7" s="32" t="s">
        <v>563</v>
      </c>
      <c r="I7" s="29" t="s">
        <v>454</v>
      </c>
      <c r="J7" s="33" t="s">
        <v>1076</v>
      </c>
      <c r="K7" s="22" t="s">
        <v>407</v>
      </c>
      <c r="L7" s="1" t="n">
        <v>0.1</v>
      </c>
      <c r="M7" s="7" t="s">
        <v>629</v>
      </c>
      <c r="N7" s="7" t="s">
        <v>409</v>
      </c>
    </row>
    <row r="8" customFormat="false" ht="28.5" hidden="false" customHeight="true" outlineLevel="0" collapsed="false">
      <c r="A8" s="29" t="s">
        <v>1077</v>
      </c>
      <c r="B8" s="29" t="s">
        <v>1078</v>
      </c>
      <c r="C8" s="29" t="s">
        <v>1079</v>
      </c>
      <c r="D8" s="22" t="s">
        <v>1080</v>
      </c>
      <c r="E8" s="22" t="s">
        <v>431</v>
      </c>
      <c r="F8" s="30" t="n">
        <v>0.0711</v>
      </c>
      <c r="G8" s="34" t="n">
        <v>8</v>
      </c>
      <c r="H8" s="32" t="s">
        <v>1081</v>
      </c>
      <c r="I8" s="29" t="s">
        <v>672</v>
      </c>
      <c r="J8" s="32" t="s">
        <v>1082</v>
      </c>
      <c r="K8" s="22" t="s">
        <v>407</v>
      </c>
      <c r="L8" s="1" t="n">
        <v>0.08</v>
      </c>
      <c r="M8" s="7" t="s">
        <v>629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1083</v>
      </c>
      <c r="B10" s="22" t="s">
        <v>1084</v>
      </c>
      <c r="C10" s="29" t="s">
        <v>664</v>
      </c>
      <c r="D10" s="29" t="s">
        <v>402</v>
      </c>
      <c r="E10" s="22" t="s">
        <v>431</v>
      </c>
      <c r="F10" s="30" t="n">
        <v>0.1395</v>
      </c>
      <c r="G10" s="34" t="n">
        <v>8</v>
      </c>
      <c r="H10" s="32" t="s">
        <v>660</v>
      </c>
      <c r="I10" s="29" t="s">
        <v>646</v>
      </c>
      <c r="J10" s="33" t="s">
        <v>1085</v>
      </c>
      <c r="K10" s="22" t="s">
        <v>475</v>
      </c>
      <c r="L10" s="1" t="n">
        <v>0.15</v>
      </c>
      <c r="M10" s="7" t="s">
        <v>629</v>
      </c>
      <c r="N10" s="7" t="s">
        <v>409</v>
      </c>
    </row>
    <row r="11" customFormat="false" ht="14.25" hidden="false" customHeight="true" outlineLevel="0" collapsed="false">
      <c r="A11" s="29" t="s">
        <v>1086</v>
      </c>
      <c r="B11" s="22" t="s">
        <v>1084</v>
      </c>
      <c r="C11" s="29" t="s">
        <v>1087</v>
      </c>
      <c r="D11" s="29" t="s">
        <v>402</v>
      </c>
      <c r="E11" s="22" t="s">
        <v>431</v>
      </c>
      <c r="F11" s="30" t="n">
        <v>0.093</v>
      </c>
      <c r="G11" s="34" t="n">
        <v>8</v>
      </c>
      <c r="H11" s="32" t="s">
        <v>660</v>
      </c>
      <c r="I11" s="29" t="s">
        <v>653</v>
      </c>
      <c r="J11" s="33" t="s">
        <v>1088</v>
      </c>
      <c r="K11" s="22" t="s">
        <v>475</v>
      </c>
      <c r="L11" s="1" t="n">
        <v>0.1</v>
      </c>
      <c r="M11" s="7" t="s">
        <v>629</v>
      </c>
      <c r="N11" s="7" t="s">
        <v>589</v>
      </c>
    </row>
    <row r="12" customFormat="false" ht="28.5" hidden="false" customHeight="true" outlineLevel="0" collapsed="false">
      <c r="A12" s="29" t="s">
        <v>1089</v>
      </c>
      <c r="B12" s="22" t="s">
        <v>436</v>
      </c>
      <c r="C12" s="29" t="s">
        <v>540</v>
      </c>
      <c r="D12" s="29" t="s">
        <v>402</v>
      </c>
      <c r="E12" s="22" t="s">
        <v>431</v>
      </c>
      <c r="F12" s="30" t="n">
        <v>0.093</v>
      </c>
      <c r="G12" s="34" t="n">
        <v>8</v>
      </c>
      <c r="H12" s="32" t="s">
        <v>541</v>
      </c>
      <c r="I12" s="29" t="s">
        <v>454</v>
      </c>
      <c r="J12" s="33" t="s">
        <v>1090</v>
      </c>
      <c r="K12" s="22" t="s">
        <v>407</v>
      </c>
      <c r="L12" s="1" t="n">
        <v>0.1</v>
      </c>
      <c r="M12" s="7" t="s">
        <v>629</v>
      </c>
      <c r="N12" s="7" t="s">
        <v>589</v>
      </c>
    </row>
    <row r="13" customFormat="false" ht="28.5" hidden="false" customHeight="true" outlineLevel="0" collapsed="false">
      <c r="A13" s="29" t="s">
        <v>1091</v>
      </c>
      <c r="B13" s="22" t="s">
        <v>1092</v>
      </c>
      <c r="C13" s="29" t="s">
        <v>747</v>
      </c>
      <c r="D13" s="22" t="s">
        <v>1093</v>
      </c>
      <c r="E13" s="22" t="s">
        <v>431</v>
      </c>
      <c r="F13" s="30" t="n">
        <v>0.0744</v>
      </c>
      <c r="G13" s="31" t="n">
        <v>6</v>
      </c>
      <c r="H13" s="32" t="s">
        <v>1094</v>
      </c>
      <c r="I13" s="29" t="s">
        <v>447</v>
      </c>
      <c r="J13" s="33" t="s">
        <v>1095</v>
      </c>
      <c r="K13" s="22" t="s">
        <v>407</v>
      </c>
      <c r="L13" s="1" t="n">
        <v>0.08</v>
      </c>
      <c r="M13" s="7" t="s">
        <v>629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1096</v>
      </c>
      <c r="B15" s="22" t="s">
        <v>470</v>
      </c>
      <c r="C15" s="29" t="s">
        <v>1097</v>
      </c>
      <c r="D15" s="22" t="s">
        <v>592</v>
      </c>
      <c r="E15" s="22" t="s">
        <v>431</v>
      </c>
      <c r="F15" s="30" t="n">
        <v>0.08</v>
      </c>
      <c r="G15" s="31" t="n">
        <v>6</v>
      </c>
      <c r="H15" s="32" t="s">
        <v>1098</v>
      </c>
      <c r="I15" s="29" t="s">
        <v>447</v>
      </c>
      <c r="J15" s="32" t="s">
        <v>1099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1100</v>
      </c>
      <c r="B16" s="22" t="s">
        <v>470</v>
      </c>
      <c r="C16" s="29" t="s">
        <v>649</v>
      </c>
      <c r="D16" s="29" t="s">
        <v>472</v>
      </c>
      <c r="E16" s="22" t="s">
        <v>431</v>
      </c>
      <c r="F16" s="30" t="n">
        <v>0.064</v>
      </c>
      <c r="G16" s="31" t="n">
        <v>6</v>
      </c>
      <c r="H16" s="32" t="s">
        <v>1101</v>
      </c>
      <c r="I16" s="29" t="s">
        <v>460</v>
      </c>
      <c r="J16" s="33" t="s">
        <v>1102</v>
      </c>
      <c r="K16" s="22" t="s">
        <v>475</v>
      </c>
      <c r="L16" s="1" t="n">
        <v>0.08</v>
      </c>
      <c r="M16" s="7" t="s">
        <v>745</v>
      </c>
      <c r="N16" s="7" t="s">
        <v>419</v>
      </c>
    </row>
    <row r="17" customFormat="false" ht="28.5" hidden="false" customHeight="true" outlineLevel="0" collapsed="false">
      <c r="A17" s="29" t="s">
        <v>1103</v>
      </c>
      <c r="B17" s="22" t="s">
        <v>436</v>
      </c>
      <c r="C17" s="29" t="s">
        <v>1104</v>
      </c>
      <c r="D17" s="22" t="s">
        <v>458</v>
      </c>
      <c r="E17" s="22" t="s">
        <v>424</v>
      </c>
      <c r="F17" s="30" t="n">
        <v>0.056</v>
      </c>
      <c r="G17" s="38" t="n">
        <v>4</v>
      </c>
      <c r="H17" s="32" t="s">
        <v>1105</v>
      </c>
      <c r="I17" s="29" t="s">
        <v>426</v>
      </c>
      <c r="J17" s="33" t="s">
        <v>1106</v>
      </c>
      <c r="K17" s="22" t="s">
        <v>407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7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1107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1108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ROUND(SUMPRODUCT(F5:F7,G5:G7)/SUM(F5:F7),1)</f>
        <v>6.4</v>
      </c>
    </row>
    <row r="5" customFormat="false" ht="28.5" hidden="false" customHeight="true" outlineLevel="0" collapsed="false">
      <c r="A5" s="29" t="s">
        <v>1109</v>
      </c>
      <c r="B5" s="22" t="s">
        <v>436</v>
      </c>
      <c r="C5" s="29" t="s">
        <v>1110</v>
      </c>
      <c r="D5" s="22" t="s">
        <v>458</v>
      </c>
      <c r="E5" s="22" t="s">
        <v>431</v>
      </c>
      <c r="F5" s="30" t="n">
        <v>0.2</v>
      </c>
      <c r="G5" s="31" t="n">
        <v>6</v>
      </c>
      <c r="H5" s="32" t="s">
        <v>459</v>
      </c>
      <c r="I5" s="29" t="s">
        <v>433</v>
      </c>
      <c r="J5" s="33" t="s">
        <v>1111</v>
      </c>
      <c r="K5" s="22" t="s">
        <v>407</v>
      </c>
      <c r="L5" s="1" t="n">
        <v>0.2</v>
      </c>
      <c r="M5" s="7" t="s">
        <v>608</v>
      </c>
      <c r="N5" s="7" t="s">
        <v>409</v>
      </c>
      <c r="O5" s="1" t="s">
        <v>410</v>
      </c>
      <c r="P5" s="1" t="n">
        <f aca="false">ROUND(SUMPRODUCT(F9:F11,G9:G11)/SUM(F9:F11),1)</f>
        <v>6.7</v>
      </c>
    </row>
    <row r="6" customFormat="false" ht="28.5" hidden="false" customHeight="true" outlineLevel="0" collapsed="false">
      <c r="A6" s="29" t="s">
        <v>1112</v>
      </c>
      <c r="B6" s="22" t="s">
        <v>436</v>
      </c>
      <c r="C6" s="29" t="s">
        <v>1113</v>
      </c>
      <c r="D6" s="22" t="s">
        <v>458</v>
      </c>
      <c r="E6" s="22" t="s">
        <v>431</v>
      </c>
      <c r="F6" s="30" t="n">
        <v>0.15</v>
      </c>
      <c r="G6" s="31" t="n">
        <v>6</v>
      </c>
      <c r="H6" s="32" t="s">
        <v>1114</v>
      </c>
      <c r="I6" s="29" t="s">
        <v>433</v>
      </c>
      <c r="J6" s="32" t="s">
        <v>1115</v>
      </c>
      <c r="K6" s="22" t="s">
        <v>407</v>
      </c>
      <c r="L6" s="1" t="n">
        <v>0.15</v>
      </c>
      <c r="M6" s="7" t="s">
        <v>608</v>
      </c>
      <c r="N6" s="7" t="s">
        <v>409</v>
      </c>
      <c r="O6" s="1" t="s">
        <v>420</v>
      </c>
      <c r="P6" s="1" t="n">
        <f aca="false">ROUND(SUMPRODUCT(F13:F14,G13:G14)/SUM(F13:F14),1)</f>
        <v>7.2</v>
      </c>
    </row>
    <row r="7" customFormat="false" ht="28.5" hidden="false" customHeight="true" outlineLevel="0" collapsed="false">
      <c r="A7" s="29" t="s">
        <v>1116</v>
      </c>
      <c r="B7" s="22" t="s">
        <v>1007</v>
      </c>
      <c r="C7" s="29" t="s">
        <v>1117</v>
      </c>
      <c r="D7" s="22" t="s">
        <v>1118</v>
      </c>
      <c r="E7" s="22" t="s">
        <v>431</v>
      </c>
      <c r="F7" s="30" t="n">
        <v>0.1</v>
      </c>
      <c r="G7" s="34" t="n">
        <v>8</v>
      </c>
      <c r="H7" s="32" t="s">
        <v>1119</v>
      </c>
      <c r="I7" s="29" t="s">
        <v>460</v>
      </c>
      <c r="J7" s="33" t="s">
        <v>1120</v>
      </c>
      <c r="K7" s="22" t="s">
        <v>407</v>
      </c>
      <c r="L7" s="1" t="n">
        <v>0.1</v>
      </c>
      <c r="M7" s="7" t="s">
        <v>608</v>
      </c>
      <c r="N7" s="7" t="s">
        <v>409</v>
      </c>
    </row>
    <row r="8" customFormat="false" ht="13.5" hidden="false" customHeight="true" outlineLevel="0" collapsed="false">
      <c r="A8" s="28" t="s">
        <v>442</v>
      </c>
      <c r="B8" s="28"/>
      <c r="C8" s="28"/>
      <c r="D8" s="28"/>
      <c r="E8" s="28"/>
      <c r="F8" s="28"/>
      <c r="G8" s="28"/>
      <c r="H8" s="28"/>
      <c r="I8" s="28"/>
      <c r="J8" s="28"/>
      <c r="K8" s="28"/>
    </row>
    <row r="9" customFormat="false" ht="28.5" hidden="false" customHeight="true" outlineLevel="0" collapsed="false">
      <c r="A9" s="29" t="s">
        <v>1121</v>
      </c>
      <c r="B9" s="22" t="s">
        <v>436</v>
      </c>
      <c r="C9" s="29" t="s">
        <v>766</v>
      </c>
      <c r="D9" s="29" t="s">
        <v>402</v>
      </c>
      <c r="E9" s="22" t="s">
        <v>431</v>
      </c>
      <c r="F9" s="30" t="n">
        <v>0.1778</v>
      </c>
      <c r="G9" s="31" t="n">
        <v>6</v>
      </c>
      <c r="H9" s="32" t="s">
        <v>1122</v>
      </c>
      <c r="I9" s="29" t="s">
        <v>439</v>
      </c>
      <c r="J9" s="32" t="s">
        <v>1123</v>
      </c>
      <c r="K9" s="22" t="s">
        <v>475</v>
      </c>
      <c r="L9" s="1" t="n">
        <v>0.2</v>
      </c>
      <c r="M9" s="7" t="s">
        <v>629</v>
      </c>
      <c r="N9" s="7" t="s">
        <v>409</v>
      </c>
    </row>
    <row r="10" customFormat="false" ht="28.5" hidden="false" customHeight="true" outlineLevel="0" collapsed="false">
      <c r="A10" s="29" t="s">
        <v>1124</v>
      </c>
      <c r="B10" s="22" t="s">
        <v>436</v>
      </c>
      <c r="C10" s="29" t="s">
        <v>733</v>
      </c>
      <c r="D10" s="29" t="s">
        <v>402</v>
      </c>
      <c r="E10" s="22" t="s">
        <v>431</v>
      </c>
      <c r="F10" s="30" t="n">
        <v>0.1333</v>
      </c>
      <c r="G10" s="34" t="n">
        <v>8</v>
      </c>
      <c r="H10" s="32" t="s">
        <v>1122</v>
      </c>
      <c r="I10" s="29" t="s">
        <v>460</v>
      </c>
      <c r="J10" s="33" t="s">
        <v>1125</v>
      </c>
      <c r="K10" s="22" t="s">
        <v>407</v>
      </c>
      <c r="L10" s="1" t="n">
        <v>0.15</v>
      </c>
      <c r="M10" s="7" t="s">
        <v>629</v>
      </c>
      <c r="N10" s="7" t="s">
        <v>409</v>
      </c>
    </row>
    <row r="11" customFormat="false" ht="28.5" hidden="false" customHeight="true" outlineLevel="0" collapsed="false">
      <c r="A11" s="29" t="s">
        <v>1126</v>
      </c>
      <c r="B11" s="22" t="s">
        <v>436</v>
      </c>
      <c r="C11" s="29" t="s">
        <v>1055</v>
      </c>
      <c r="D11" s="29" t="s">
        <v>402</v>
      </c>
      <c r="E11" s="22" t="s">
        <v>431</v>
      </c>
      <c r="F11" s="30" t="n">
        <v>0.0889</v>
      </c>
      <c r="G11" s="31" t="n">
        <v>6</v>
      </c>
      <c r="H11" s="32" t="s">
        <v>767</v>
      </c>
      <c r="I11" s="29" t="s">
        <v>439</v>
      </c>
      <c r="J11" s="33" t="s">
        <v>1127</v>
      </c>
      <c r="K11" s="22" t="s">
        <v>407</v>
      </c>
      <c r="L11" s="1" t="n">
        <v>0.1</v>
      </c>
      <c r="M11" s="7" t="s">
        <v>629</v>
      </c>
      <c r="N11" s="7" t="s">
        <v>409</v>
      </c>
    </row>
    <row r="12" customFormat="false" ht="13.5" hidden="false" customHeight="true" outlineLevel="0" collapsed="false">
      <c r="A12" s="28" t="s">
        <v>468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28.5" hidden="false" customHeight="true" outlineLevel="0" collapsed="false">
      <c r="A13" s="29" t="s">
        <v>1128</v>
      </c>
      <c r="B13" s="22" t="s">
        <v>436</v>
      </c>
      <c r="C13" s="29" t="s">
        <v>540</v>
      </c>
      <c r="D13" s="29" t="s">
        <v>402</v>
      </c>
      <c r="E13" s="22" t="s">
        <v>431</v>
      </c>
      <c r="F13" s="30" t="n">
        <v>0.09</v>
      </c>
      <c r="G13" s="34" t="n">
        <v>8</v>
      </c>
      <c r="H13" s="32" t="s">
        <v>541</v>
      </c>
      <c r="I13" s="29" t="s">
        <v>460</v>
      </c>
      <c r="J13" s="33" t="s">
        <v>1129</v>
      </c>
      <c r="K13" s="22" t="s">
        <v>407</v>
      </c>
      <c r="L13" s="1" t="n">
        <v>0.15</v>
      </c>
      <c r="M13" s="7" t="s">
        <v>476</v>
      </c>
      <c r="N13" s="7" t="s">
        <v>409</v>
      </c>
    </row>
    <row r="14" customFormat="false" ht="28.5" hidden="false" customHeight="true" outlineLevel="0" collapsed="false">
      <c r="A14" s="29" t="s">
        <v>1130</v>
      </c>
      <c r="B14" s="22" t="s">
        <v>436</v>
      </c>
      <c r="C14" s="29" t="s">
        <v>1131</v>
      </c>
      <c r="D14" s="29" t="s">
        <v>472</v>
      </c>
      <c r="E14" s="22" t="s">
        <v>424</v>
      </c>
      <c r="F14" s="30" t="n">
        <v>0.06</v>
      </c>
      <c r="G14" s="31" t="n">
        <v>6</v>
      </c>
      <c r="H14" s="32" t="s">
        <v>1132</v>
      </c>
      <c r="I14" s="29" t="s">
        <v>447</v>
      </c>
      <c r="J14" s="33" t="s">
        <v>1133</v>
      </c>
      <c r="K14" s="22" t="s">
        <v>407</v>
      </c>
      <c r="L14" s="1" t="n">
        <v>0.1</v>
      </c>
      <c r="M14" s="7" t="s">
        <v>476</v>
      </c>
      <c r="N14" s="7" t="s">
        <v>409</v>
      </c>
    </row>
    <row r="15" customFormat="false" ht="17.25" hidden="false" customHeight="true" outlineLevel="0" collapsed="false">
      <c r="A15" s="35" t="s">
        <v>485</v>
      </c>
      <c r="B15" s="35"/>
      <c r="C15" s="35"/>
      <c r="D15" s="35"/>
      <c r="E15" s="35"/>
      <c r="F15" s="35"/>
      <c r="G15" s="39" t="n">
        <f aca="false">ROUND(SUMPRODUCT(F5:F14,G5:G14),1)</f>
        <v>6.6</v>
      </c>
      <c r="H15" s="37" t="s">
        <v>486</v>
      </c>
      <c r="I15" s="37"/>
      <c r="J15" s="37"/>
      <c r="K15" s="37"/>
    </row>
  </sheetData>
  <mergeCells count="7">
    <mergeCell ref="A1:K1"/>
    <mergeCell ref="A2:K2"/>
    <mergeCell ref="A4:K4"/>
    <mergeCell ref="A8:K8"/>
    <mergeCell ref="A12:K12"/>
    <mergeCell ref="A15:F15"/>
    <mergeCell ref="H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1134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1135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4.8</v>
      </c>
    </row>
    <row r="5" customFormat="false" ht="28.5" hidden="false" customHeight="true" outlineLevel="0" collapsed="false">
      <c r="A5" s="29" t="s">
        <v>1136</v>
      </c>
      <c r="B5" s="22" t="s">
        <v>1137</v>
      </c>
      <c r="C5" s="29" t="s">
        <v>1138</v>
      </c>
      <c r="D5" s="22" t="s">
        <v>498</v>
      </c>
      <c r="E5" s="22" t="s">
        <v>424</v>
      </c>
      <c r="F5" s="30" t="n">
        <v>0.15</v>
      </c>
      <c r="G5" s="38" t="n">
        <v>4</v>
      </c>
      <c r="H5" s="32" t="s">
        <v>1081</v>
      </c>
      <c r="I5" s="29" t="s">
        <v>850</v>
      </c>
      <c r="J5" s="33" t="s">
        <v>1139</v>
      </c>
      <c r="K5" s="22" t="s">
        <v>418</v>
      </c>
      <c r="L5" s="1" t="n">
        <v>0.15</v>
      </c>
      <c r="M5" s="7" t="s">
        <v>408</v>
      </c>
      <c r="N5" s="7" t="s">
        <v>419</v>
      </c>
      <c r="O5" s="1" t="s">
        <v>410</v>
      </c>
      <c r="P5" s="1" t="n">
        <f aca="false">ROUND(SUMPRODUCT(F10:F13,G10:G13)/SUM(F10:F13),1)</f>
        <v>4.9</v>
      </c>
    </row>
    <row r="6" customFormat="false" ht="28.5" hidden="false" customHeight="true" outlineLevel="0" collapsed="false">
      <c r="A6" s="29" t="s">
        <v>1140</v>
      </c>
      <c r="B6" s="22" t="s">
        <v>503</v>
      </c>
      <c r="C6" s="29" t="s">
        <v>1141</v>
      </c>
      <c r="D6" s="22" t="s">
        <v>498</v>
      </c>
      <c r="E6" s="22" t="s">
        <v>424</v>
      </c>
      <c r="F6" s="30" t="n">
        <v>0.12</v>
      </c>
      <c r="G6" s="38" t="n">
        <v>4</v>
      </c>
      <c r="H6" s="32" t="s">
        <v>1142</v>
      </c>
      <c r="I6" s="29" t="s">
        <v>426</v>
      </c>
      <c r="J6" s="33" t="s">
        <v>1143</v>
      </c>
      <c r="K6" s="22" t="s">
        <v>418</v>
      </c>
      <c r="L6" s="1" t="n">
        <v>0.12</v>
      </c>
      <c r="M6" s="7" t="s">
        <v>408</v>
      </c>
      <c r="N6" s="7" t="s">
        <v>419</v>
      </c>
      <c r="O6" s="1" t="s">
        <v>420</v>
      </c>
      <c r="P6" s="1" t="n">
        <f aca="false">ROUND(SUMPRODUCT(F15:F17,G15:G17)/SUM(F15:F17),1)</f>
        <v>4</v>
      </c>
    </row>
    <row r="7" customFormat="false" ht="28.5" hidden="false" customHeight="true" outlineLevel="0" collapsed="false">
      <c r="A7" s="29" t="s">
        <v>1144</v>
      </c>
      <c r="B7" s="22" t="s">
        <v>436</v>
      </c>
      <c r="C7" s="29" t="s">
        <v>1026</v>
      </c>
      <c r="D7" s="29" t="s">
        <v>402</v>
      </c>
      <c r="E7" s="22" t="s">
        <v>424</v>
      </c>
      <c r="F7" s="30" t="n">
        <v>0.13</v>
      </c>
      <c r="G7" s="38" t="n">
        <v>4</v>
      </c>
      <c r="H7" s="32" t="s">
        <v>1003</v>
      </c>
      <c r="I7" s="29" t="s">
        <v>1014</v>
      </c>
      <c r="J7" s="33" t="s">
        <v>1145</v>
      </c>
      <c r="K7" s="22" t="s">
        <v>407</v>
      </c>
      <c r="L7" s="1" t="n">
        <v>0.13</v>
      </c>
      <c r="M7" s="7" t="s">
        <v>408</v>
      </c>
      <c r="N7" s="7" t="s">
        <v>409</v>
      </c>
    </row>
    <row r="8" customFormat="false" ht="28.5" hidden="false" customHeight="true" outlineLevel="0" collapsed="false">
      <c r="A8" s="29" t="s">
        <v>1146</v>
      </c>
      <c r="B8" s="22" t="s">
        <v>436</v>
      </c>
      <c r="C8" s="29" t="s">
        <v>540</v>
      </c>
      <c r="D8" s="29" t="s">
        <v>402</v>
      </c>
      <c r="E8" s="22" t="s">
        <v>431</v>
      </c>
      <c r="F8" s="30" t="n">
        <v>0.1</v>
      </c>
      <c r="G8" s="34" t="n">
        <v>8</v>
      </c>
      <c r="H8" s="32" t="s">
        <v>1147</v>
      </c>
      <c r="I8" s="29" t="s">
        <v>454</v>
      </c>
      <c r="J8" s="33" t="s">
        <v>1148</v>
      </c>
      <c r="K8" s="22" t="s">
        <v>407</v>
      </c>
      <c r="L8" s="1" t="n">
        <v>0.1</v>
      </c>
      <c r="M8" s="7" t="s">
        <v>408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1149</v>
      </c>
      <c r="B10" s="22" t="s">
        <v>1137</v>
      </c>
      <c r="C10" s="29" t="s">
        <v>912</v>
      </c>
      <c r="D10" s="29" t="s">
        <v>402</v>
      </c>
      <c r="E10" s="22" t="s">
        <v>424</v>
      </c>
      <c r="F10" s="30" t="n">
        <v>0.105</v>
      </c>
      <c r="G10" s="38" t="n">
        <v>4</v>
      </c>
      <c r="H10" s="32" t="s">
        <v>600</v>
      </c>
      <c r="I10" s="29" t="s">
        <v>909</v>
      </c>
      <c r="J10" s="33" t="s">
        <v>1150</v>
      </c>
      <c r="K10" s="22" t="s">
        <v>407</v>
      </c>
      <c r="L10" s="1" t="n">
        <v>0.12</v>
      </c>
      <c r="M10" s="7" t="s">
        <v>449</v>
      </c>
      <c r="N10" s="7" t="s">
        <v>589</v>
      </c>
    </row>
    <row r="11" customFormat="false" ht="28.5" hidden="false" customHeight="true" outlineLevel="0" collapsed="false">
      <c r="A11" s="29" t="s">
        <v>1151</v>
      </c>
      <c r="B11" s="22" t="s">
        <v>503</v>
      </c>
      <c r="C11" s="29" t="s">
        <v>1152</v>
      </c>
      <c r="D11" s="22" t="s">
        <v>525</v>
      </c>
      <c r="E11" s="22" t="s">
        <v>431</v>
      </c>
      <c r="F11" s="30" t="n">
        <v>0.0875</v>
      </c>
      <c r="G11" s="31" t="n">
        <v>6</v>
      </c>
      <c r="H11" s="32" t="s">
        <v>526</v>
      </c>
      <c r="I11" s="29" t="s">
        <v>447</v>
      </c>
      <c r="J11" s="33" t="s">
        <v>1153</v>
      </c>
      <c r="K11" s="22" t="s">
        <v>418</v>
      </c>
      <c r="L11" s="1" t="n">
        <v>0.1</v>
      </c>
      <c r="M11" s="7" t="s">
        <v>449</v>
      </c>
      <c r="N11" s="7" t="s">
        <v>529</v>
      </c>
    </row>
    <row r="12" customFormat="false" ht="28.5" hidden="false" customHeight="true" outlineLevel="0" collapsed="false">
      <c r="A12" s="29" t="s">
        <v>1154</v>
      </c>
      <c r="B12" s="22" t="s">
        <v>1137</v>
      </c>
      <c r="C12" s="29" t="s">
        <v>1155</v>
      </c>
      <c r="D12" s="29" t="s">
        <v>472</v>
      </c>
      <c r="E12" s="22" t="s">
        <v>424</v>
      </c>
      <c r="F12" s="30" t="n">
        <v>0.0875</v>
      </c>
      <c r="G12" s="38" t="n">
        <v>4</v>
      </c>
      <c r="H12" s="32" t="s">
        <v>1156</v>
      </c>
      <c r="I12" s="29" t="s">
        <v>426</v>
      </c>
      <c r="J12" s="33" t="s">
        <v>1157</v>
      </c>
      <c r="K12" s="22" t="s">
        <v>418</v>
      </c>
      <c r="L12" s="1" t="n">
        <v>0.1</v>
      </c>
      <c r="M12" s="7" t="s">
        <v>449</v>
      </c>
      <c r="N12" s="7" t="s">
        <v>409</v>
      </c>
    </row>
    <row r="13" customFormat="false" ht="14.25" hidden="false" customHeight="true" outlineLevel="0" collapsed="false">
      <c r="A13" s="29" t="s">
        <v>1158</v>
      </c>
      <c r="B13" s="22" t="s">
        <v>429</v>
      </c>
      <c r="C13" s="29" t="s">
        <v>971</v>
      </c>
      <c r="D13" s="29" t="s">
        <v>402</v>
      </c>
      <c r="E13" s="22" t="s">
        <v>431</v>
      </c>
      <c r="F13" s="30" t="n">
        <v>0.07</v>
      </c>
      <c r="G13" s="31" t="n">
        <v>6</v>
      </c>
      <c r="H13" s="32" t="s">
        <v>541</v>
      </c>
      <c r="I13" s="29" t="s">
        <v>433</v>
      </c>
      <c r="J13" s="33" t="s">
        <v>1159</v>
      </c>
      <c r="K13" s="22" t="s">
        <v>407</v>
      </c>
      <c r="L13" s="1" t="n">
        <v>0.08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1160</v>
      </c>
      <c r="B15" s="22" t="s">
        <v>470</v>
      </c>
      <c r="C15" s="29" t="s">
        <v>1161</v>
      </c>
      <c r="D15" s="22" t="s">
        <v>592</v>
      </c>
      <c r="E15" s="22" t="s">
        <v>424</v>
      </c>
      <c r="F15" s="30" t="n">
        <v>0.06</v>
      </c>
      <c r="G15" s="38" t="n">
        <v>4</v>
      </c>
      <c r="H15" s="32" t="s">
        <v>593</v>
      </c>
      <c r="I15" s="29" t="s">
        <v>718</v>
      </c>
      <c r="J15" s="32" t="s">
        <v>1162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28.5" hidden="false" customHeight="true" outlineLevel="0" collapsed="false">
      <c r="A16" s="29" t="s">
        <v>1163</v>
      </c>
      <c r="B16" s="22" t="s">
        <v>436</v>
      </c>
      <c r="C16" s="29" t="s">
        <v>831</v>
      </c>
      <c r="D16" s="29" t="s">
        <v>472</v>
      </c>
      <c r="E16" s="22" t="s">
        <v>424</v>
      </c>
      <c r="F16" s="30" t="n">
        <v>0.048</v>
      </c>
      <c r="G16" s="38" t="n">
        <v>4</v>
      </c>
      <c r="H16" s="32" t="s">
        <v>505</v>
      </c>
      <c r="I16" s="29" t="s">
        <v>850</v>
      </c>
      <c r="J16" s="33" t="s">
        <v>1164</v>
      </c>
      <c r="K16" s="22" t="s">
        <v>475</v>
      </c>
      <c r="L16" s="1" t="n">
        <v>0.08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1165</v>
      </c>
      <c r="B17" s="22" t="s">
        <v>436</v>
      </c>
      <c r="C17" s="29" t="s">
        <v>1166</v>
      </c>
      <c r="D17" s="29" t="s">
        <v>472</v>
      </c>
      <c r="E17" s="22" t="s">
        <v>424</v>
      </c>
      <c r="F17" s="30" t="n">
        <v>0.042</v>
      </c>
      <c r="G17" s="38" t="n">
        <v>4</v>
      </c>
      <c r="H17" s="32" t="s">
        <v>545</v>
      </c>
      <c r="I17" s="29" t="s">
        <v>569</v>
      </c>
      <c r="J17" s="33" t="s">
        <v>1167</v>
      </c>
      <c r="K17" s="22" t="s">
        <v>407</v>
      </c>
      <c r="L17" s="1" t="n">
        <v>0.07</v>
      </c>
      <c r="M17" s="7" t="s">
        <v>476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41" t="n">
        <f aca="false">ROUND(SUMPRODUCT(F5:F17,G5:G17),1)</f>
        <v>4.7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1168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1169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7.1</v>
      </c>
    </row>
    <row r="5" customFormat="false" ht="28.5" hidden="false" customHeight="true" outlineLevel="0" collapsed="false">
      <c r="A5" s="29" t="s">
        <v>1170</v>
      </c>
      <c r="B5" s="22" t="s">
        <v>1171</v>
      </c>
      <c r="C5" s="29" t="s">
        <v>1152</v>
      </c>
      <c r="D5" s="22" t="s">
        <v>1172</v>
      </c>
      <c r="E5" s="22" t="s">
        <v>925</v>
      </c>
      <c r="F5" s="30" t="n">
        <v>0.15</v>
      </c>
      <c r="G5" s="34" t="n">
        <v>8</v>
      </c>
      <c r="H5" s="32" t="s">
        <v>1173</v>
      </c>
      <c r="I5" s="29" t="s">
        <v>653</v>
      </c>
      <c r="J5" s="33" t="s">
        <v>1174</v>
      </c>
      <c r="K5" s="22" t="s">
        <v>441</v>
      </c>
      <c r="L5" s="1" t="n">
        <v>0.15</v>
      </c>
      <c r="M5" s="7" t="s">
        <v>608</v>
      </c>
      <c r="N5" s="7" t="s">
        <v>409</v>
      </c>
      <c r="O5" s="1" t="s">
        <v>410</v>
      </c>
      <c r="P5" s="1" t="n">
        <f aca="false">ROUND(SUMPRODUCT(F10:F13,G10:G13)/SUM(F10:F13),1)</f>
        <v>5.3</v>
      </c>
    </row>
    <row r="6" customFormat="false" ht="28.5" hidden="false" customHeight="true" outlineLevel="0" collapsed="false">
      <c r="A6" s="29" t="s">
        <v>1175</v>
      </c>
      <c r="B6" s="22" t="s">
        <v>1176</v>
      </c>
      <c r="C6" s="29" t="s">
        <v>1177</v>
      </c>
      <c r="D6" s="22" t="s">
        <v>1118</v>
      </c>
      <c r="E6" s="22" t="s">
        <v>925</v>
      </c>
      <c r="F6" s="30" t="n">
        <v>0.12</v>
      </c>
      <c r="G6" s="34" t="n">
        <v>8</v>
      </c>
      <c r="H6" s="32" t="s">
        <v>1119</v>
      </c>
      <c r="I6" s="29" t="s">
        <v>646</v>
      </c>
      <c r="J6" s="33" t="s">
        <v>1178</v>
      </c>
      <c r="K6" s="22" t="s">
        <v>407</v>
      </c>
      <c r="L6" s="1" t="n">
        <v>0.12</v>
      </c>
      <c r="M6" s="7" t="s">
        <v>608</v>
      </c>
      <c r="N6" s="7" t="s">
        <v>409</v>
      </c>
      <c r="O6" s="1" t="s">
        <v>420</v>
      </c>
      <c r="P6" s="1" t="n">
        <f aca="false">ROUND(SUMPRODUCT(F15:F17,G15:G17)/SUM(F15:F17),1)</f>
        <v>6</v>
      </c>
    </row>
    <row r="7" customFormat="false" ht="28.5" hidden="false" customHeight="true" outlineLevel="0" collapsed="false">
      <c r="A7" s="29" t="s">
        <v>1144</v>
      </c>
      <c r="B7" s="22" t="s">
        <v>436</v>
      </c>
      <c r="C7" s="29" t="s">
        <v>1026</v>
      </c>
      <c r="D7" s="29" t="s">
        <v>402</v>
      </c>
      <c r="E7" s="22" t="s">
        <v>424</v>
      </c>
      <c r="F7" s="30" t="n">
        <v>0.1</v>
      </c>
      <c r="G7" s="38" t="n">
        <v>4</v>
      </c>
      <c r="H7" s="32" t="s">
        <v>1003</v>
      </c>
      <c r="I7" s="29" t="s">
        <v>1014</v>
      </c>
      <c r="J7" s="33" t="s">
        <v>1179</v>
      </c>
      <c r="K7" s="22" t="s">
        <v>407</v>
      </c>
      <c r="L7" s="1" t="n">
        <v>0.1</v>
      </c>
      <c r="M7" s="7" t="s">
        <v>608</v>
      </c>
      <c r="N7" s="7" t="s">
        <v>409</v>
      </c>
    </row>
    <row r="8" customFormat="false" ht="28.5" hidden="false" customHeight="true" outlineLevel="0" collapsed="false">
      <c r="A8" s="29" t="s">
        <v>1180</v>
      </c>
      <c r="B8" s="22" t="s">
        <v>572</v>
      </c>
      <c r="C8" s="29" t="s">
        <v>423</v>
      </c>
      <c r="D8" s="29" t="s">
        <v>402</v>
      </c>
      <c r="E8" s="22" t="s">
        <v>424</v>
      </c>
      <c r="F8" s="30" t="n">
        <v>0.08</v>
      </c>
      <c r="G8" s="34" t="n">
        <v>8</v>
      </c>
      <c r="H8" s="32" t="s">
        <v>432</v>
      </c>
      <c r="I8" s="29" t="s">
        <v>483</v>
      </c>
      <c r="J8" s="33" t="s">
        <v>1181</v>
      </c>
      <c r="K8" s="22" t="s">
        <v>418</v>
      </c>
      <c r="L8" s="1" t="n">
        <v>0.08</v>
      </c>
      <c r="M8" s="7" t="s">
        <v>608</v>
      </c>
      <c r="N8" s="7" t="s">
        <v>419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1182</v>
      </c>
      <c r="B10" s="22" t="s">
        <v>436</v>
      </c>
      <c r="C10" s="29" t="s">
        <v>1183</v>
      </c>
      <c r="D10" s="22" t="s">
        <v>458</v>
      </c>
      <c r="E10" s="22" t="s">
        <v>424</v>
      </c>
      <c r="F10" s="30" t="n">
        <v>0.1167</v>
      </c>
      <c r="G10" s="38" t="n">
        <v>4</v>
      </c>
      <c r="H10" s="32" t="s">
        <v>1184</v>
      </c>
      <c r="I10" s="29" t="s">
        <v>426</v>
      </c>
      <c r="J10" s="33" t="s">
        <v>1185</v>
      </c>
      <c r="K10" s="22" t="s">
        <v>407</v>
      </c>
      <c r="L10" s="1" t="n">
        <v>0.15</v>
      </c>
      <c r="M10" s="7" t="s">
        <v>449</v>
      </c>
      <c r="N10" s="7" t="s">
        <v>409</v>
      </c>
    </row>
    <row r="11" customFormat="false" ht="28.5" hidden="false" customHeight="true" outlineLevel="0" collapsed="false">
      <c r="A11" s="29" t="s">
        <v>1186</v>
      </c>
      <c r="B11" s="22" t="s">
        <v>436</v>
      </c>
      <c r="C11" s="29" t="s">
        <v>509</v>
      </c>
      <c r="D11" s="29" t="s">
        <v>402</v>
      </c>
      <c r="E11" s="22" t="s">
        <v>431</v>
      </c>
      <c r="F11" s="30" t="n">
        <v>0.0933</v>
      </c>
      <c r="G11" s="31" t="n">
        <v>6</v>
      </c>
      <c r="H11" s="32" t="s">
        <v>541</v>
      </c>
      <c r="I11" s="29" t="s">
        <v>439</v>
      </c>
      <c r="J11" s="33" t="s">
        <v>1187</v>
      </c>
      <c r="K11" s="22" t="s">
        <v>407</v>
      </c>
      <c r="L11" s="1" t="n">
        <v>0.12</v>
      </c>
      <c r="M11" s="7" t="s">
        <v>449</v>
      </c>
      <c r="N11" s="7" t="s">
        <v>409</v>
      </c>
    </row>
    <row r="12" customFormat="false" ht="28.5" hidden="false" customHeight="true" outlineLevel="0" collapsed="false">
      <c r="A12" s="29" t="s">
        <v>1188</v>
      </c>
      <c r="B12" s="22" t="s">
        <v>436</v>
      </c>
      <c r="C12" s="29" t="s">
        <v>736</v>
      </c>
      <c r="D12" s="29" t="s">
        <v>402</v>
      </c>
      <c r="E12" s="22" t="s">
        <v>431</v>
      </c>
      <c r="F12" s="30" t="n">
        <v>0.0778</v>
      </c>
      <c r="G12" s="31" t="n">
        <v>6</v>
      </c>
      <c r="H12" s="32" t="s">
        <v>767</v>
      </c>
      <c r="I12" s="29" t="s">
        <v>439</v>
      </c>
      <c r="J12" s="33" t="s">
        <v>1189</v>
      </c>
      <c r="K12" s="22" t="s">
        <v>407</v>
      </c>
      <c r="L12" s="1" t="n">
        <v>0.1</v>
      </c>
      <c r="M12" s="7" t="s">
        <v>449</v>
      </c>
      <c r="N12" s="7" t="s">
        <v>409</v>
      </c>
    </row>
    <row r="13" customFormat="false" ht="28.5" hidden="false" customHeight="true" outlineLevel="0" collapsed="false">
      <c r="A13" s="29" t="s">
        <v>1190</v>
      </c>
      <c r="B13" s="22" t="s">
        <v>470</v>
      </c>
      <c r="C13" s="29" t="s">
        <v>1191</v>
      </c>
      <c r="D13" s="22" t="s">
        <v>1192</v>
      </c>
      <c r="E13" s="22" t="s">
        <v>424</v>
      </c>
      <c r="F13" s="30" t="n">
        <v>0.0622</v>
      </c>
      <c r="G13" s="31" t="n">
        <v>6</v>
      </c>
      <c r="H13" s="32" t="s">
        <v>1193</v>
      </c>
      <c r="I13" s="29" t="s">
        <v>405</v>
      </c>
      <c r="J13" s="33" t="s">
        <v>1194</v>
      </c>
      <c r="K13" s="22" t="s">
        <v>475</v>
      </c>
      <c r="L13" s="1" t="n">
        <v>0.08</v>
      </c>
      <c r="M13" s="7" t="s">
        <v>449</v>
      </c>
      <c r="N13" s="7" t="s">
        <v>679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1195</v>
      </c>
      <c r="B15" s="22" t="s">
        <v>470</v>
      </c>
      <c r="C15" s="29" t="s">
        <v>877</v>
      </c>
      <c r="D15" s="22" t="s">
        <v>592</v>
      </c>
      <c r="E15" s="22" t="s">
        <v>424</v>
      </c>
      <c r="F15" s="30" t="n">
        <v>0.08</v>
      </c>
      <c r="G15" s="31" t="n">
        <v>6</v>
      </c>
      <c r="H15" s="32" t="s">
        <v>1033</v>
      </c>
      <c r="I15" s="29" t="s">
        <v>483</v>
      </c>
      <c r="J15" s="32" t="s">
        <v>1196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1197</v>
      </c>
      <c r="B16" s="22" t="s">
        <v>470</v>
      </c>
      <c r="C16" s="29" t="s">
        <v>825</v>
      </c>
      <c r="D16" s="29" t="s">
        <v>472</v>
      </c>
      <c r="E16" s="22" t="s">
        <v>431</v>
      </c>
      <c r="F16" s="30" t="n">
        <v>0.064</v>
      </c>
      <c r="G16" s="31" t="n">
        <v>6</v>
      </c>
      <c r="H16" s="32" t="s">
        <v>1198</v>
      </c>
      <c r="I16" s="29" t="s">
        <v>460</v>
      </c>
      <c r="J16" s="33" t="s">
        <v>1199</v>
      </c>
      <c r="K16" s="22" t="s">
        <v>475</v>
      </c>
      <c r="L16" s="1" t="n">
        <v>0.08</v>
      </c>
      <c r="M16" s="7" t="s">
        <v>745</v>
      </c>
      <c r="N16" s="7" t="s">
        <v>529</v>
      </c>
    </row>
    <row r="17" customFormat="false" ht="28.5" hidden="false" customHeight="true" outlineLevel="0" collapsed="false">
      <c r="A17" s="29" t="s">
        <v>1200</v>
      </c>
      <c r="B17" s="22" t="s">
        <v>470</v>
      </c>
      <c r="C17" s="29" t="s">
        <v>1201</v>
      </c>
      <c r="D17" s="22" t="s">
        <v>525</v>
      </c>
      <c r="E17" s="22" t="s">
        <v>431</v>
      </c>
      <c r="F17" s="30" t="n">
        <v>0.056</v>
      </c>
      <c r="G17" s="31" t="n">
        <v>6</v>
      </c>
      <c r="H17" s="32" t="s">
        <v>1202</v>
      </c>
      <c r="I17" s="29" t="s">
        <v>447</v>
      </c>
      <c r="J17" s="33" t="s">
        <v>1203</v>
      </c>
      <c r="K17" s="22" t="s">
        <v>475</v>
      </c>
      <c r="L17" s="1" t="n">
        <v>0.07</v>
      </c>
      <c r="M17" s="7" t="s">
        <v>745</v>
      </c>
      <c r="N17" s="7" t="s">
        <v>529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6.3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1204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1205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ROUND(SUMPRODUCT(F5:F9,G5:G9)/SUM(F5:F9),1)</f>
        <v>8.8</v>
      </c>
    </row>
    <row r="5" customFormat="false" ht="28.5" hidden="false" customHeight="true" outlineLevel="0" collapsed="false">
      <c r="A5" s="29" t="s">
        <v>1206</v>
      </c>
      <c r="B5" s="29" t="s">
        <v>1207</v>
      </c>
      <c r="C5" s="29" t="s">
        <v>1208</v>
      </c>
      <c r="D5" s="22" t="s">
        <v>1209</v>
      </c>
      <c r="E5" s="22" t="s">
        <v>424</v>
      </c>
      <c r="F5" s="30" t="n">
        <v>0.0947</v>
      </c>
      <c r="G5" s="34" t="n">
        <v>8</v>
      </c>
      <c r="H5" s="32" t="s">
        <v>1210</v>
      </c>
      <c r="I5" s="29" t="s">
        <v>718</v>
      </c>
      <c r="J5" s="33" t="s">
        <v>1211</v>
      </c>
      <c r="K5" s="22" t="s">
        <v>418</v>
      </c>
      <c r="L5" s="1" t="n">
        <v>0.12</v>
      </c>
      <c r="M5" s="7" t="s">
        <v>608</v>
      </c>
      <c r="N5" s="7" t="s">
        <v>419</v>
      </c>
      <c r="O5" s="1" t="s">
        <v>410</v>
      </c>
      <c r="P5" s="1" t="n">
        <f aca="false">ROUND(SUMPRODUCT(F11:F14,G11:G14)/SUM(F11:F14),1)</f>
        <v>6.4</v>
      </c>
    </row>
    <row r="6" customFormat="false" ht="28.5" hidden="false" customHeight="true" outlineLevel="0" collapsed="false">
      <c r="A6" s="29" t="s">
        <v>1212</v>
      </c>
      <c r="B6" s="22" t="s">
        <v>1213</v>
      </c>
      <c r="C6" s="29" t="s">
        <v>747</v>
      </c>
      <c r="D6" s="22" t="s">
        <v>1214</v>
      </c>
      <c r="E6" s="22" t="s">
        <v>424</v>
      </c>
      <c r="F6" s="30" t="n">
        <v>0.0789</v>
      </c>
      <c r="G6" s="34" t="n">
        <v>8</v>
      </c>
      <c r="H6" s="32" t="s">
        <v>1215</v>
      </c>
      <c r="I6" s="29" t="s">
        <v>999</v>
      </c>
      <c r="J6" s="33" t="s">
        <v>1216</v>
      </c>
      <c r="K6" s="22" t="s">
        <v>418</v>
      </c>
      <c r="L6" s="1" t="n">
        <v>0.1</v>
      </c>
      <c r="M6" s="7" t="s">
        <v>608</v>
      </c>
      <c r="N6" s="7" t="s">
        <v>419</v>
      </c>
      <c r="O6" s="1" t="s">
        <v>420</v>
      </c>
      <c r="P6" s="1" t="n">
        <f aca="false">ROUND(SUMPRODUCT(F16:F18,G16:G18)/SUM(F16:F18),1)</f>
        <v>5.9</v>
      </c>
    </row>
    <row r="7" customFormat="false" ht="28.5" hidden="false" customHeight="true" outlineLevel="0" collapsed="false">
      <c r="A7" s="29" t="s">
        <v>1217</v>
      </c>
      <c r="B7" s="29" t="s">
        <v>610</v>
      </c>
      <c r="C7" s="29" t="s">
        <v>1218</v>
      </c>
      <c r="D7" s="22" t="s">
        <v>1219</v>
      </c>
      <c r="E7" s="22" t="s">
        <v>424</v>
      </c>
      <c r="F7" s="30" t="n">
        <v>0.0947</v>
      </c>
      <c r="G7" s="34" t="n">
        <v>8</v>
      </c>
      <c r="H7" s="32" t="s">
        <v>1220</v>
      </c>
      <c r="I7" s="29" t="s">
        <v>909</v>
      </c>
      <c r="J7" s="33" t="s">
        <v>1221</v>
      </c>
      <c r="K7" s="22" t="s">
        <v>418</v>
      </c>
      <c r="L7" s="1" t="n">
        <v>0.12</v>
      </c>
      <c r="M7" s="7" t="s">
        <v>608</v>
      </c>
      <c r="N7" s="7" t="s">
        <v>419</v>
      </c>
    </row>
    <row r="8" customFormat="false" ht="28.5" hidden="false" customHeight="true" outlineLevel="0" collapsed="false">
      <c r="A8" s="29" t="s">
        <v>1222</v>
      </c>
      <c r="B8" s="22" t="s">
        <v>1223</v>
      </c>
      <c r="C8" s="29" t="s">
        <v>987</v>
      </c>
      <c r="D8" s="29" t="s">
        <v>924</v>
      </c>
      <c r="E8" s="22" t="s">
        <v>925</v>
      </c>
      <c r="F8" s="30" t="n">
        <v>0.1026</v>
      </c>
      <c r="G8" s="34" t="n">
        <v>10</v>
      </c>
      <c r="H8" s="32" t="s">
        <v>612</v>
      </c>
      <c r="I8" s="29" t="s">
        <v>666</v>
      </c>
      <c r="J8" s="33" t="s">
        <v>1224</v>
      </c>
      <c r="K8" s="22" t="s">
        <v>475</v>
      </c>
      <c r="L8" s="1" t="n">
        <v>0.13</v>
      </c>
      <c r="M8" s="7" t="s">
        <v>608</v>
      </c>
      <c r="N8" s="7" t="s">
        <v>679</v>
      </c>
    </row>
    <row r="9" customFormat="false" ht="28.5" hidden="false" customHeight="true" outlineLevel="0" collapsed="false">
      <c r="A9" s="29" t="s">
        <v>1225</v>
      </c>
      <c r="B9" s="22" t="s">
        <v>1226</v>
      </c>
      <c r="C9" s="29" t="s">
        <v>1227</v>
      </c>
      <c r="D9" s="22" t="s">
        <v>592</v>
      </c>
      <c r="E9" s="22" t="s">
        <v>925</v>
      </c>
      <c r="F9" s="30" t="n">
        <v>0.0789</v>
      </c>
      <c r="G9" s="34" t="n">
        <v>10</v>
      </c>
      <c r="H9" s="32" t="s">
        <v>1228</v>
      </c>
      <c r="I9" s="29" t="s">
        <v>627</v>
      </c>
      <c r="J9" s="33" t="s">
        <v>1229</v>
      </c>
      <c r="K9" s="22" t="s">
        <v>441</v>
      </c>
      <c r="L9" s="1" t="n">
        <v>0.1</v>
      </c>
      <c r="M9" s="7" t="s">
        <v>608</v>
      </c>
      <c r="N9" s="7" t="s">
        <v>409</v>
      </c>
    </row>
    <row r="10" customFormat="false" ht="13.5" hidden="false" customHeight="true" outlineLevel="0" collapsed="false">
      <c r="A10" s="28" t="s">
        <v>442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28.5" hidden="false" customHeight="true" outlineLevel="0" collapsed="false">
      <c r="A11" s="29" t="s">
        <v>1230</v>
      </c>
      <c r="B11" s="22" t="s">
        <v>922</v>
      </c>
      <c r="C11" s="29" t="s">
        <v>1231</v>
      </c>
      <c r="D11" s="29" t="s">
        <v>1232</v>
      </c>
      <c r="E11" s="22" t="s">
        <v>431</v>
      </c>
      <c r="F11" s="30" t="n">
        <v>0.1105</v>
      </c>
      <c r="G11" s="31" t="n">
        <v>6</v>
      </c>
      <c r="H11" s="32" t="s">
        <v>1233</v>
      </c>
      <c r="I11" s="29" t="s">
        <v>447</v>
      </c>
      <c r="J11" s="33" t="s">
        <v>1234</v>
      </c>
      <c r="K11" s="22" t="s">
        <v>407</v>
      </c>
      <c r="L11" s="1" t="n">
        <v>0.12</v>
      </c>
      <c r="M11" s="7" t="s">
        <v>449</v>
      </c>
      <c r="N11" s="7" t="s">
        <v>589</v>
      </c>
    </row>
    <row r="12" customFormat="false" ht="28.5" hidden="false" customHeight="true" outlineLevel="0" collapsed="false">
      <c r="A12" s="29" t="s">
        <v>1235</v>
      </c>
      <c r="B12" s="22" t="s">
        <v>922</v>
      </c>
      <c r="C12" s="29" t="s">
        <v>705</v>
      </c>
      <c r="D12" s="29" t="s">
        <v>1232</v>
      </c>
      <c r="E12" s="22" t="s">
        <v>431</v>
      </c>
      <c r="F12" s="30" t="n">
        <v>0.0921</v>
      </c>
      <c r="G12" s="31" t="n">
        <v>6</v>
      </c>
      <c r="H12" s="32" t="s">
        <v>1236</v>
      </c>
      <c r="I12" s="29" t="s">
        <v>433</v>
      </c>
      <c r="J12" s="33" t="s">
        <v>1237</v>
      </c>
      <c r="K12" s="22" t="s">
        <v>407</v>
      </c>
      <c r="L12" s="1" t="n">
        <v>0.1</v>
      </c>
      <c r="M12" s="7" t="s">
        <v>449</v>
      </c>
      <c r="N12" s="7" t="s">
        <v>589</v>
      </c>
    </row>
    <row r="13" customFormat="false" ht="28.5" hidden="false" customHeight="true" outlineLevel="0" collapsed="false">
      <c r="A13" s="29" t="s">
        <v>1238</v>
      </c>
      <c r="B13" s="29" t="s">
        <v>1239</v>
      </c>
      <c r="C13" s="29" t="s">
        <v>524</v>
      </c>
      <c r="D13" s="29" t="s">
        <v>1240</v>
      </c>
      <c r="E13" s="22" t="s">
        <v>431</v>
      </c>
      <c r="F13" s="30" t="n">
        <v>0.0737</v>
      </c>
      <c r="G13" s="31" t="n">
        <v>6</v>
      </c>
      <c r="H13" s="32" t="s">
        <v>1241</v>
      </c>
      <c r="I13" s="29" t="s">
        <v>447</v>
      </c>
      <c r="J13" s="33" t="s">
        <v>1242</v>
      </c>
      <c r="K13" s="22" t="s">
        <v>475</v>
      </c>
      <c r="L13" s="1" t="n">
        <v>0.08</v>
      </c>
      <c r="M13" s="7" t="s">
        <v>449</v>
      </c>
      <c r="N13" s="7" t="s">
        <v>589</v>
      </c>
    </row>
    <row r="14" customFormat="false" ht="28.5" hidden="false" customHeight="true" outlineLevel="0" collapsed="false">
      <c r="A14" s="29" t="s">
        <v>1243</v>
      </c>
      <c r="B14" s="22" t="s">
        <v>1244</v>
      </c>
      <c r="C14" s="29" t="s">
        <v>1087</v>
      </c>
      <c r="D14" s="29" t="s">
        <v>402</v>
      </c>
      <c r="E14" s="22" t="s">
        <v>431</v>
      </c>
      <c r="F14" s="30" t="n">
        <v>0.0737</v>
      </c>
      <c r="G14" s="34" t="n">
        <v>8</v>
      </c>
      <c r="H14" s="32" t="s">
        <v>660</v>
      </c>
      <c r="I14" s="29" t="s">
        <v>739</v>
      </c>
      <c r="J14" s="33" t="s">
        <v>1245</v>
      </c>
      <c r="K14" s="22" t="s">
        <v>475</v>
      </c>
      <c r="L14" s="1" t="n">
        <v>0.08</v>
      </c>
      <c r="M14" s="7" t="s">
        <v>449</v>
      </c>
      <c r="N14" s="7" t="s">
        <v>679</v>
      </c>
    </row>
    <row r="15" customFormat="false" ht="13.5" hidden="false" customHeight="true" outlineLevel="0" collapsed="false">
      <c r="A15" s="28" t="s">
        <v>468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customFormat="false" ht="28.5" hidden="false" customHeight="true" outlineLevel="0" collapsed="false">
      <c r="A16" s="29" t="s">
        <v>1246</v>
      </c>
      <c r="B16" s="22" t="s">
        <v>470</v>
      </c>
      <c r="C16" s="29" t="s">
        <v>1231</v>
      </c>
      <c r="D16" s="22" t="s">
        <v>592</v>
      </c>
      <c r="E16" s="22" t="s">
        <v>424</v>
      </c>
      <c r="F16" s="30" t="n">
        <v>0.08</v>
      </c>
      <c r="G16" s="31" t="n">
        <v>6</v>
      </c>
      <c r="H16" s="32" t="s">
        <v>1247</v>
      </c>
      <c r="I16" s="29" t="s">
        <v>439</v>
      </c>
      <c r="J16" s="32" t="s">
        <v>1248</v>
      </c>
      <c r="K16" s="22" t="s">
        <v>475</v>
      </c>
      <c r="L16" s="1" t="n">
        <v>0.1</v>
      </c>
      <c r="M16" s="7" t="s">
        <v>745</v>
      </c>
      <c r="N16" s="7" t="s">
        <v>477</v>
      </c>
    </row>
    <row r="17" customFormat="false" ht="28.5" hidden="false" customHeight="true" outlineLevel="0" collapsed="false">
      <c r="A17" s="29" t="s">
        <v>1249</v>
      </c>
      <c r="B17" s="22" t="s">
        <v>470</v>
      </c>
      <c r="C17" s="29" t="s">
        <v>524</v>
      </c>
      <c r="D17" s="29" t="s">
        <v>472</v>
      </c>
      <c r="E17" s="22" t="s">
        <v>424</v>
      </c>
      <c r="F17" s="30" t="n">
        <v>0.064</v>
      </c>
      <c r="G17" s="38" t="n">
        <v>4</v>
      </c>
      <c r="H17" s="32" t="s">
        <v>1250</v>
      </c>
      <c r="I17" s="29" t="s">
        <v>569</v>
      </c>
      <c r="J17" s="33" t="s">
        <v>1251</v>
      </c>
      <c r="K17" s="22" t="s">
        <v>475</v>
      </c>
      <c r="L17" s="1" t="n">
        <v>0.08</v>
      </c>
      <c r="M17" s="7" t="s">
        <v>745</v>
      </c>
      <c r="N17" s="7" t="s">
        <v>419</v>
      </c>
    </row>
    <row r="18" customFormat="false" ht="28.5" hidden="false" customHeight="true" outlineLevel="0" collapsed="false">
      <c r="A18" s="29" t="s">
        <v>1252</v>
      </c>
      <c r="B18" s="22" t="s">
        <v>429</v>
      </c>
      <c r="C18" s="29" t="s">
        <v>664</v>
      </c>
      <c r="D18" s="29" t="s">
        <v>402</v>
      </c>
      <c r="E18" s="22" t="s">
        <v>431</v>
      </c>
      <c r="F18" s="30" t="n">
        <v>0.056</v>
      </c>
      <c r="G18" s="34" t="n">
        <v>8</v>
      </c>
      <c r="H18" s="32" t="s">
        <v>660</v>
      </c>
      <c r="I18" s="29" t="s">
        <v>646</v>
      </c>
      <c r="J18" s="33" t="s">
        <v>1253</v>
      </c>
      <c r="K18" s="22" t="s">
        <v>407</v>
      </c>
      <c r="L18" s="1" t="n">
        <v>0.07</v>
      </c>
      <c r="M18" s="7" t="s">
        <v>745</v>
      </c>
      <c r="N18" s="7" t="s">
        <v>409</v>
      </c>
    </row>
    <row r="19" customFormat="false" ht="17.25" hidden="false" customHeight="true" outlineLevel="0" collapsed="false">
      <c r="A19" s="35" t="s">
        <v>485</v>
      </c>
      <c r="B19" s="35"/>
      <c r="C19" s="35"/>
      <c r="D19" s="35"/>
      <c r="E19" s="35"/>
      <c r="F19" s="35"/>
      <c r="G19" s="36" t="n">
        <f aca="false">ROUND(SUMPRODUCT(F5:F18,G5:G18),1)</f>
        <v>7.4</v>
      </c>
      <c r="H19" s="37" t="s">
        <v>486</v>
      </c>
      <c r="I19" s="37"/>
      <c r="J19" s="37"/>
      <c r="K19" s="37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1254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1255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7.2</v>
      </c>
    </row>
    <row r="5" customFormat="false" ht="28.5" hidden="false" customHeight="true" outlineLevel="0" collapsed="false">
      <c r="A5" s="29" t="s">
        <v>1256</v>
      </c>
      <c r="B5" s="22" t="s">
        <v>1257</v>
      </c>
      <c r="C5" s="29" t="s">
        <v>1258</v>
      </c>
      <c r="D5" s="29" t="s">
        <v>402</v>
      </c>
      <c r="E5" s="22" t="s">
        <v>431</v>
      </c>
      <c r="F5" s="30" t="n">
        <v>0.1698</v>
      </c>
      <c r="G5" s="31" t="n">
        <v>6</v>
      </c>
      <c r="H5" s="32" t="s">
        <v>1259</v>
      </c>
      <c r="I5" s="29" t="s">
        <v>447</v>
      </c>
      <c r="J5" s="33" t="s">
        <v>1260</v>
      </c>
      <c r="K5" s="22" t="s">
        <v>441</v>
      </c>
      <c r="L5" s="1" t="n">
        <v>0.2</v>
      </c>
      <c r="M5" s="7" t="s">
        <v>608</v>
      </c>
      <c r="N5" s="7" t="s">
        <v>679</v>
      </c>
      <c r="O5" s="1" t="s">
        <v>410</v>
      </c>
      <c r="P5" s="1" t="n">
        <f aca="false">ROUND(SUMPRODUCT(F10:F13,G10:G13)/SUM(F10:F13),1)</f>
        <v>7.7</v>
      </c>
    </row>
    <row r="6" customFormat="false" ht="28.5" hidden="false" customHeight="true" outlineLevel="0" collapsed="false">
      <c r="A6" s="29" t="s">
        <v>1261</v>
      </c>
      <c r="B6" s="22" t="s">
        <v>1262</v>
      </c>
      <c r="C6" s="29" t="s">
        <v>1263</v>
      </c>
      <c r="D6" s="22" t="s">
        <v>592</v>
      </c>
      <c r="E6" s="22" t="s">
        <v>925</v>
      </c>
      <c r="F6" s="30" t="n">
        <v>0.1274</v>
      </c>
      <c r="G6" s="34" t="n">
        <v>8</v>
      </c>
      <c r="H6" s="32" t="s">
        <v>1264</v>
      </c>
      <c r="I6" s="29" t="s">
        <v>646</v>
      </c>
      <c r="J6" s="33" t="s">
        <v>1265</v>
      </c>
      <c r="K6" s="22" t="s">
        <v>475</v>
      </c>
      <c r="L6" s="1" t="n">
        <v>0.15</v>
      </c>
      <c r="M6" s="7" t="s">
        <v>608</v>
      </c>
      <c r="N6" s="7" t="s">
        <v>679</v>
      </c>
      <c r="O6" s="1" t="s">
        <v>420</v>
      </c>
      <c r="P6" s="1" t="n">
        <f aca="false">ROUND(SUMPRODUCT(F15:F17,G15:G17)/SUM(F15:F17),1)</f>
        <v>7.2</v>
      </c>
    </row>
    <row r="7" customFormat="false" ht="28.5" hidden="false" customHeight="true" outlineLevel="0" collapsed="false">
      <c r="A7" s="29" t="s">
        <v>1266</v>
      </c>
      <c r="B7" s="22" t="s">
        <v>1267</v>
      </c>
      <c r="C7" s="29" t="s">
        <v>1268</v>
      </c>
      <c r="D7" s="22" t="s">
        <v>1269</v>
      </c>
      <c r="E7" s="22" t="s">
        <v>925</v>
      </c>
      <c r="F7" s="30" t="n">
        <v>0.0849</v>
      </c>
      <c r="G7" s="34" t="n">
        <v>8</v>
      </c>
      <c r="H7" s="32" t="s">
        <v>1270</v>
      </c>
      <c r="I7" s="29" t="s">
        <v>653</v>
      </c>
      <c r="J7" s="33" t="s">
        <v>1271</v>
      </c>
      <c r="K7" s="22" t="s">
        <v>441</v>
      </c>
      <c r="L7" s="1" t="n">
        <v>0.1</v>
      </c>
      <c r="M7" s="7" t="s">
        <v>608</v>
      </c>
      <c r="N7" s="7" t="s">
        <v>409</v>
      </c>
    </row>
    <row r="8" customFormat="false" ht="28.5" hidden="false" customHeight="true" outlineLevel="0" collapsed="false">
      <c r="A8" s="29" t="s">
        <v>1272</v>
      </c>
      <c r="B8" s="22" t="s">
        <v>1273</v>
      </c>
      <c r="C8" s="29" t="s">
        <v>1274</v>
      </c>
      <c r="D8" s="22" t="s">
        <v>458</v>
      </c>
      <c r="E8" s="22" t="s">
        <v>1275</v>
      </c>
      <c r="F8" s="30" t="n">
        <v>0.0679</v>
      </c>
      <c r="G8" s="34" t="n">
        <v>8</v>
      </c>
      <c r="H8" s="32" t="s">
        <v>1276</v>
      </c>
      <c r="I8" s="29" t="s">
        <v>646</v>
      </c>
      <c r="J8" s="33" t="s">
        <v>1277</v>
      </c>
      <c r="K8" s="22" t="s">
        <v>407</v>
      </c>
      <c r="L8" s="1" t="n">
        <v>0.08</v>
      </c>
      <c r="M8" s="7" t="s">
        <v>608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1278</v>
      </c>
      <c r="B10" s="22" t="s">
        <v>470</v>
      </c>
      <c r="C10" s="29" t="s">
        <v>659</v>
      </c>
      <c r="D10" s="29" t="s">
        <v>402</v>
      </c>
      <c r="E10" s="22" t="s">
        <v>431</v>
      </c>
      <c r="F10" s="30" t="n">
        <v>0.125</v>
      </c>
      <c r="G10" s="34" t="n">
        <v>8</v>
      </c>
      <c r="H10" s="32" t="s">
        <v>660</v>
      </c>
      <c r="I10" s="29" t="s">
        <v>672</v>
      </c>
      <c r="J10" s="33" t="s">
        <v>1279</v>
      </c>
      <c r="K10" s="22" t="s">
        <v>475</v>
      </c>
      <c r="L10" s="1" t="n">
        <v>0.15</v>
      </c>
      <c r="M10" s="7" t="s">
        <v>449</v>
      </c>
      <c r="N10" s="7" t="s">
        <v>589</v>
      </c>
    </row>
    <row r="11" customFormat="false" ht="28.5" hidden="false" customHeight="true" outlineLevel="0" collapsed="false">
      <c r="A11" s="29" t="s">
        <v>1280</v>
      </c>
      <c r="B11" s="22" t="s">
        <v>470</v>
      </c>
      <c r="C11" s="29" t="s">
        <v>413</v>
      </c>
      <c r="D11" s="29" t="s">
        <v>402</v>
      </c>
      <c r="E11" s="22" t="s">
        <v>431</v>
      </c>
      <c r="F11" s="30" t="n">
        <v>0.1</v>
      </c>
      <c r="G11" s="34" t="n">
        <v>8</v>
      </c>
      <c r="H11" s="32" t="s">
        <v>1281</v>
      </c>
      <c r="I11" s="29" t="s">
        <v>646</v>
      </c>
      <c r="J11" s="33" t="s">
        <v>1282</v>
      </c>
      <c r="K11" s="22" t="s">
        <v>475</v>
      </c>
      <c r="L11" s="1" t="n">
        <v>0.12</v>
      </c>
      <c r="M11" s="7" t="s">
        <v>449</v>
      </c>
      <c r="N11" s="7" t="s">
        <v>679</v>
      </c>
    </row>
    <row r="12" customFormat="false" ht="28.5" hidden="false" customHeight="true" outlineLevel="0" collapsed="false">
      <c r="A12" s="29" t="s">
        <v>1283</v>
      </c>
      <c r="B12" s="22" t="s">
        <v>1284</v>
      </c>
      <c r="C12" s="29" t="s">
        <v>712</v>
      </c>
      <c r="D12" s="29" t="s">
        <v>402</v>
      </c>
      <c r="E12" s="22" t="s">
        <v>431</v>
      </c>
      <c r="F12" s="30" t="n">
        <v>0.0667</v>
      </c>
      <c r="G12" s="34" t="n">
        <v>8</v>
      </c>
      <c r="H12" s="32" t="s">
        <v>636</v>
      </c>
      <c r="I12" s="29" t="s">
        <v>532</v>
      </c>
      <c r="J12" s="33" t="s">
        <v>1285</v>
      </c>
      <c r="K12" s="22" t="s">
        <v>475</v>
      </c>
      <c r="L12" s="1" t="n">
        <v>0.08</v>
      </c>
      <c r="M12" s="7" t="s">
        <v>449</v>
      </c>
      <c r="N12" s="7" t="s">
        <v>589</v>
      </c>
    </row>
    <row r="13" customFormat="false" ht="28.5" hidden="false" customHeight="true" outlineLevel="0" collapsed="false">
      <c r="A13" s="29" t="s">
        <v>1286</v>
      </c>
      <c r="B13" s="22" t="s">
        <v>1287</v>
      </c>
      <c r="C13" s="29" t="s">
        <v>709</v>
      </c>
      <c r="D13" s="29" t="s">
        <v>402</v>
      </c>
      <c r="E13" s="22" t="s">
        <v>431</v>
      </c>
      <c r="F13" s="30" t="n">
        <v>0.0583</v>
      </c>
      <c r="G13" s="31" t="n">
        <v>6</v>
      </c>
      <c r="H13" s="32" t="s">
        <v>636</v>
      </c>
      <c r="I13" s="29" t="s">
        <v>460</v>
      </c>
      <c r="J13" s="33" t="s">
        <v>1288</v>
      </c>
      <c r="K13" s="22" t="s">
        <v>441</v>
      </c>
      <c r="L13" s="1" t="n">
        <v>0.07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1289</v>
      </c>
      <c r="B15" s="22" t="s">
        <v>470</v>
      </c>
      <c r="C15" s="29" t="s">
        <v>649</v>
      </c>
      <c r="D15" s="22" t="s">
        <v>592</v>
      </c>
      <c r="E15" s="22" t="s">
        <v>431</v>
      </c>
      <c r="F15" s="30" t="n">
        <v>0.08</v>
      </c>
      <c r="G15" s="31" t="n">
        <v>6</v>
      </c>
      <c r="H15" s="32" t="s">
        <v>593</v>
      </c>
      <c r="I15" s="29" t="s">
        <v>447</v>
      </c>
      <c r="J15" s="32" t="s">
        <v>1290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1291</v>
      </c>
      <c r="B16" s="22" t="s">
        <v>470</v>
      </c>
      <c r="C16" s="29" t="s">
        <v>1292</v>
      </c>
      <c r="D16" s="29" t="s">
        <v>472</v>
      </c>
      <c r="E16" s="22" t="s">
        <v>431</v>
      </c>
      <c r="F16" s="30" t="n">
        <v>0.064</v>
      </c>
      <c r="G16" s="34" t="n">
        <v>8</v>
      </c>
      <c r="H16" s="32" t="s">
        <v>1293</v>
      </c>
      <c r="I16" s="29" t="s">
        <v>480</v>
      </c>
      <c r="J16" s="33" t="s">
        <v>1294</v>
      </c>
      <c r="K16" s="22" t="s">
        <v>475</v>
      </c>
      <c r="L16" s="1" t="n">
        <v>0.08</v>
      </c>
      <c r="M16" s="7" t="s">
        <v>745</v>
      </c>
      <c r="N16" s="7" t="s">
        <v>409</v>
      </c>
    </row>
    <row r="17" customFormat="false" ht="28.5" hidden="false" customHeight="true" outlineLevel="0" collapsed="false">
      <c r="A17" s="29" t="s">
        <v>1295</v>
      </c>
      <c r="B17" s="22" t="s">
        <v>470</v>
      </c>
      <c r="C17" s="29" t="s">
        <v>789</v>
      </c>
      <c r="D17" s="29" t="s">
        <v>472</v>
      </c>
      <c r="E17" s="22" t="s">
        <v>424</v>
      </c>
      <c r="F17" s="30" t="n">
        <v>0.056</v>
      </c>
      <c r="G17" s="34" t="n">
        <v>8</v>
      </c>
      <c r="H17" s="32" t="s">
        <v>1296</v>
      </c>
      <c r="I17" s="29" t="s">
        <v>483</v>
      </c>
      <c r="J17" s="33" t="s">
        <v>947</v>
      </c>
      <c r="K17" s="22" t="s">
        <v>475</v>
      </c>
      <c r="L17" s="1" t="n">
        <v>0.07</v>
      </c>
      <c r="M17" s="7" t="s">
        <v>745</v>
      </c>
      <c r="N17" s="7" t="s">
        <v>529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7.4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1297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1298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8.5</v>
      </c>
    </row>
    <row r="5" customFormat="false" ht="28.5" hidden="false" customHeight="true" outlineLevel="0" collapsed="false">
      <c r="A5" s="29" t="s">
        <v>1299</v>
      </c>
      <c r="B5" s="29" t="s">
        <v>1300</v>
      </c>
      <c r="C5" s="29" t="s">
        <v>640</v>
      </c>
      <c r="D5" s="29" t="s">
        <v>402</v>
      </c>
      <c r="E5" s="22" t="s">
        <v>431</v>
      </c>
      <c r="F5" s="30" t="n">
        <v>0.15</v>
      </c>
      <c r="G5" s="34" t="n">
        <v>8</v>
      </c>
      <c r="H5" s="32" t="s">
        <v>767</v>
      </c>
      <c r="I5" s="29" t="s">
        <v>454</v>
      </c>
      <c r="J5" s="32" t="s">
        <v>1301</v>
      </c>
      <c r="K5" s="22" t="s">
        <v>441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ROUND(SUMPRODUCT(F10:F13,G10:G13)/SUM(F10:F13),1)</f>
        <v>7.6</v>
      </c>
    </row>
    <row r="6" customFormat="false" ht="28.5" hidden="false" customHeight="true" outlineLevel="0" collapsed="false">
      <c r="A6" s="29" t="s">
        <v>1302</v>
      </c>
      <c r="B6" s="29" t="s">
        <v>1303</v>
      </c>
      <c r="C6" s="29" t="s">
        <v>413</v>
      </c>
      <c r="D6" s="29" t="s">
        <v>402</v>
      </c>
      <c r="E6" s="22" t="s">
        <v>431</v>
      </c>
      <c r="F6" s="30" t="n">
        <v>0.12</v>
      </c>
      <c r="G6" s="34" t="n">
        <v>8</v>
      </c>
      <c r="H6" s="32" t="s">
        <v>671</v>
      </c>
      <c r="I6" s="29" t="s">
        <v>653</v>
      </c>
      <c r="J6" s="33" t="s">
        <v>1304</v>
      </c>
      <c r="K6" s="22" t="s">
        <v>475</v>
      </c>
      <c r="L6" s="1" t="n">
        <v>0.12</v>
      </c>
      <c r="M6" s="7" t="s">
        <v>408</v>
      </c>
      <c r="N6" s="7" t="s">
        <v>409</v>
      </c>
      <c r="O6" s="1" t="s">
        <v>420</v>
      </c>
      <c r="P6" s="1" t="n">
        <f aca="false">ROUND(SUMPRODUCT(F15:F17,G15:G17)/SUM(F15:F17),1)</f>
        <v>6.6</v>
      </c>
    </row>
    <row r="7" customFormat="false" ht="28.5" hidden="false" customHeight="true" outlineLevel="0" collapsed="false">
      <c r="A7" s="29" t="s">
        <v>1305</v>
      </c>
      <c r="B7" s="29" t="s">
        <v>1306</v>
      </c>
      <c r="C7" s="29" t="s">
        <v>1307</v>
      </c>
      <c r="D7" s="29" t="s">
        <v>402</v>
      </c>
      <c r="E7" s="22" t="s">
        <v>431</v>
      </c>
      <c r="F7" s="30" t="n">
        <v>0.13</v>
      </c>
      <c r="G7" s="34" t="n">
        <v>10</v>
      </c>
      <c r="H7" s="32" t="s">
        <v>1308</v>
      </c>
      <c r="I7" s="29" t="s">
        <v>627</v>
      </c>
      <c r="J7" s="32" t="s">
        <v>1309</v>
      </c>
      <c r="K7" s="22" t="s">
        <v>475</v>
      </c>
      <c r="L7" s="1" t="n">
        <v>0.13</v>
      </c>
      <c r="M7" s="7" t="s">
        <v>408</v>
      </c>
      <c r="N7" s="7" t="s">
        <v>589</v>
      </c>
    </row>
    <row r="8" customFormat="false" ht="28.5" hidden="false" customHeight="true" outlineLevel="0" collapsed="false">
      <c r="A8" s="29" t="s">
        <v>1310</v>
      </c>
      <c r="B8" s="22" t="s">
        <v>1311</v>
      </c>
      <c r="C8" s="29" t="s">
        <v>1312</v>
      </c>
      <c r="D8" s="29" t="s">
        <v>402</v>
      </c>
      <c r="E8" s="22" t="s">
        <v>431</v>
      </c>
      <c r="F8" s="30" t="n">
        <v>0.1</v>
      </c>
      <c r="G8" s="34" t="n">
        <v>8</v>
      </c>
      <c r="H8" s="32" t="s">
        <v>977</v>
      </c>
      <c r="I8" s="29" t="s">
        <v>532</v>
      </c>
      <c r="J8" s="33" t="s">
        <v>1313</v>
      </c>
      <c r="K8" s="22" t="s">
        <v>407</v>
      </c>
      <c r="L8" s="1" t="n">
        <v>0.1</v>
      </c>
      <c r="M8" s="7" t="s">
        <v>408</v>
      </c>
      <c r="N8" s="7" t="s">
        <v>589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1314</v>
      </c>
      <c r="B10" s="22" t="s">
        <v>1315</v>
      </c>
      <c r="C10" s="29" t="s">
        <v>1268</v>
      </c>
      <c r="D10" s="22" t="s">
        <v>592</v>
      </c>
      <c r="E10" s="22" t="s">
        <v>925</v>
      </c>
      <c r="F10" s="30" t="n">
        <v>0.105</v>
      </c>
      <c r="G10" s="34" t="n">
        <v>8</v>
      </c>
      <c r="H10" s="32" t="s">
        <v>1270</v>
      </c>
      <c r="I10" s="29" t="s">
        <v>646</v>
      </c>
      <c r="J10" s="33" t="s">
        <v>1316</v>
      </c>
      <c r="K10" s="22" t="s">
        <v>475</v>
      </c>
      <c r="L10" s="1" t="n">
        <v>0.12</v>
      </c>
      <c r="M10" s="7" t="s">
        <v>449</v>
      </c>
      <c r="N10" s="7" t="s">
        <v>409</v>
      </c>
    </row>
    <row r="11" customFormat="false" ht="28.5" hidden="false" customHeight="true" outlineLevel="0" collapsed="false">
      <c r="A11" s="29" t="s">
        <v>1317</v>
      </c>
      <c r="B11" s="22" t="s">
        <v>1318</v>
      </c>
      <c r="C11" s="29" t="s">
        <v>705</v>
      </c>
      <c r="D11" s="29" t="s">
        <v>472</v>
      </c>
      <c r="E11" s="22" t="s">
        <v>431</v>
      </c>
      <c r="F11" s="30" t="n">
        <v>0.07</v>
      </c>
      <c r="G11" s="31" t="n">
        <v>6</v>
      </c>
      <c r="H11" s="32" t="s">
        <v>706</v>
      </c>
      <c r="I11" s="29" t="s">
        <v>460</v>
      </c>
      <c r="J11" s="32" t="s">
        <v>1319</v>
      </c>
      <c r="K11" s="22" t="s">
        <v>441</v>
      </c>
      <c r="L11" s="1" t="n">
        <v>0.08</v>
      </c>
      <c r="M11" s="7" t="s">
        <v>449</v>
      </c>
      <c r="N11" s="7" t="s">
        <v>409</v>
      </c>
    </row>
    <row r="12" customFormat="false" ht="28.5" hidden="false" customHeight="true" outlineLevel="0" collapsed="false">
      <c r="A12" s="29" t="s">
        <v>1320</v>
      </c>
      <c r="B12" s="29" t="s">
        <v>1321</v>
      </c>
      <c r="C12" s="29" t="s">
        <v>622</v>
      </c>
      <c r="D12" s="29" t="s">
        <v>402</v>
      </c>
      <c r="E12" s="22" t="s">
        <v>431</v>
      </c>
      <c r="F12" s="30" t="n">
        <v>0.0875</v>
      </c>
      <c r="G12" s="34" t="n">
        <v>8</v>
      </c>
      <c r="H12" s="32" t="s">
        <v>785</v>
      </c>
      <c r="I12" s="29" t="s">
        <v>532</v>
      </c>
      <c r="J12" s="33" t="s">
        <v>1322</v>
      </c>
      <c r="K12" s="22" t="s">
        <v>441</v>
      </c>
      <c r="L12" s="1" t="n">
        <v>0.1</v>
      </c>
      <c r="M12" s="7" t="s">
        <v>449</v>
      </c>
      <c r="N12" s="7" t="s">
        <v>409</v>
      </c>
    </row>
    <row r="13" customFormat="false" ht="28.5" hidden="false" customHeight="true" outlineLevel="0" collapsed="false">
      <c r="A13" s="29" t="s">
        <v>1323</v>
      </c>
      <c r="B13" s="22" t="s">
        <v>470</v>
      </c>
      <c r="C13" s="29" t="s">
        <v>664</v>
      </c>
      <c r="D13" s="29" t="s">
        <v>402</v>
      </c>
      <c r="E13" s="22" t="s">
        <v>431</v>
      </c>
      <c r="F13" s="30" t="n">
        <v>0.0875</v>
      </c>
      <c r="G13" s="34" t="n">
        <v>8</v>
      </c>
      <c r="H13" s="32" t="s">
        <v>660</v>
      </c>
      <c r="I13" s="29" t="s">
        <v>739</v>
      </c>
      <c r="J13" s="33" t="s">
        <v>1324</v>
      </c>
      <c r="K13" s="22" t="s">
        <v>475</v>
      </c>
      <c r="L13" s="1" t="n">
        <v>0.1</v>
      </c>
      <c r="M13" s="7" t="s">
        <v>449</v>
      </c>
      <c r="N13" s="7" t="s">
        <v>679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1325</v>
      </c>
      <c r="B15" s="22" t="s">
        <v>470</v>
      </c>
      <c r="C15" s="29" t="s">
        <v>747</v>
      </c>
      <c r="D15" s="22" t="s">
        <v>592</v>
      </c>
      <c r="E15" s="22" t="s">
        <v>431</v>
      </c>
      <c r="F15" s="30" t="n">
        <v>0.06</v>
      </c>
      <c r="G15" s="31" t="n">
        <v>6</v>
      </c>
      <c r="H15" s="32" t="s">
        <v>593</v>
      </c>
      <c r="I15" s="29" t="s">
        <v>447</v>
      </c>
      <c r="J15" s="32" t="s">
        <v>1326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28.5" hidden="false" customHeight="true" outlineLevel="0" collapsed="false">
      <c r="A16" s="29" t="s">
        <v>1327</v>
      </c>
      <c r="B16" s="22" t="s">
        <v>470</v>
      </c>
      <c r="C16" s="29" t="s">
        <v>649</v>
      </c>
      <c r="D16" s="29" t="s">
        <v>472</v>
      </c>
      <c r="E16" s="22" t="s">
        <v>431</v>
      </c>
      <c r="F16" s="30" t="n">
        <v>0.048</v>
      </c>
      <c r="G16" s="31" t="n">
        <v>6</v>
      </c>
      <c r="H16" s="32" t="s">
        <v>1328</v>
      </c>
      <c r="I16" s="29" t="s">
        <v>460</v>
      </c>
      <c r="J16" s="33" t="s">
        <v>1329</v>
      </c>
      <c r="K16" s="22" t="s">
        <v>475</v>
      </c>
      <c r="L16" s="1" t="n">
        <v>0.08</v>
      </c>
      <c r="M16" s="7" t="s">
        <v>476</v>
      </c>
      <c r="N16" s="7" t="s">
        <v>419</v>
      </c>
    </row>
    <row r="17" customFormat="false" ht="28.5" hidden="false" customHeight="true" outlineLevel="0" collapsed="false">
      <c r="A17" s="29" t="s">
        <v>1330</v>
      </c>
      <c r="B17" s="22" t="s">
        <v>1311</v>
      </c>
      <c r="C17" s="29" t="s">
        <v>540</v>
      </c>
      <c r="D17" s="29" t="s">
        <v>402</v>
      </c>
      <c r="E17" s="22" t="s">
        <v>431</v>
      </c>
      <c r="F17" s="30" t="n">
        <v>0.042</v>
      </c>
      <c r="G17" s="34" t="n">
        <v>8</v>
      </c>
      <c r="H17" s="32" t="s">
        <v>541</v>
      </c>
      <c r="I17" s="29" t="s">
        <v>480</v>
      </c>
      <c r="J17" s="33" t="s">
        <v>1331</v>
      </c>
      <c r="K17" s="22" t="s">
        <v>475</v>
      </c>
      <c r="L17" s="1" t="n">
        <v>0.07</v>
      </c>
      <c r="M17" s="7" t="s">
        <v>476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7.9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1332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1333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7.2</v>
      </c>
    </row>
    <row r="5" customFormat="false" ht="28.5" hidden="false" customHeight="true" outlineLevel="0" collapsed="false">
      <c r="A5" s="29" t="s">
        <v>1334</v>
      </c>
      <c r="B5" s="29" t="s">
        <v>1335</v>
      </c>
      <c r="C5" s="29" t="s">
        <v>1336</v>
      </c>
      <c r="D5" s="29" t="s">
        <v>402</v>
      </c>
      <c r="E5" s="22" t="s">
        <v>431</v>
      </c>
      <c r="F5" s="30" t="n">
        <v>0.1333</v>
      </c>
      <c r="G5" s="34" t="n">
        <v>8</v>
      </c>
      <c r="H5" s="32" t="s">
        <v>977</v>
      </c>
      <c r="I5" s="29" t="s">
        <v>672</v>
      </c>
      <c r="J5" s="33" t="s">
        <v>1337</v>
      </c>
      <c r="K5" s="22" t="s">
        <v>475</v>
      </c>
      <c r="L5" s="1" t="n">
        <v>0.15</v>
      </c>
      <c r="M5" s="7" t="s">
        <v>629</v>
      </c>
      <c r="N5" s="7" t="s">
        <v>589</v>
      </c>
      <c r="O5" s="1" t="s">
        <v>410</v>
      </c>
      <c r="P5" s="1" t="n">
        <f aca="false">ROUND(SUMPRODUCT(F10:F13,G10:G13)/SUM(F10:F13),1)</f>
        <v>7</v>
      </c>
    </row>
    <row r="6" customFormat="false" ht="28.5" hidden="false" customHeight="true" outlineLevel="0" collapsed="false">
      <c r="A6" s="29" t="s">
        <v>1338</v>
      </c>
      <c r="B6" s="22" t="s">
        <v>1339</v>
      </c>
      <c r="C6" s="29" t="s">
        <v>463</v>
      </c>
      <c r="D6" s="22" t="s">
        <v>872</v>
      </c>
      <c r="E6" s="22" t="s">
        <v>925</v>
      </c>
      <c r="F6" s="30" t="n">
        <v>0.1067</v>
      </c>
      <c r="G6" s="34" t="n">
        <v>8</v>
      </c>
      <c r="H6" s="32" t="s">
        <v>1340</v>
      </c>
      <c r="I6" s="29" t="s">
        <v>646</v>
      </c>
      <c r="J6" s="33" t="s">
        <v>1341</v>
      </c>
      <c r="K6" s="22" t="s">
        <v>407</v>
      </c>
      <c r="L6" s="1" t="n">
        <v>0.12</v>
      </c>
      <c r="M6" s="7" t="s">
        <v>629</v>
      </c>
      <c r="N6" s="7" t="s">
        <v>679</v>
      </c>
      <c r="O6" s="1" t="s">
        <v>420</v>
      </c>
      <c r="P6" s="1" t="n">
        <f aca="false">ROUND(SUMPRODUCT(F15:F17,G15:G17)/SUM(F15:F17),1)</f>
        <v>6.6</v>
      </c>
    </row>
    <row r="7" customFormat="false" ht="28.5" hidden="false" customHeight="true" outlineLevel="0" collapsed="false">
      <c r="A7" s="29" t="s">
        <v>1342</v>
      </c>
      <c r="B7" s="29" t="s">
        <v>1335</v>
      </c>
      <c r="C7" s="29" t="s">
        <v>540</v>
      </c>
      <c r="D7" s="29" t="s">
        <v>402</v>
      </c>
      <c r="E7" s="22" t="s">
        <v>431</v>
      </c>
      <c r="F7" s="30" t="n">
        <v>0.0889</v>
      </c>
      <c r="G7" s="31" t="n">
        <v>6</v>
      </c>
      <c r="H7" s="32" t="s">
        <v>541</v>
      </c>
      <c r="I7" s="29" t="s">
        <v>480</v>
      </c>
      <c r="J7" s="33" t="s">
        <v>1343</v>
      </c>
      <c r="K7" s="22" t="s">
        <v>475</v>
      </c>
      <c r="L7" s="1" t="n">
        <v>0.1</v>
      </c>
      <c r="M7" s="7" t="s">
        <v>629</v>
      </c>
      <c r="N7" s="7" t="s">
        <v>409</v>
      </c>
    </row>
    <row r="8" customFormat="false" ht="28.5" hidden="false" customHeight="true" outlineLevel="0" collapsed="false">
      <c r="A8" s="29" t="s">
        <v>1344</v>
      </c>
      <c r="B8" s="29" t="s">
        <v>1345</v>
      </c>
      <c r="C8" s="29" t="s">
        <v>635</v>
      </c>
      <c r="D8" s="29" t="s">
        <v>402</v>
      </c>
      <c r="E8" s="22" t="s">
        <v>431</v>
      </c>
      <c r="F8" s="30" t="n">
        <v>0.0711</v>
      </c>
      <c r="G8" s="31" t="n">
        <v>6</v>
      </c>
      <c r="H8" s="32" t="s">
        <v>541</v>
      </c>
      <c r="I8" s="29" t="s">
        <v>460</v>
      </c>
      <c r="J8" s="33" t="s">
        <v>1346</v>
      </c>
      <c r="K8" s="22" t="s">
        <v>475</v>
      </c>
      <c r="L8" s="1" t="n">
        <v>0.08</v>
      </c>
      <c r="M8" s="7" t="s">
        <v>629</v>
      </c>
      <c r="N8" s="7" t="s">
        <v>679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1347</v>
      </c>
      <c r="B10" s="22" t="s">
        <v>1348</v>
      </c>
      <c r="C10" s="29" t="s">
        <v>976</v>
      </c>
      <c r="D10" s="29" t="s">
        <v>402</v>
      </c>
      <c r="E10" s="22" t="s">
        <v>431</v>
      </c>
      <c r="F10" s="30" t="n">
        <v>0.12</v>
      </c>
      <c r="G10" s="34" t="n">
        <v>8</v>
      </c>
      <c r="H10" s="32" t="s">
        <v>977</v>
      </c>
      <c r="I10" s="29" t="s">
        <v>739</v>
      </c>
      <c r="J10" s="33" t="s">
        <v>1349</v>
      </c>
      <c r="K10" s="22" t="s">
        <v>475</v>
      </c>
      <c r="L10" s="1" t="n">
        <v>0.12</v>
      </c>
      <c r="M10" s="7" t="s">
        <v>629</v>
      </c>
      <c r="N10" s="7" t="s">
        <v>409</v>
      </c>
    </row>
    <row r="11" customFormat="false" ht="28.5" hidden="false" customHeight="true" outlineLevel="0" collapsed="false">
      <c r="A11" s="29" t="s">
        <v>1350</v>
      </c>
      <c r="B11" s="22" t="s">
        <v>1092</v>
      </c>
      <c r="C11" s="29" t="s">
        <v>649</v>
      </c>
      <c r="D11" s="22" t="s">
        <v>1093</v>
      </c>
      <c r="E11" s="22" t="s">
        <v>431</v>
      </c>
      <c r="F11" s="30" t="n">
        <v>0.1</v>
      </c>
      <c r="G11" s="31" t="n">
        <v>6</v>
      </c>
      <c r="H11" s="32" t="s">
        <v>1094</v>
      </c>
      <c r="I11" s="29" t="s">
        <v>433</v>
      </c>
      <c r="J11" s="33" t="s">
        <v>1351</v>
      </c>
      <c r="K11" s="22" t="s">
        <v>407</v>
      </c>
      <c r="L11" s="1" t="n">
        <v>0.1</v>
      </c>
      <c r="M11" s="7" t="s">
        <v>629</v>
      </c>
      <c r="N11" s="7" t="s">
        <v>589</v>
      </c>
    </row>
    <row r="12" customFormat="false" ht="28.5" hidden="false" customHeight="true" outlineLevel="0" collapsed="false">
      <c r="A12" s="29" t="s">
        <v>1352</v>
      </c>
      <c r="B12" s="22" t="s">
        <v>1353</v>
      </c>
      <c r="C12" s="29" t="s">
        <v>1354</v>
      </c>
      <c r="D12" s="22" t="s">
        <v>1355</v>
      </c>
      <c r="E12" s="22" t="s">
        <v>431</v>
      </c>
      <c r="F12" s="30" t="n">
        <v>0.1</v>
      </c>
      <c r="G12" s="31" t="n">
        <v>6</v>
      </c>
      <c r="H12" s="32" t="s">
        <v>1356</v>
      </c>
      <c r="I12" s="29" t="s">
        <v>447</v>
      </c>
      <c r="J12" s="33" t="s">
        <v>1357</v>
      </c>
      <c r="K12" s="22" t="s">
        <v>475</v>
      </c>
      <c r="L12" s="1" t="n">
        <v>0.1</v>
      </c>
      <c r="M12" s="7" t="s">
        <v>629</v>
      </c>
      <c r="N12" s="7" t="s">
        <v>409</v>
      </c>
    </row>
    <row r="13" customFormat="false" ht="28.5" hidden="false" customHeight="true" outlineLevel="0" collapsed="false">
      <c r="A13" s="29" t="s">
        <v>1358</v>
      </c>
      <c r="B13" s="22" t="s">
        <v>1287</v>
      </c>
      <c r="C13" s="29" t="s">
        <v>676</v>
      </c>
      <c r="D13" s="29" t="s">
        <v>402</v>
      </c>
      <c r="E13" s="22" t="s">
        <v>431</v>
      </c>
      <c r="F13" s="30" t="n">
        <v>0.08</v>
      </c>
      <c r="G13" s="34" t="n">
        <v>8</v>
      </c>
      <c r="H13" s="32" t="s">
        <v>671</v>
      </c>
      <c r="I13" s="29" t="s">
        <v>646</v>
      </c>
      <c r="J13" s="33" t="s">
        <v>1359</v>
      </c>
      <c r="K13" s="22" t="s">
        <v>475</v>
      </c>
      <c r="L13" s="1" t="n">
        <v>0.08</v>
      </c>
      <c r="M13" s="7" t="s">
        <v>629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1360</v>
      </c>
      <c r="B15" s="22" t="s">
        <v>470</v>
      </c>
      <c r="C15" s="29" t="s">
        <v>1152</v>
      </c>
      <c r="D15" s="22" t="s">
        <v>592</v>
      </c>
      <c r="E15" s="22" t="s">
        <v>431</v>
      </c>
      <c r="F15" s="30" t="n">
        <v>0.08</v>
      </c>
      <c r="G15" s="31" t="n">
        <v>6</v>
      </c>
      <c r="H15" s="32" t="s">
        <v>1361</v>
      </c>
      <c r="I15" s="29" t="s">
        <v>447</v>
      </c>
      <c r="J15" s="32" t="s">
        <v>1362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1363</v>
      </c>
      <c r="B16" s="22" t="s">
        <v>470</v>
      </c>
      <c r="C16" s="29" t="s">
        <v>747</v>
      </c>
      <c r="D16" s="29" t="s">
        <v>472</v>
      </c>
      <c r="E16" s="22" t="s">
        <v>431</v>
      </c>
      <c r="F16" s="30" t="n">
        <v>0.064</v>
      </c>
      <c r="G16" s="34" t="n">
        <v>8</v>
      </c>
      <c r="H16" s="32" t="s">
        <v>1101</v>
      </c>
      <c r="I16" s="29" t="s">
        <v>532</v>
      </c>
      <c r="J16" s="33" t="s">
        <v>1364</v>
      </c>
      <c r="K16" s="22" t="s">
        <v>475</v>
      </c>
      <c r="L16" s="1" t="n">
        <v>0.08</v>
      </c>
      <c r="M16" s="7" t="s">
        <v>745</v>
      </c>
      <c r="N16" s="7" t="s">
        <v>419</v>
      </c>
    </row>
    <row r="17" customFormat="false" ht="14.25" hidden="false" customHeight="true" outlineLevel="0" collapsed="false">
      <c r="A17" s="29" t="s">
        <v>1365</v>
      </c>
      <c r="B17" s="22" t="s">
        <v>470</v>
      </c>
      <c r="C17" s="29" t="s">
        <v>688</v>
      </c>
      <c r="D17" s="22" t="s">
        <v>1366</v>
      </c>
      <c r="E17" s="22" t="s">
        <v>431</v>
      </c>
      <c r="F17" s="30" t="n">
        <v>0.056</v>
      </c>
      <c r="G17" s="31" t="n">
        <v>6</v>
      </c>
      <c r="H17" s="32" t="s">
        <v>1340</v>
      </c>
      <c r="I17" s="29" t="s">
        <v>460</v>
      </c>
      <c r="J17" s="33" t="s">
        <v>1367</v>
      </c>
      <c r="K17" s="22" t="s">
        <v>441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7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1368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1369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9.5</v>
      </c>
    </row>
    <row r="5" customFormat="false" ht="28.5" hidden="false" customHeight="true" outlineLevel="0" collapsed="false">
      <c r="A5" s="29" t="s">
        <v>1370</v>
      </c>
      <c r="B5" s="22" t="s">
        <v>1311</v>
      </c>
      <c r="C5" s="29" t="s">
        <v>1371</v>
      </c>
      <c r="D5" s="22" t="s">
        <v>1372</v>
      </c>
      <c r="E5" s="22" t="s">
        <v>925</v>
      </c>
      <c r="F5" s="30" t="n">
        <v>0.1667</v>
      </c>
      <c r="G5" s="34" t="n">
        <v>10</v>
      </c>
      <c r="H5" s="32" t="s">
        <v>1081</v>
      </c>
      <c r="I5" s="29" t="s">
        <v>1373</v>
      </c>
      <c r="J5" s="32" t="s">
        <v>1374</v>
      </c>
      <c r="K5" s="22" t="s">
        <v>475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ROUND(SUMPRODUCT(F10:F13,G10:G13)/SUM(F10:F13),1)</f>
        <v>8.5</v>
      </c>
    </row>
    <row r="6" customFormat="false" ht="28.5" hidden="false" customHeight="true" outlineLevel="0" collapsed="false">
      <c r="A6" s="29" t="s">
        <v>1375</v>
      </c>
      <c r="B6" s="22" t="s">
        <v>1376</v>
      </c>
      <c r="C6" s="29" t="s">
        <v>1377</v>
      </c>
      <c r="D6" s="22" t="s">
        <v>592</v>
      </c>
      <c r="E6" s="22" t="s">
        <v>925</v>
      </c>
      <c r="F6" s="30" t="n">
        <v>0.1333</v>
      </c>
      <c r="G6" s="34" t="n">
        <v>8</v>
      </c>
      <c r="H6" s="32" t="s">
        <v>1378</v>
      </c>
      <c r="I6" s="29" t="s">
        <v>646</v>
      </c>
      <c r="J6" s="33" t="s">
        <v>1379</v>
      </c>
      <c r="K6" s="22" t="s">
        <v>441</v>
      </c>
      <c r="L6" s="1" t="n">
        <v>0.12</v>
      </c>
      <c r="M6" s="7" t="s">
        <v>408</v>
      </c>
      <c r="N6" s="7" t="s">
        <v>409</v>
      </c>
      <c r="O6" s="1" t="s">
        <v>420</v>
      </c>
      <c r="P6" s="1" t="n">
        <f aca="false">ROUND(SUMPRODUCT(F15:F17,G15:G17)/SUM(F15:F17),1)</f>
        <v>8</v>
      </c>
    </row>
    <row r="7" customFormat="false" ht="28.5" hidden="false" customHeight="true" outlineLevel="0" collapsed="false">
      <c r="A7" s="29" t="s">
        <v>1380</v>
      </c>
      <c r="B7" s="29" t="s">
        <v>1381</v>
      </c>
      <c r="C7" s="29" t="s">
        <v>1382</v>
      </c>
      <c r="D7" s="29" t="s">
        <v>402</v>
      </c>
      <c r="E7" s="22" t="s">
        <v>431</v>
      </c>
      <c r="F7" s="30" t="n">
        <v>0.1111</v>
      </c>
      <c r="G7" s="34" t="n">
        <v>10</v>
      </c>
      <c r="H7" s="32" t="s">
        <v>1101</v>
      </c>
      <c r="I7" s="29" t="s">
        <v>627</v>
      </c>
      <c r="J7" s="33" t="s">
        <v>1383</v>
      </c>
      <c r="K7" s="22" t="s">
        <v>475</v>
      </c>
      <c r="L7" s="1" t="n">
        <v>0.1</v>
      </c>
      <c r="M7" s="7" t="s">
        <v>408</v>
      </c>
      <c r="N7" s="7" t="s">
        <v>589</v>
      </c>
    </row>
    <row r="8" customFormat="false" ht="28.5" hidden="false" customHeight="true" outlineLevel="0" collapsed="false">
      <c r="A8" s="29" t="s">
        <v>1384</v>
      </c>
      <c r="B8" s="22" t="s">
        <v>1311</v>
      </c>
      <c r="C8" s="29" t="s">
        <v>1385</v>
      </c>
      <c r="D8" s="22" t="s">
        <v>1386</v>
      </c>
      <c r="E8" s="22" t="s">
        <v>925</v>
      </c>
      <c r="F8" s="30" t="n">
        <v>0.0889</v>
      </c>
      <c r="G8" s="34" t="n">
        <v>10</v>
      </c>
      <c r="H8" s="32" t="s">
        <v>1340</v>
      </c>
      <c r="I8" s="29" t="s">
        <v>666</v>
      </c>
      <c r="J8" s="33" t="s">
        <v>1387</v>
      </c>
      <c r="K8" s="22" t="s">
        <v>441</v>
      </c>
      <c r="L8" s="1" t="n">
        <v>0.08</v>
      </c>
      <c r="M8" s="7" t="s">
        <v>408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1388</v>
      </c>
      <c r="B10" s="22" t="s">
        <v>1311</v>
      </c>
      <c r="C10" s="29" t="s">
        <v>664</v>
      </c>
      <c r="D10" s="29" t="s">
        <v>402</v>
      </c>
      <c r="E10" s="22" t="s">
        <v>431</v>
      </c>
      <c r="F10" s="30" t="n">
        <v>0.105</v>
      </c>
      <c r="G10" s="34" t="n">
        <v>8</v>
      </c>
      <c r="H10" s="32" t="s">
        <v>785</v>
      </c>
      <c r="I10" s="29" t="s">
        <v>646</v>
      </c>
      <c r="J10" s="33" t="s">
        <v>1389</v>
      </c>
      <c r="K10" s="22" t="s">
        <v>407</v>
      </c>
      <c r="L10" s="1" t="n">
        <v>0.12</v>
      </c>
      <c r="M10" s="7" t="s">
        <v>449</v>
      </c>
      <c r="N10" s="7" t="s">
        <v>409</v>
      </c>
    </row>
    <row r="11" customFormat="false" ht="28.5" hidden="false" customHeight="true" outlineLevel="0" collapsed="false">
      <c r="A11" s="29" t="s">
        <v>1390</v>
      </c>
      <c r="B11" s="22" t="s">
        <v>1376</v>
      </c>
      <c r="C11" s="29" t="s">
        <v>1391</v>
      </c>
      <c r="D11" s="22" t="s">
        <v>1355</v>
      </c>
      <c r="E11" s="22" t="s">
        <v>925</v>
      </c>
      <c r="F11" s="30" t="n">
        <v>0.0875</v>
      </c>
      <c r="G11" s="34" t="n">
        <v>10</v>
      </c>
      <c r="H11" s="32" t="s">
        <v>1392</v>
      </c>
      <c r="I11" s="29" t="s">
        <v>1373</v>
      </c>
      <c r="J11" s="32" t="s">
        <v>1393</v>
      </c>
      <c r="K11" s="22" t="s">
        <v>407</v>
      </c>
      <c r="L11" s="1" t="n">
        <v>0.1</v>
      </c>
      <c r="M11" s="7" t="s">
        <v>449</v>
      </c>
      <c r="N11" s="7" t="s">
        <v>409</v>
      </c>
    </row>
    <row r="12" customFormat="false" ht="28.5" hidden="false" customHeight="true" outlineLevel="0" collapsed="false">
      <c r="A12" s="29" t="s">
        <v>1394</v>
      </c>
      <c r="B12" s="22" t="s">
        <v>1311</v>
      </c>
      <c r="C12" s="29" t="s">
        <v>640</v>
      </c>
      <c r="D12" s="29" t="s">
        <v>402</v>
      </c>
      <c r="E12" s="22" t="s">
        <v>431</v>
      </c>
      <c r="F12" s="30" t="n">
        <v>0.0875</v>
      </c>
      <c r="G12" s="34" t="n">
        <v>8</v>
      </c>
      <c r="H12" s="32" t="s">
        <v>767</v>
      </c>
      <c r="I12" s="29" t="s">
        <v>454</v>
      </c>
      <c r="J12" s="33" t="s">
        <v>1395</v>
      </c>
      <c r="K12" s="22" t="s">
        <v>407</v>
      </c>
      <c r="L12" s="1" t="n">
        <v>0.1</v>
      </c>
      <c r="M12" s="7" t="s">
        <v>449</v>
      </c>
      <c r="N12" s="7" t="s">
        <v>589</v>
      </c>
    </row>
    <row r="13" customFormat="false" ht="28.5" hidden="false" customHeight="true" outlineLevel="0" collapsed="false">
      <c r="A13" s="29" t="s">
        <v>1396</v>
      </c>
      <c r="B13" s="22" t="s">
        <v>1311</v>
      </c>
      <c r="C13" s="29" t="s">
        <v>622</v>
      </c>
      <c r="D13" s="29" t="s">
        <v>402</v>
      </c>
      <c r="E13" s="22" t="s">
        <v>431</v>
      </c>
      <c r="F13" s="30" t="n">
        <v>0.07</v>
      </c>
      <c r="G13" s="34" t="n">
        <v>8</v>
      </c>
      <c r="H13" s="32" t="s">
        <v>977</v>
      </c>
      <c r="I13" s="29" t="s">
        <v>672</v>
      </c>
      <c r="J13" s="33" t="s">
        <v>1397</v>
      </c>
      <c r="K13" s="22" t="s">
        <v>407</v>
      </c>
      <c r="L13" s="1" t="n">
        <v>0.08</v>
      </c>
      <c r="M13" s="7" t="s">
        <v>449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1398</v>
      </c>
      <c r="B15" s="22" t="s">
        <v>470</v>
      </c>
      <c r="C15" s="29" t="s">
        <v>1399</v>
      </c>
      <c r="D15" s="22" t="s">
        <v>592</v>
      </c>
      <c r="E15" s="22" t="s">
        <v>431</v>
      </c>
      <c r="F15" s="30" t="n">
        <v>0.06</v>
      </c>
      <c r="G15" s="34" t="n">
        <v>8</v>
      </c>
      <c r="H15" s="32" t="s">
        <v>1033</v>
      </c>
      <c r="I15" s="29" t="s">
        <v>646</v>
      </c>
      <c r="J15" s="32" t="s">
        <v>1400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14.25" hidden="false" customHeight="true" outlineLevel="0" collapsed="false">
      <c r="A16" s="29" t="s">
        <v>1401</v>
      </c>
      <c r="B16" s="22" t="s">
        <v>470</v>
      </c>
      <c r="C16" s="29" t="s">
        <v>1292</v>
      </c>
      <c r="D16" s="29" t="s">
        <v>472</v>
      </c>
      <c r="E16" s="22" t="s">
        <v>431</v>
      </c>
      <c r="F16" s="30" t="n">
        <v>0.048</v>
      </c>
      <c r="G16" s="34" t="n">
        <v>8</v>
      </c>
      <c r="H16" s="32" t="s">
        <v>743</v>
      </c>
      <c r="I16" s="29" t="s">
        <v>480</v>
      </c>
      <c r="J16" s="32" t="s">
        <v>1402</v>
      </c>
      <c r="K16" s="22" t="s">
        <v>475</v>
      </c>
      <c r="L16" s="1" t="n">
        <v>0.08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1403</v>
      </c>
      <c r="B17" s="22" t="s">
        <v>470</v>
      </c>
      <c r="C17" s="29" t="s">
        <v>789</v>
      </c>
      <c r="D17" s="29" t="s">
        <v>472</v>
      </c>
      <c r="E17" s="22" t="s">
        <v>424</v>
      </c>
      <c r="F17" s="30" t="n">
        <v>0.042</v>
      </c>
      <c r="G17" s="34" t="n">
        <v>8</v>
      </c>
      <c r="H17" s="32" t="s">
        <v>1296</v>
      </c>
      <c r="I17" s="29" t="s">
        <v>483</v>
      </c>
      <c r="J17" s="33" t="s">
        <v>947</v>
      </c>
      <c r="K17" s="22" t="s">
        <v>475</v>
      </c>
      <c r="L17" s="1" t="n">
        <v>0.07</v>
      </c>
      <c r="M17" s="7" t="s">
        <v>476</v>
      </c>
      <c r="N17" s="7" t="s">
        <v>529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8.9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1404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1405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8</v>
      </c>
    </row>
    <row r="5" customFormat="false" ht="28.5" hidden="false" customHeight="true" outlineLevel="0" collapsed="false">
      <c r="A5" s="29" t="s">
        <v>1406</v>
      </c>
      <c r="B5" s="22" t="s">
        <v>1007</v>
      </c>
      <c r="C5" s="29" t="s">
        <v>1407</v>
      </c>
      <c r="D5" s="29" t="s">
        <v>402</v>
      </c>
      <c r="E5" s="22" t="s">
        <v>431</v>
      </c>
      <c r="F5" s="30" t="n">
        <v>0.1</v>
      </c>
      <c r="G5" s="34" t="n">
        <v>8</v>
      </c>
      <c r="H5" s="32" t="s">
        <v>1408</v>
      </c>
      <c r="I5" s="29" t="s">
        <v>460</v>
      </c>
      <c r="J5" s="33" t="s">
        <v>1120</v>
      </c>
      <c r="K5" s="22" t="s">
        <v>407</v>
      </c>
      <c r="L5" s="1" t="n">
        <v>0.15</v>
      </c>
      <c r="M5" s="7" t="s">
        <v>758</v>
      </c>
      <c r="N5" s="7" t="s">
        <v>409</v>
      </c>
      <c r="O5" s="1" t="s">
        <v>410</v>
      </c>
      <c r="P5" s="1" t="n">
        <f aca="false">ROUND(SUMPRODUCT(F10:F13,G10:G13)/SUM(F10:F13),1)</f>
        <v>6.5</v>
      </c>
    </row>
    <row r="6" customFormat="false" ht="14.25" hidden="false" customHeight="true" outlineLevel="0" collapsed="false">
      <c r="A6" s="29" t="s">
        <v>1409</v>
      </c>
      <c r="B6" s="22" t="s">
        <v>1007</v>
      </c>
      <c r="C6" s="29" t="s">
        <v>1410</v>
      </c>
      <c r="D6" s="29" t="s">
        <v>402</v>
      </c>
      <c r="E6" s="22" t="s">
        <v>431</v>
      </c>
      <c r="F6" s="30" t="n">
        <v>0.08</v>
      </c>
      <c r="G6" s="34" t="n">
        <v>8</v>
      </c>
      <c r="H6" s="32" t="s">
        <v>1411</v>
      </c>
      <c r="I6" s="29" t="s">
        <v>447</v>
      </c>
      <c r="J6" s="32" t="s">
        <v>1412</v>
      </c>
      <c r="K6" s="22" t="s">
        <v>407</v>
      </c>
      <c r="L6" s="1" t="n">
        <v>0.12</v>
      </c>
      <c r="M6" s="7" t="s">
        <v>758</v>
      </c>
      <c r="N6" s="7" t="s">
        <v>409</v>
      </c>
      <c r="O6" s="1" t="s">
        <v>420</v>
      </c>
      <c r="P6" s="1" t="n">
        <f aca="false">ROUND(SUMPRODUCT(F15:F17,G15:G17)/SUM(F15:F17),1)</f>
        <v>6.6</v>
      </c>
    </row>
    <row r="7" customFormat="false" ht="28.5" hidden="false" customHeight="true" outlineLevel="0" collapsed="false">
      <c r="A7" s="29" t="s">
        <v>1413</v>
      </c>
      <c r="B7" s="22" t="s">
        <v>1414</v>
      </c>
      <c r="C7" s="29" t="s">
        <v>1415</v>
      </c>
      <c r="D7" s="29" t="s">
        <v>472</v>
      </c>
      <c r="E7" s="22" t="s">
        <v>424</v>
      </c>
      <c r="F7" s="30" t="n">
        <v>0.0667</v>
      </c>
      <c r="G7" s="34" t="n">
        <v>8</v>
      </c>
      <c r="H7" s="32" t="s">
        <v>1416</v>
      </c>
      <c r="I7" s="29" t="s">
        <v>426</v>
      </c>
      <c r="J7" s="33" t="s">
        <v>1417</v>
      </c>
      <c r="K7" s="22" t="s">
        <v>467</v>
      </c>
      <c r="L7" s="1" t="n">
        <v>0.1</v>
      </c>
      <c r="M7" s="7" t="s">
        <v>758</v>
      </c>
      <c r="N7" s="7" t="s">
        <v>409</v>
      </c>
    </row>
    <row r="8" customFormat="false" ht="28.5" hidden="false" customHeight="true" outlineLevel="0" collapsed="false">
      <c r="A8" s="29" t="s">
        <v>1418</v>
      </c>
      <c r="B8" s="22" t="s">
        <v>1007</v>
      </c>
      <c r="C8" s="29" t="s">
        <v>1013</v>
      </c>
      <c r="D8" s="29" t="s">
        <v>1419</v>
      </c>
      <c r="E8" s="22" t="s">
        <v>424</v>
      </c>
      <c r="F8" s="30" t="n">
        <v>0.0533</v>
      </c>
      <c r="G8" s="34" t="n">
        <v>8</v>
      </c>
      <c r="H8" s="33" t="s">
        <v>1420</v>
      </c>
      <c r="I8" s="29" t="s">
        <v>850</v>
      </c>
      <c r="J8" s="32" t="s">
        <v>1421</v>
      </c>
      <c r="K8" s="22" t="s">
        <v>407</v>
      </c>
      <c r="L8" s="1" t="n">
        <v>0.08</v>
      </c>
      <c r="M8" s="7" t="s">
        <v>758</v>
      </c>
      <c r="N8" s="7" t="s">
        <v>419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1422</v>
      </c>
      <c r="B10" s="22" t="s">
        <v>1007</v>
      </c>
      <c r="C10" s="29" t="s">
        <v>1423</v>
      </c>
      <c r="D10" s="29" t="s">
        <v>402</v>
      </c>
      <c r="E10" s="22" t="s">
        <v>431</v>
      </c>
      <c r="F10" s="30" t="n">
        <v>0.1286</v>
      </c>
      <c r="G10" s="34" t="n">
        <v>8</v>
      </c>
      <c r="H10" s="32" t="s">
        <v>1408</v>
      </c>
      <c r="I10" s="29" t="s">
        <v>447</v>
      </c>
      <c r="J10" s="33" t="s">
        <v>1424</v>
      </c>
      <c r="K10" s="22" t="s">
        <v>407</v>
      </c>
      <c r="L10" s="1" t="n">
        <v>0.12</v>
      </c>
      <c r="M10" s="7" t="s">
        <v>608</v>
      </c>
      <c r="N10" s="7" t="s">
        <v>409</v>
      </c>
    </row>
    <row r="11" customFormat="false" ht="28.5" hidden="false" customHeight="true" outlineLevel="0" collapsed="false">
      <c r="A11" s="29" t="s">
        <v>1425</v>
      </c>
      <c r="B11" s="22" t="s">
        <v>1426</v>
      </c>
      <c r="C11" s="29" t="s">
        <v>1427</v>
      </c>
      <c r="D11" s="29" t="s">
        <v>472</v>
      </c>
      <c r="E11" s="22" t="s">
        <v>424</v>
      </c>
      <c r="F11" s="30" t="n">
        <v>0.1286</v>
      </c>
      <c r="G11" s="38" t="n">
        <v>4</v>
      </c>
      <c r="H11" s="32" t="s">
        <v>1428</v>
      </c>
      <c r="I11" s="29" t="s">
        <v>718</v>
      </c>
      <c r="J11" s="33" t="s">
        <v>1429</v>
      </c>
      <c r="K11" s="22" t="s">
        <v>475</v>
      </c>
      <c r="L11" s="1" t="n">
        <v>0.12</v>
      </c>
      <c r="M11" s="7" t="s">
        <v>608</v>
      </c>
      <c r="N11" s="7" t="s">
        <v>477</v>
      </c>
    </row>
    <row r="12" customFormat="false" ht="28.5" hidden="false" customHeight="true" outlineLevel="0" collapsed="false">
      <c r="A12" s="29" t="s">
        <v>1430</v>
      </c>
      <c r="B12" s="22" t="s">
        <v>1426</v>
      </c>
      <c r="C12" s="29" t="s">
        <v>1431</v>
      </c>
      <c r="D12" s="29" t="s">
        <v>472</v>
      </c>
      <c r="E12" s="22" t="s">
        <v>424</v>
      </c>
      <c r="F12" s="30" t="n">
        <v>0.1071</v>
      </c>
      <c r="G12" s="34" t="n">
        <v>8</v>
      </c>
      <c r="H12" s="32" t="s">
        <v>1432</v>
      </c>
      <c r="I12" s="29" t="s">
        <v>439</v>
      </c>
      <c r="J12" s="33" t="s">
        <v>1433</v>
      </c>
      <c r="K12" s="22" t="s">
        <v>475</v>
      </c>
      <c r="L12" s="1" t="n">
        <v>0.1</v>
      </c>
      <c r="M12" s="7" t="s">
        <v>608</v>
      </c>
      <c r="N12" s="7" t="s">
        <v>529</v>
      </c>
    </row>
    <row r="13" customFormat="false" ht="28.5" hidden="false" customHeight="true" outlineLevel="0" collapsed="false">
      <c r="A13" s="29" t="s">
        <v>1434</v>
      </c>
      <c r="B13" s="22" t="s">
        <v>470</v>
      </c>
      <c r="C13" s="29" t="s">
        <v>733</v>
      </c>
      <c r="D13" s="29" t="s">
        <v>402</v>
      </c>
      <c r="E13" s="22" t="s">
        <v>431</v>
      </c>
      <c r="F13" s="30" t="n">
        <v>0.0857</v>
      </c>
      <c r="G13" s="31" t="n">
        <v>6</v>
      </c>
      <c r="H13" s="32" t="s">
        <v>977</v>
      </c>
      <c r="I13" s="29" t="s">
        <v>433</v>
      </c>
      <c r="J13" s="33" t="s">
        <v>1435</v>
      </c>
      <c r="K13" s="22" t="s">
        <v>475</v>
      </c>
      <c r="L13" s="1" t="n">
        <v>0.08</v>
      </c>
      <c r="M13" s="7" t="s">
        <v>608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14.25" hidden="false" customHeight="true" outlineLevel="0" collapsed="false">
      <c r="A15" s="29" t="s">
        <v>1436</v>
      </c>
      <c r="B15" s="22" t="s">
        <v>470</v>
      </c>
      <c r="C15" s="29" t="s">
        <v>509</v>
      </c>
      <c r="D15" s="29" t="s">
        <v>402</v>
      </c>
      <c r="E15" s="22" t="s">
        <v>431</v>
      </c>
      <c r="F15" s="30" t="n">
        <v>0.1</v>
      </c>
      <c r="G15" s="31" t="n">
        <v>6</v>
      </c>
      <c r="H15" s="32" t="s">
        <v>541</v>
      </c>
      <c r="I15" s="29" t="s">
        <v>405</v>
      </c>
      <c r="J15" s="32" t="s">
        <v>1437</v>
      </c>
      <c r="K15" s="22" t="s">
        <v>475</v>
      </c>
      <c r="L15" s="1" t="n">
        <v>0.1</v>
      </c>
      <c r="M15" s="7" t="s">
        <v>787</v>
      </c>
      <c r="N15" s="7" t="s">
        <v>477</v>
      </c>
    </row>
    <row r="16" customFormat="false" ht="14.25" hidden="false" customHeight="true" outlineLevel="0" collapsed="false">
      <c r="A16" s="29" t="s">
        <v>1438</v>
      </c>
      <c r="B16" s="22" t="s">
        <v>470</v>
      </c>
      <c r="C16" s="29" t="s">
        <v>1439</v>
      </c>
      <c r="D16" s="29" t="s">
        <v>472</v>
      </c>
      <c r="E16" s="22" t="s">
        <v>424</v>
      </c>
      <c r="F16" s="30" t="n">
        <v>0.08</v>
      </c>
      <c r="G16" s="31" t="n">
        <v>6</v>
      </c>
      <c r="H16" s="32" t="s">
        <v>1408</v>
      </c>
      <c r="I16" s="29" t="s">
        <v>483</v>
      </c>
      <c r="J16" s="32" t="s">
        <v>1440</v>
      </c>
      <c r="K16" s="22" t="s">
        <v>475</v>
      </c>
      <c r="L16" s="1" t="n">
        <v>0.08</v>
      </c>
      <c r="M16" s="7" t="s">
        <v>787</v>
      </c>
      <c r="N16" s="7" t="s">
        <v>477</v>
      </c>
    </row>
    <row r="17" customFormat="false" ht="28.5" hidden="false" customHeight="true" outlineLevel="0" collapsed="false">
      <c r="A17" s="29" t="s">
        <v>1441</v>
      </c>
      <c r="B17" s="22" t="s">
        <v>1426</v>
      </c>
      <c r="C17" s="29" t="s">
        <v>1442</v>
      </c>
      <c r="D17" s="29" t="s">
        <v>472</v>
      </c>
      <c r="E17" s="22" t="s">
        <v>431</v>
      </c>
      <c r="F17" s="30" t="n">
        <v>0.07</v>
      </c>
      <c r="G17" s="34" t="n">
        <v>8</v>
      </c>
      <c r="H17" s="32" t="s">
        <v>1443</v>
      </c>
      <c r="I17" s="29" t="s">
        <v>447</v>
      </c>
      <c r="J17" s="33" t="s">
        <v>1444</v>
      </c>
      <c r="K17" s="22" t="s">
        <v>475</v>
      </c>
      <c r="L17" s="1" t="n">
        <v>0.07</v>
      </c>
      <c r="M17" s="7" t="s">
        <v>787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1445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1446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7.1</v>
      </c>
    </row>
    <row r="5" customFormat="false" ht="28.5" hidden="false" customHeight="true" outlineLevel="0" collapsed="false">
      <c r="A5" s="29" t="s">
        <v>1447</v>
      </c>
      <c r="B5" s="22" t="s">
        <v>1448</v>
      </c>
      <c r="C5" s="29" t="s">
        <v>1449</v>
      </c>
      <c r="D5" s="22" t="s">
        <v>592</v>
      </c>
      <c r="E5" s="22" t="s">
        <v>431</v>
      </c>
      <c r="F5" s="30" t="n">
        <v>0.1167</v>
      </c>
      <c r="G5" s="34" t="n">
        <v>8</v>
      </c>
      <c r="H5" s="32" t="s">
        <v>1450</v>
      </c>
      <c r="I5" s="29" t="s">
        <v>460</v>
      </c>
      <c r="J5" s="33" t="s">
        <v>1451</v>
      </c>
      <c r="K5" s="22" t="s">
        <v>467</v>
      </c>
      <c r="L5" s="1" t="n">
        <v>0.15</v>
      </c>
      <c r="M5" s="7" t="s">
        <v>449</v>
      </c>
      <c r="N5" s="7" t="s">
        <v>409</v>
      </c>
      <c r="O5" s="1" t="s">
        <v>410</v>
      </c>
      <c r="P5" s="1" t="n">
        <f aca="false">ROUND(SUMPRODUCT(F10:F13,G10:G13)/SUM(F10:F13),1)</f>
        <v>7.1</v>
      </c>
    </row>
    <row r="6" customFormat="false" ht="28.5" hidden="false" customHeight="true" outlineLevel="0" collapsed="false">
      <c r="A6" s="29" t="s">
        <v>1452</v>
      </c>
      <c r="B6" s="22" t="s">
        <v>1448</v>
      </c>
      <c r="C6" s="29" t="s">
        <v>509</v>
      </c>
      <c r="D6" s="29" t="s">
        <v>567</v>
      </c>
      <c r="E6" s="22" t="s">
        <v>431</v>
      </c>
      <c r="F6" s="30" t="n">
        <v>0.0933</v>
      </c>
      <c r="G6" s="31" t="n">
        <v>6</v>
      </c>
      <c r="H6" s="32" t="s">
        <v>600</v>
      </c>
      <c r="I6" s="29" t="s">
        <v>447</v>
      </c>
      <c r="J6" s="33" t="s">
        <v>1453</v>
      </c>
      <c r="K6" s="22" t="s">
        <v>407</v>
      </c>
      <c r="L6" s="1" t="n">
        <v>0.12</v>
      </c>
      <c r="M6" s="7" t="s">
        <v>449</v>
      </c>
      <c r="N6" s="7" t="s">
        <v>409</v>
      </c>
      <c r="O6" s="1" t="s">
        <v>420</v>
      </c>
      <c r="P6" s="1" t="n">
        <f aca="false">ROUND(SUMPRODUCT(F15:F17,G15:G17)/SUM(F15:F17),1)</f>
        <v>7.4</v>
      </c>
    </row>
    <row r="7" customFormat="false" ht="28.5" hidden="false" customHeight="true" outlineLevel="0" collapsed="false">
      <c r="A7" s="29" t="s">
        <v>1454</v>
      </c>
      <c r="B7" s="22" t="s">
        <v>1455</v>
      </c>
      <c r="C7" s="29" t="s">
        <v>954</v>
      </c>
      <c r="D7" s="22" t="s">
        <v>592</v>
      </c>
      <c r="E7" s="22" t="s">
        <v>431</v>
      </c>
      <c r="F7" s="30" t="n">
        <v>0.0778</v>
      </c>
      <c r="G7" s="34" t="n">
        <v>8</v>
      </c>
      <c r="H7" s="32" t="s">
        <v>955</v>
      </c>
      <c r="I7" s="29" t="s">
        <v>454</v>
      </c>
      <c r="J7" s="33" t="s">
        <v>1456</v>
      </c>
      <c r="K7" s="22" t="s">
        <v>407</v>
      </c>
      <c r="L7" s="1" t="n">
        <v>0.1</v>
      </c>
      <c r="M7" s="7" t="s">
        <v>449</v>
      </c>
      <c r="N7" s="7" t="s">
        <v>409</v>
      </c>
    </row>
    <row r="8" customFormat="false" ht="28.5" hidden="false" customHeight="true" outlineLevel="0" collapsed="false">
      <c r="A8" s="29" t="s">
        <v>1457</v>
      </c>
      <c r="B8" s="22" t="s">
        <v>1458</v>
      </c>
      <c r="C8" s="29" t="s">
        <v>1459</v>
      </c>
      <c r="D8" s="22" t="s">
        <v>592</v>
      </c>
      <c r="E8" s="22" t="s">
        <v>431</v>
      </c>
      <c r="F8" s="30" t="n">
        <v>0.0622</v>
      </c>
      <c r="G8" s="31" t="n">
        <v>6</v>
      </c>
      <c r="H8" s="32" t="s">
        <v>1270</v>
      </c>
      <c r="I8" s="29" t="s">
        <v>433</v>
      </c>
      <c r="J8" s="32" t="s">
        <v>1460</v>
      </c>
      <c r="K8" s="22" t="s">
        <v>407</v>
      </c>
      <c r="L8" s="1" t="n">
        <v>0.08</v>
      </c>
      <c r="M8" s="7" t="s">
        <v>449</v>
      </c>
      <c r="N8" s="7" t="s">
        <v>679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1461</v>
      </c>
      <c r="B10" s="22" t="s">
        <v>1462</v>
      </c>
      <c r="C10" s="29" t="s">
        <v>712</v>
      </c>
      <c r="D10" s="29" t="s">
        <v>402</v>
      </c>
      <c r="E10" s="22" t="s">
        <v>431</v>
      </c>
      <c r="F10" s="30" t="n">
        <v>0.135</v>
      </c>
      <c r="G10" s="34" t="n">
        <v>8</v>
      </c>
      <c r="H10" s="32" t="s">
        <v>886</v>
      </c>
      <c r="I10" s="29" t="s">
        <v>454</v>
      </c>
      <c r="J10" s="33" t="s">
        <v>1463</v>
      </c>
      <c r="K10" s="22" t="s">
        <v>475</v>
      </c>
      <c r="L10" s="1" t="n">
        <v>0.12</v>
      </c>
      <c r="M10" s="7" t="s">
        <v>608</v>
      </c>
      <c r="N10" s="7" t="s">
        <v>589</v>
      </c>
    </row>
    <row r="11" customFormat="false" ht="28.5" hidden="false" customHeight="true" outlineLevel="0" collapsed="false">
      <c r="A11" s="29" t="s">
        <v>1464</v>
      </c>
      <c r="B11" s="22" t="s">
        <v>1462</v>
      </c>
      <c r="C11" s="29" t="s">
        <v>540</v>
      </c>
      <c r="D11" s="29" t="s">
        <v>402</v>
      </c>
      <c r="E11" s="22" t="s">
        <v>431</v>
      </c>
      <c r="F11" s="30" t="n">
        <v>0.1125</v>
      </c>
      <c r="G11" s="31" t="n">
        <v>6</v>
      </c>
      <c r="H11" s="32" t="s">
        <v>1465</v>
      </c>
      <c r="I11" s="29" t="s">
        <v>447</v>
      </c>
      <c r="J11" s="33" t="s">
        <v>1466</v>
      </c>
      <c r="K11" s="22" t="s">
        <v>475</v>
      </c>
      <c r="L11" s="1" t="n">
        <v>0.1</v>
      </c>
      <c r="M11" s="7" t="s">
        <v>608</v>
      </c>
      <c r="N11" s="7" t="s">
        <v>589</v>
      </c>
    </row>
    <row r="12" customFormat="false" ht="28.5" hidden="false" customHeight="true" outlineLevel="0" collapsed="false">
      <c r="A12" s="29" t="s">
        <v>1467</v>
      </c>
      <c r="B12" s="22" t="s">
        <v>1426</v>
      </c>
      <c r="C12" s="29" t="s">
        <v>540</v>
      </c>
      <c r="D12" s="29" t="s">
        <v>402</v>
      </c>
      <c r="E12" s="22" t="s">
        <v>431</v>
      </c>
      <c r="F12" s="30" t="n">
        <v>0.1125</v>
      </c>
      <c r="G12" s="34" t="n">
        <v>8</v>
      </c>
      <c r="H12" s="32" t="s">
        <v>541</v>
      </c>
      <c r="I12" s="29" t="s">
        <v>454</v>
      </c>
      <c r="J12" s="33" t="s">
        <v>1468</v>
      </c>
      <c r="K12" s="22" t="s">
        <v>407</v>
      </c>
      <c r="L12" s="1" t="n">
        <v>0.1</v>
      </c>
      <c r="M12" s="7" t="s">
        <v>608</v>
      </c>
      <c r="N12" s="7" t="s">
        <v>589</v>
      </c>
    </row>
    <row r="13" customFormat="false" ht="28.5" hidden="false" customHeight="true" outlineLevel="0" collapsed="false">
      <c r="A13" s="29" t="s">
        <v>1469</v>
      </c>
      <c r="B13" s="22" t="s">
        <v>1426</v>
      </c>
      <c r="C13" s="29" t="s">
        <v>1117</v>
      </c>
      <c r="D13" s="29" t="s">
        <v>472</v>
      </c>
      <c r="E13" s="22" t="s">
        <v>431</v>
      </c>
      <c r="F13" s="30" t="n">
        <v>0.09</v>
      </c>
      <c r="G13" s="31" t="n">
        <v>6</v>
      </c>
      <c r="H13" s="32" t="s">
        <v>1062</v>
      </c>
      <c r="I13" s="29" t="s">
        <v>433</v>
      </c>
      <c r="J13" s="33" t="s">
        <v>1470</v>
      </c>
      <c r="K13" s="22" t="s">
        <v>475</v>
      </c>
      <c r="L13" s="1" t="n">
        <v>0.08</v>
      </c>
      <c r="M13" s="7" t="s">
        <v>608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1471</v>
      </c>
      <c r="B15" s="22" t="s">
        <v>470</v>
      </c>
      <c r="C15" s="29" t="s">
        <v>1472</v>
      </c>
      <c r="D15" s="22" t="s">
        <v>592</v>
      </c>
      <c r="E15" s="22" t="s">
        <v>431</v>
      </c>
      <c r="F15" s="30" t="n">
        <v>0.08</v>
      </c>
      <c r="G15" s="34" t="n">
        <v>8</v>
      </c>
      <c r="H15" s="32" t="s">
        <v>1473</v>
      </c>
      <c r="I15" s="29" t="s">
        <v>480</v>
      </c>
      <c r="J15" s="32" t="s">
        <v>1474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1475</v>
      </c>
      <c r="B16" s="22" t="s">
        <v>470</v>
      </c>
      <c r="C16" s="29" t="s">
        <v>471</v>
      </c>
      <c r="D16" s="29" t="s">
        <v>472</v>
      </c>
      <c r="E16" s="22" t="s">
        <v>431</v>
      </c>
      <c r="F16" s="30" t="n">
        <v>0.064</v>
      </c>
      <c r="G16" s="31" t="n">
        <v>6</v>
      </c>
      <c r="H16" s="32" t="s">
        <v>743</v>
      </c>
      <c r="I16" s="29" t="s">
        <v>439</v>
      </c>
      <c r="J16" s="32" t="s">
        <v>1476</v>
      </c>
      <c r="K16" s="22" t="s">
        <v>475</v>
      </c>
      <c r="L16" s="1" t="n">
        <v>0.08</v>
      </c>
      <c r="M16" s="7" t="s">
        <v>745</v>
      </c>
      <c r="N16" s="7" t="s">
        <v>477</v>
      </c>
    </row>
    <row r="17" customFormat="false" ht="28.5" hidden="false" customHeight="true" outlineLevel="0" collapsed="false">
      <c r="A17" s="29" t="s">
        <v>1477</v>
      </c>
      <c r="B17" s="22" t="s">
        <v>1426</v>
      </c>
      <c r="C17" s="29" t="s">
        <v>1478</v>
      </c>
      <c r="D17" s="29" t="s">
        <v>472</v>
      </c>
      <c r="E17" s="22" t="s">
        <v>431</v>
      </c>
      <c r="F17" s="30" t="n">
        <v>0.056</v>
      </c>
      <c r="G17" s="34" t="n">
        <v>8</v>
      </c>
      <c r="H17" s="32" t="s">
        <v>1479</v>
      </c>
      <c r="I17" s="29" t="s">
        <v>447</v>
      </c>
      <c r="J17" s="33" t="s">
        <v>1480</v>
      </c>
      <c r="K17" s="22" t="s">
        <v>475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7.2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1481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1482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7.3</v>
      </c>
    </row>
    <row r="5" customFormat="false" ht="28.5" hidden="false" customHeight="true" outlineLevel="0" collapsed="false">
      <c r="A5" s="29" t="s">
        <v>1483</v>
      </c>
      <c r="B5" s="22" t="s">
        <v>1484</v>
      </c>
      <c r="C5" s="29" t="s">
        <v>1485</v>
      </c>
      <c r="D5" s="22"/>
      <c r="E5" s="22" t="s">
        <v>424</v>
      </c>
      <c r="F5" s="30" t="n">
        <v>0.1333</v>
      </c>
      <c r="G5" s="31" t="n">
        <v>6</v>
      </c>
      <c r="H5" s="32" t="s">
        <v>1486</v>
      </c>
      <c r="I5" s="29" t="s">
        <v>433</v>
      </c>
      <c r="J5" s="33" t="s">
        <v>1487</v>
      </c>
      <c r="K5" s="22" t="s">
        <v>407</v>
      </c>
      <c r="L5" s="1" t="n">
        <v>0.15</v>
      </c>
      <c r="M5" s="7" t="s">
        <v>629</v>
      </c>
      <c r="N5" s="7" t="s">
        <v>529</v>
      </c>
      <c r="O5" s="1" t="s">
        <v>410</v>
      </c>
      <c r="P5" s="1" t="n">
        <f aca="false">ROUND(SUMPRODUCT(F10:F13,G10:G13)/SUM(F10:F13),1)</f>
        <v>8</v>
      </c>
    </row>
    <row r="6" customFormat="false" ht="28.5" hidden="false" customHeight="true" outlineLevel="0" collapsed="false">
      <c r="A6" s="29" t="s">
        <v>1488</v>
      </c>
      <c r="B6" s="22" t="s">
        <v>1489</v>
      </c>
      <c r="C6" s="29" t="s">
        <v>1490</v>
      </c>
      <c r="D6" s="29" t="s">
        <v>472</v>
      </c>
      <c r="E6" s="22" t="s">
        <v>431</v>
      </c>
      <c r="F6" s="30" t="n">
        <v>0.1067</v>
      </c>
      <c r="G6" s="34" t="n">
        <v>8</v>
      </c>
      <c r="H6" s="32" t="s">
        <v>790</v>
      </c>
      <c r="I6" s="29" t="s">
        <v>646</v>
      </c>
      <c r="J6" s="33" t="s">
        <v>1491</v>
      </c>
      <c r="K6" s="22" t="s">
        <v>407</v>
      </c>
      <c r="L6" s="1" t="n">
        <v>0.12</v>
      </c>
      <c r="M6" s="7" t="s">
        <v>629</v>
      </c>
      <c r="N6" s="7" t="s">
        <v>409</v>
      </c>
      <c r="O6" s="1" t="s">
        <v>420</v>
      </c>
      <c r="P6" s="1" t="n">
        <f aca="false">ROUND(SUMPRODUCT(F15:F17,G15:G17)/SUM(F15:F17),1)</f>
        <v>7.4</v>
      </c>
    </row>
    <row r="7" customFormat="false" ht="28.5" hidden="false" customHeight="true" outlineLevel="0" collapsed="false">
      <c r="A7" s="29" t="s">
        <v>1492</v>
      </c>
      <c r="B7" s="22" t="s">
        <v>1493</v>
      </c>
      <c r="C7" s="29" t="s">
        <v>1494</v>
      </c>
      <c r="D7" s="29" t="s">
        <v>402</v>
      </c>
      <c r="E7" s="22" t="s">
        <v>431</v>
      </c>
      <c r="F7" s="30" t="n">
        <v>0.0889</v>
      </c>
      <c r="G7" s="34" t="n">
        <v>8</v>
      </c>
      <c r="H7" s="32" t="s">
        <v>1101</v>
      </c>
      <c r="I7" s="29" t="s">
        <v>653</v>
      </c>
      <c r="J7" s="33" t="s">
        <v>1495</v>
      </c>
      <c r="K7" s="22" t="s">
        <v>407</v>
      </c>
      <c r="L7" s="1" t="n">
        <v>0.1</v>
      </c>
      <c r="M7" s="7" t="s">
        <v>629</v>
      </c>
      <c r="N7" s="7" t="s">
        <v>409</v>
      </c>
    </row>
    <row r="8" customFormat="false" ht="28.5" hidden="false" customHeight="true" outlineLevel="0" collapsed="false">
      <c r="A8" s="29" t="s">
        <v>1496</v>
      </c>
      <c r="B8" s="22" t="s">
        <v>429</v>
      </c>
      <c r="C8" s="29" t="s">
        <v>676</v>
      </c>
      <c r="D8" s="29" t="s">
        <v>402</v>
      </c>
      <c r="E8" s="22" t="s">
        <v>431</v>
      </c>
      <c r="F8" s="30" t="n">
        <v>0.0711</v>
      </c>
      <c r="G8" s="34" t="n">
        <v>8</v>
      </c>
      <c r="H8" s="32" t="s">
        <v>671</v>
      </c>
      <c r="I8" s="29" t="s">
        <v>416</v>
      </c>
      <c r="J8" s="33" t="s">
        <v>1497</v>
      </c>
      <c r="K8" s="22" t="s">
        <v>407</v>
      </c>
      <c r="L8" s="1" t="n">
        <v>0.08</v>
      </c>
      <c r="M8" s="7" t="s">
        <v>629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14.25" hidden="false" customHeight="true" outlineLevel="0" collapsed="false">
      <c r="A10" s="29" t="s">
        <v>1498</v>
      </c>
      <c r="B10" s="22" t="s">
        <v>1489</v>
      </c>
      <c r="C10" s="29" t="s">
        <v>1499</v>
      </c>
      <c r="D10" s="29" t="s">
        <v>402</v>
      </c>
      <c r="E10" s="22" t="s">
        <v>431</v>
      </c>
      <c r="F10" s="30" t="n">
        <v>0.1333</v>
      </c>
      <c r="G10" s="34" t="n">
        <v>8</v>
      </c>
      <c r="H10" s="32" t="s">
        <v>541</v>
      </c>
      <c r="I10" s="29" t="s">
        <v>454</v>
      </c>
      <c r="J10" s="33" t="s">
        <v>1500</v>
      </c>
      <c r="K10" s="22" t="s">
        <v>407</v>
      </c>
      <c r="L10" s="1" t="n">
        <v>0.15</v>
      </c>
      <c r="M10" s="7" t="s">
        <v>629</v>
      </c>
      <c r="N10" s="7" t="s">
        <v>589</v>
      </c>
    </row>
    <row r="11" customFormat="false" ht="14.25" hidden="false" customHeight="true" outlineLevel="0" collapsed="false">
      <c r="A11" s="29" t="s">
        <v>1501</v>
      </c>
      <c r="B11" s="22" t="s">
        <v>1489</v>
      </c>
      <c r="C11" s="29" t="s">
        <v>688</v>
      </c>
      <c r="D11" s="22" t="s">
        <v>1502</v>
      </c>
      <c r="E11" s="22" t="s">
        <v>431</v>
      </c>
      <c r="F11" s="30" t="n">
        <v>0.1067</v>
      </c>
      <c r="G11" s="34" t="n">
        <v>8</v>
      </c>
      <c r="H11" s="32" t="s">
        <v>1340</v>
      </c>
      <c r="I11" s="29" t="s">
        <v>672</v>
      </c>
      <c r="J11" s="33" t="s">
        <v>1503</v>
      </c>
      <c r="K11" s="22" t="s">
        <v>407</v>
      </c>
      <c r="L11" s="1" t="n">
        <v>0.12</v>
      </c>
      <c r="M11" s="7" t="s">
        <v>629</v>
      </c>
      <c r="N11" s="7" t="s">
        <v>589</v>
      </c>
    </row>
    <row r="12" customFormat="false" ht="28.5" hidden="false" customHeight="true" outlineLevel="0" collapsed="false">
      <c r="A12" s="29" t="s">
        <v>1504</v>
      </c>
      <c r="B12" s="22" t="s">
        <v>1505</v>
      </c>
      <c r="C12" s="29" t="s">
        <v>1506</v>
      </c>
      <c r="D12" s="22" t="s">
        <v>1502</v>
      </c>
      <c r="E12" s="22" t="s">
        <v>431</v>
      </c>
      <c r="F12" s="30" t="n">
        <v>0.0889</v>
      </c>
      <c r="G12" s="34" t="n">
        <v>8</v>
      </c>
      <c r="H12" s="32" t="s">
        <v>1507</v>
      </c>
      <c r="I12" s="29" t="s">
        <v>532</v>
      </c>
      <c r="J12" s="33" t="s">
        <v>1508</v>
      </c>
      <c r="K12" s="22" t="s">
        <v>407</v>
      </c>
      <c r="L12" s="1" t="n">
        <v>0.1</v>
      </c>
      <c r="M12" s="7" t="s">
        <v>629</v>
      </c>
      <c r="N12" s="7" t="s">
        <v>409</v>
      </c>
    </row>
    <row r="13" customFormat="false" ht="28.5" hidden="false" customHeight="true" outlineLevel="0" collapsed="false">
      <c r="A13" s="29" t="s">
        <v>1509</v>
      </c>
      <c r="B13" s="22" t="s">
        <v>436</v>
      </c>
      <c r="C13" s="29" t="s">
        <v>1510</v>
      </c>
      <c r="D13" s="22" t="s">
        <v>458</v>
      </c>
      <c r="E13" s="22" t="s">
        <v>431</v>
      </c>
      <c r="F13" s="30" t="n">
        <v>0.0711</v>
      </c>
      <c r="G13" s="34" t="n">
        <v>8</v>
      </c>
      <c r="H13" s="32" t="s">
        <v>1114</v>
      </c>
      <c r="I13" s="29" t="s">
        <v>532</v>
      </c>
      <c r="J13" s="33" t="s">
        <v>1511</v>
      </c>
      <c r="K13" s="22" t="s">
        <v>407</v>
      </c>
      <c r="L13" s="1" t="n">
        <v>0.08</v>
      </c>
      <c r="M13" s="7" t="s">
        <v>629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1512</v>
      </c>
      <c r="B15" s="22" t="s">
        <v>470</v>
      </c>
      <c r="C15" s="29" t="s">
        <v>871</v>
      </c>
      <c r="D15" s="22" t="s">
        <v>592</v>
      </c>
      <c r="E15" s="22" t="s">
        <v>431</v>
      </c>
      <c r="F15" s="30" t="n">
        <v>0.08</v>
      </c>
      <c r="G15" s="34" t="n">
        <v>8</v>
      </c>
      <c r="H15" s="32" t="s">
        <v>1473</v>
      </c>
      <c r="I15" s="29" t="s">
        <v>532</v>
      </c>
      <c r="J15" s="32" t="s">
        <v>1513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1514</v>
      </c>
      <c r="B16" s="22" t="s">
        <v>436</v>
      </c>
      <c r="C16" s="29" t="s">
        <v>825</v>
      </c>
      <c r="D16" s="29" t="s">
        <v>472</v>
      </c>
      <c r="E16" s="22" t="s">
        <v>431</v>
      </c>
      <c r="F16" s="30" t="n">
        <v>0.064</v>
      </c>
      <c r="G16" s="31" t="n">
        <v>6</v>
      </c>
      <c r="H16" s="32" t="s">
        <v>505</v>
      </c>
      <c r="I16" s="29" t="s">
        <v>447</v>
      </c>
      <c r="J16" s="33" t="s">
        <v>1515</v>
      </c>
      <c r="K16" s="22" t="s">
        <v>475</v>
      </c>
      <c r="L16" s="1" t="n">
        <v>0.08</v>
      </c>
      <c r="M16" s="7" t="s">
        <v>745</v>
      </c>
      <c r="N16" s="7" t="s">
        <v>477</v>
      </c>
    </row>
    <row r="17" customFormat="false" ht="28.5" hidden="false" customHeight="true" outlineLevel="0" collapsed="false">
      <c r="A17" s="29" t="s">
        <v>1516</v>
      </c>
      <c r="B17" s="22" t="s">
        <v>436</v>
      </c>
      <c r="C17" s="29" t="s">
        <v>531</v>
      </c>
      <c r="D17" s="29" t="s">
        <v>402</v>
      </c>
      <c r="E17" s="22" t="s">
        <v>431</v>
      </c>
      <c r="F17" s="30" t="n">
        <v>0.056</v>
      </c>
      <c r="G17" s="34" t="n">
        <v>8</v>
      </c>
      <c r="H17" s="32" t="s">
        <v>977</v>
      </c>
      <c r="I17" s="29" t="s">
        <v>532</v>
      </c>
      <c r="J17" s="33" t="s">
        <v>1517</v>
      </c>
      <c r="K17" s="22" t="s">
        <v>475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7.6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1518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1519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7.5</v>
      </c>
    </row>
    <row r="5" customFormat="false" ht="28.5" hidden="false" customHeight="true" outlineLevel="0" collapsed="false">
      <c r="A5" s="29" t="s">
        <v>1520</v>
      </c>
      <c r="B5" s="22" t="s">
        <v>436</v>
      </c>
      <c r="C5" s="29" t="s">
        <v>1499</v>
      </c>
      <c r="D5" s="29" t="s">
        <v>402</v>
      </c>
      <c r="E5" s="22" t="s">
        <v>431</v>
      </c>
      <c r="F5" s="30" t="n">
        <v>0.1667</v>
      </c>
      <c r="G5" s="34" t="n">
        <v>8</v>
      </c>
      <c r="H5" s="32" t="s">
        <v>1147</v>
      </c>
      <c r="I5" s="29" t="s">
        <v>532</v>
      </c>
      <c r="J5" s="33" t="s">
        <v>1521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ROUND(SUMPRODUCT(F10:F13,G10:G13)/SUM(F10:F13),1)</f>
        <v>7.5</v>
      </c>
    </row>
    <row r="6" customFormat="false" ht="28.5" hidden="false" customHeight="true" outlineLevel="0" collapsed="false">
      <c r="A6" s="29" t="s">
        <v>1522</v>
      </c>
      <c r="B6" s="22" t="s">
        <v>1523</v>
      </c>
      <c r="C6" s="29" t="s">
        <v>1524</v>
      </c>
      <c r="D6" s="22" t="s">
        <v>1525</v>
      </c>
      <c r="E6" s="22" t="s">
        <v>431</v>
      </c>
      <c r="F6" s="30" t="n">
        <v>0.1333</v>
      </c>
      <c r="G6" s="31" t="n">
        <v>6</v>
      </c>
      <c r="H6" s="32" t="s">
        <v>1526</v>
      </c>
      <c r="I6" s="29" t="s">
        <v>447</v>
      </c>
      <c r="J6" s="33" t="s">
        <v>1527</v>
      </c>
      <c r="K6" s="22" t="s">
        <v>407</v>
      </c>
      <c r="L6" s="1" t="n">
        <v>0.12</v>
      </c>
      <c r="M6" s="7" t="s">
        <v>408</v>
      </c>
      <c r="N6" s="7" t="s">
        <v>409</v>
      </c>
      <c r="O6" s="1" t="s">
        <v>420</v>
      </c>
      <c r="P6" s="1" t="n">
        <f aca="false">ROUND(SUMPRODUCT(F15:F17,G15:G17)/SUM(F15:F17),1)</f>
        <v>6</v>
      </c>
    </row>
    <row r="7" customFormat="false" ht="28.5" hidden="false" customHeight="true" outlineLevel="0" collapsed="false">
      <c r="A7" s="29" t="s">
        <v>1528</v>
      </c>
      <c r="B7" s="22" t="s">
        <v>1529</v>
      </c>
      <c r="C7" s="29" t="s">
        <v>712</v>
      </c>
      <c r="D7" s="29" t="s">
        <v>402</v>
      </c>
      <c r="E7" s="22" t="s">
        <v>431</v>
      </c>
      <c r="F7" s="30" t="n">
        <v>0.1111</v>
      </c>
      <c r="G7" s="34" t="n">
        <v>8</v>
      </c>
      <c r="H7" s="32" t="s">
        <v>886</v>
      </c>
      <c r="I7" s="29" t="s">
        <v>454</v>
      </c>
      <c r="J7" s="33" t="s">
        <v>1530</v>
      </c>
      <c r="K7" s="22" t="s">
        <v>407</v>
      </c>
      <c r="L7" s="1" t="n">
        <v>0.1</v>
      </c>
      <c r="M7" s="7" t="s">
        <v>408</v>
      </c>
      <c r="N7" s="7" t="s">
        <v>679</v>
      </c>
    </row>
    <row r="8" customFormat="false" ht="28.5" hidden="false" customHeight="true" outlineLevel="0" collapsed="false">
      <c r="A8" s="29" t="s">
        <v>1531</v>
      </c>
      <c r="B8" s="22" t="s">
        <v>436</v>
      </c>
      <c r="C8" s="29" t="s">
        <v>659</v>
      </c>
      <c r="D8" s="29" t="s">
        <v>402</v>
      </c>
      <c r="E8" s="22" t="s">
        <v>431</v>
      </c>
      <c r="F8" s="30" t="n">
        <v>0.0889</v>
      </c>
      <c r="G8" s="34" t="n">
        <v>8</v>
      </c>
      <c r="H8" s="32" t="s">
        <v>886</v>
      </c>
      <c r="I8" s="29" t="s">
        <v>672</v>
      </c>
      <c r="J8" s="33" t="s">
        <v>1532</v>
      </c>
      <c r="K8" s="22" t="s">
        <v>407</v>
      </c>
      <c r="L8" s="1" t="n">
        <v>0.08</v>
      </c>
      <c r="M8" s="7" t="s">
        <v>408</v>
      </c>
      <c r="N8" s="7" t="s">
        <v>589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1533</v>
      </c>
      <c r="B10" s="22" t="s">
        <v>1534</v>
      </c>
      <c r="C10" s="29" t="s">
        <v>709</v>
      </c>
      <c r="D10" s="29" t="s">
        <v>402</v>
      </c>
      <c r="E10" s="22" t="s">
        <v>431</v>
      </c>
      <c r="F10" s="30" t="n">
        <v>0.1105</v>
      </c>
      <c r="G10" s="34" t="n">
        <v>8</v>
      </c>
      <c r="H10" s="32" t="s">
        <v>886</v>
      </c>
      <c r="I10" s="29" t="s">
        <v>460</v>
      </c>
      <c r="J10" s="33" t="s">
        <v>1535</v>
      </c>
      <c r="K10" s="22" t="s">
        <v>407</v>
      </c>
      <c r="L10" s="1" t="n">
        <v>0.12</v>
      </c>
      <c r="M10" s="7" t="s">
        <v>449</v>
      </c>
      <c r="N10" s="7" t="s">
        <v>589</v>
      </c>
    </row>
    <row r="11" customFormat="false" ht="28.5" hidden="false" customHeight="true" outlineLevel="0" collapsed="false">
      <c r="A11" s="29" t="s">
        <v>1536</v>
      </c>
      <c r="B11" s="22" t="s">
        <v>436</v>
      </c>
      <c r="C11" s="29" t="s">
        <v>540</v>
      </c>
      <c r="D11" s="29" t="s">
        <v>402</v>
      </c>
      <c r="E11" s="22" t="s">
        <v>431</v>
      </c>
      <c r="F11" s="30" t="n">
        <v>0.0921</v>
      </c>
      <c r="G11" s="31" t="n">
        <v>6</v>
      </c>
      <c r="H11" s="32" t="s">
        <v>541</v>
      </c>
      <c r="I11" s="29" t="s">
        <v>460</v>
      </c>
      <c r="J11" s="33" t="s">
        <v>1537</v>
      </c>
      <c r="K11" s="22" t="s">
        <v>407</v>
      </c>
      <c r="L11" s="1" t="n">
        <v>0.1</v>
      </c>
      <c r="M11" s="7" t="s">
        <v>449</v>
      </c>
      <c r="N11" s="7" t="s">
        <v>589</v>
      </c>
    </row>
    <row r="12" customFormat="false" ht="28.5" hidden="false" customHeight="true" outlineLevel="0" collapsed="false">
      <c r="A12" s="29" t="s">
        <v>1538</v>
      </c>
      <c r="B12" s="22" t="s">
        <v>1534</v>
      </c>
      <c r="C12" s="29" t="s">
        <v>531</v>
      </c>
      <c r="D12" s="29" t="s">
        <v>402</v>
      </c>
      <c r="E12" s="22" t="s">
        <v>431</v>
      </c>
      <c r="F12" s="30" t="n">
        <v>0.0737</v>
      </c>
      <c r="G12" s="34" t="n">
        <v>8</v>
      </c>
      <c r="H12" s="32" t="s">
        <v>977</v>
      </c>
      <c r="I12" s="29" t="s">
        <v>454</v>
      </c>
      <c r="J12" s="33" t="s">
        <v>1539</v>
      </c>
      <c r="K12" s="22" t="s">
        <v>407</v>
      </c>
      <c r="L12" s="1" t="n">
        <v>0.08</v>
      </c>
      <c r="M12" s="7" t="s">
        <v>449</v>
      </c>
      <c r="N12" s="7" t="s">
        <v>589</v>
      </c>
    </row>
    <row r="13" customFormat="false" ht="28.5" hidden="false" customHeight="true" outlineLevel="0" collapsed="false">
      <c r="A13" s="29" t="s">
        <v>1540</v>
      </c>
      <c r="B13" s="22" t="s">
        <v>429</v>
      </c>
      <c r="C13" s="29" t="s">
        <v>976</v>
      </c>
      <c r="D13" s="29" t="s">
        <v>402</v>
      </c>
      <c r="E13" s="22" t="s">
        <v>431</v>
      </c>
      <c r="F13" s="30" t="n">
        <v>0.0737</v>
      </c>
      <c r="G13" s="34" t="n">
        <v>8</v>
      </c>
      <c r="H13" s="32" t="s">
        <v>977</v>
      </c>
      <c r="I13" s="29" t="s">
        <v>672</v>
      </c>
      <c r="J13" s="33" t="s">
        <v>1541</v>
      </c>
      <c r="K13" s="22" t="s">
        <v>407</v>
      </c>
      <c r="L13" s="1" t="n">
        <v>0.08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1542</v>
      </c>
      <c r="B15" s="22" t="s">
        <v>470</v>
      </c>
      <c r="C15" s="29" t="s">
        <v>581</v>
      </c>
      <c r="D15" s="22" t="s">
        <v>592</v>
      </c>
      <c r="E15" s="22" t="s">
        <v>431</v>
      </c>
      <c r="F15" s="30" t="n">
        <v>0.06</v>
      </c>
      <c r="G15" s="31" t="n">
        <v>6</v>
      </c>
      <c r="H15" s="32" t="s">
        <v>1247</v>
      </c>
      <c r="I15" s="29" t="s">
        <v>447</v>
      </c>
      <c r="J15" s="32" t="s">
        <v>1543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28.5" hidden="false" customHeight="true" outlineLevel="0" collapsed="false">
      <c r="A16" s="29" t="s">
        <v>1544</v>
      </c>
      <c r="B16" s="22" t="s">
        <v>470</v>
      </c>
      <c r="C16" s="29" t="s">
        <v>1152</v>
      </c>
      <c r="D16" s="29" t="s">
        <v>472</v>
      </c>
      <c r="E16" s="22" t="s">
        <v>431</v>
      </c>
      <c r="F16" s="30" t="n">
        <v>0.048</v>
      </c>
      <c r="G16" s="31" t="n">
        <v>6</v>
      </c>
      <c r="H16" s="32" t="s">
        <v>1250</v>
      </c>
      <c r="I16" s="29" t="s">
        <v>433</v>
      </c>
      <c r="J16" s="33" t="s">
        <v>1102</v>
      </c>
      <c r="K16" s="22" t="s">
        <v>475</v>
      </c>
      <c r="L16" s="1" t="n">
        <v>0.08</v>
      </c>
      <c r="M16" s="7" t="s">
        <v>476</v>
      </c>
      <c r="N16" s="7" t="s">
        <v>419</v>
      </c>
    </row>
    <row r="17" customFormat="false" ht="28.5" hidden="false" customHeight="true" outlineLevel="0" collapsed="false">
      <c r="A17" s="29" t="s">
        <v>1545</v>
      </c>
      <c r="B17" s="22" t="s">
        <v>436</v>
      </c>
      <c r="C17" s="29" t="s">
        <v>1546</v>
      </c>
      <c r="D17" s="29" t="s">
        <v>472</v>
      </c>
      <c r="E17" s="22" t="s">
        <v>431</v>
      </c>
      <c r="F17" s="30" t="n">
        <v>0.042</v>
      </c>
      <c r="G17" s="31" t="n">
        <v>6</v>
      </c>
      <c r="H17" s="32" t="s">
        <v>505</v>
      </c>
      <c r="I17" s="29" t="s">
        <v>447</v>
      </c>
      <c r="J17" s="33" t="s">
        <v>1515</v>
      </c>
      <c r="K17" s="22" t="s">
        <v>475</v>
      </c>
      <c r="L17" s="1" t="n">
        <v>0.07</v>
      </c>
      <c r="M17" s="7" t="s">
        <v>476</v>
      </c>
      <c r="N17" s="7" t="s">
        <v>477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7.2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1547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1548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7.6</v>
      </c>
    </row>
    <row r="5" customFormat="false" ht="28.5" hidden="false" customHeight="true" outlineLevel="0" collapsed="false">
      <c r="A5" s="29" t="s">
        <v>1549</v>
      </c>
      <c r="B5" s="22" t="s">
        <v>1550</v>
      </c>
      <c r="C5" s="29" t="s">
        <v>1263</v>
      </c>
      <c r="D5" s="22" t="s">
        <v>1551</v>
      </c>
      <c r="E5" s="22" t="s">
        <v>424</v>
      </c>
      <c r="F5" s="30" t="n">
        <v>0.1667</v>
      </c>
      <c r="G5" s="34" t="n">
        <v>8</v>
      </c>
      <c r="H5" s="32" t="s">
        <v>1552</v>
      </c>
      <c r="I5" s="29" t="s">
        <v>483</v>
      </c>
      <c r="J5" s="33" t="s">
        <v>1553</v>
      </c>
      <c r="K5" s="22" t="s">
        <v>418</v>
      </c>
      <c r="L5" s="1" t="n">
        <v>0.15</v>
      </c>
      <c r="M5" s="7" t="s">
        <v>408</v>
      </c>
      <c r="N5" s="7" t="s">
        <v>529</v>
      </c>
      <c r="O5" s="1" t="s">
        <v>410</v>
      </c>
      <c r="P5" s="1" t="n">
        <f aca="false">ROUND(SUMPRODUCT(F10:F13,G10:G13)/SUM(F10:F13),1)</f>
        <v>7.6</v>
      </c>
    </row>
    <row r="6" customFormat="false" ht="28.5" hidden="false" customHeight="true" outlineLevel="0" collapsed="false">
      <c r="A6" s="29" t="s">
        <v>1554</v>
      </c>
      <c r="B6" s="22" t="s">
        <v>1555</v>
      </c>
      <c r="C6" s="29" t="s">
        <v>871</v>
      </c>
      <c r="D6" s="22" t="s">
        <v>1551</v>
      </c>
      <c r="E6" s="22" t="s">
        <v>424</v>
      </c>
      <c r="F6" s="30" t="n">
        <v>0.1111</v>
      </c>
      <c r="G6" s="34" t="n">
        <v>8</v>
      </c>
      <c r="H6" s="32" t="s">
        <v>1556</v>
      </c>
      <c r="I6" s="29" t="s">
        <v>405</v>
      </c>
      <c r="J6" s="33" t="s">
        <v>1557</v>
      </c>
      <c r="K6" s="22" t="s">
        <v>418</v>
      </c>
      <c r="L6" s="1" t="n">
        <v>0.1</v>
      </c>
      <c r="M6" s="7" t="s">
        <v>408</v>
      </c>
      <c r="N6" s="7" t="s">
        <v>529</v>
      </c>
      <c r="O6" s="1" t="s">
        <v>420</v>
      </c>
      <c r="P6" s="1" t="n">
        <f aca="false">ROUND(SUMPRODUCT(F15:F17,G15:G17)/SUM(F15:F17),1)</f>
        <v>6.6</v>
      </c>
    </row>
    <row r="7" customFormat="false" ht="28.5" hidden="false" customHeight="true" outlineLevel="0" collapsed="false">
      <c r="A7" s="29" t="s">
        <v>1558</v>
      </c>
      <c r="B7" s="22" t="s">
        <v>1559</v>
      </c>
      <c r="C7" s="29" t="s">
        <v>825</v>
      </c>
      <c r="D7" s="22" t="s">
        <v>1551</v>
      </c>
      <c r="E7" s="22" t="s">
        <v>431</v>
      </c>
      <c r="F7" s="30" t="n">
        <v>0.1333</v>
      </c>
      <c r="G7" s="34" t="n">
        <v>8</v>
      </c>
      <c r="H7" s="32" t="s">
        <v>1560</v>
      </c>
      <c r="I7" s="29" t="s">
        <v>532</v>
      </c>
      <c r="J7" s="33" t="s">
        <v>1561</v>
      </c>
      <c r="K7" s="22" t="s">
        <v>467</v>
      </c>
      <c r="L7" s="1" t="n">
        <v>0.12</v>
      </c>
      <c r="M7" s="7" t="s">
        <v>408</v>
      </c>
      <c r="N7" s="7" t="s">
        <v>409</v>
      </c>
    </row>
    <row r="8" customFormat="false" ht="28.5" hidden="false" customHeight="true" outlineLevel="0" collapsed="false">
      <c r="A8" s="29" t="s">
        <v>1562</v>
      </c>
      <c r="B8" s="22" t="s">
        <v>429</v>
      </c>
      <c r="C8" s="29" t="s">
        <v>544</v>
      </c>
      <c r="D8" s="29" t="s">
        <v>402</v>
      </c>
      <c r="E8" s="22" t="s">
        <v>431</v>
      </c>
      <c r="F8" s="30" t="n">
        <v>0.0889</v>
      </c>
      <c r="G8" s="31" t="n">
        <v>6</v>
      </c>
      <c r="H8" s="32" t="s">
        <v>432</v>
      </c>
      <c r="I8" s="29" t="s">
        <v>433</v>
      </c>
      <c r="J8" s="33" t="s">
        <v>1563</v>
      </c>
      <c r="K8" s="22" t="s">
        <v>407</v>
      </c>
      <c r="L8" s="1" t="n">
        <v>0.08</v>
      </c>
      <c r="M8" s="7" t="s">
        <v>408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1564</v>
      </c>
      <c r="B10" s="29" t="s">
        <v>556</v>
      </c>
      <c r="C10" s="29" t="s">
        <v>1565</v>
      </c>
      <c r="D10" s="22" t="s">
        <v>498</v>
      </c>
      <c r="E10" s="22" t="s">
        <v>431</v>
      </c>
      <c r="F10" s="30" t="n">
        <v>0.128</v>
      </c>
      <c r="G10" s="34" t="n">
        <v>8</v>
      </c>
      <c r="H10" s="32" t="s">
        <v>1566</v>
      </c>
      <c r="I10" s="29" t="s">
        <v>460</v>
      </c>
      <c r="J10" s="33" t="s">
        <v>1567</v>
      </c>
      <c r="K10" s="22" t="s">
        <v>418</v>
      </c>
      <c r="L10" s="1" t="n">
        <v>0.15</v>
      </c>
      <c r="M10" s="7" t="s">
        <v>449</v>
      </c>
      <c r="N10" s="7" t="s">
        <v>419</v>
      </c>
    </row>
    <row r="11" customFormat="false" ht="28.5" hidden="false" customHeight="true" outlineLevel="0" collapsed="false">
      <c r="A11" s="29" t="s">
        <v>1568</v>
      </c>
      <c r="B11" s="29" t="s">
        <v>556</v>
      </c>
      <c r="C11" s="29" t="s">
        <v>1569</v>
      </c>
      <c r="D11" s="22" t="s">
        <v>498</v>
      </c>
      <c r="E11" s="22" t="s">
        <v>431</v>
      </c>
      <c r="F11" s="30" t="n">
        <v>0.0854</v>
      </c>
      <c r="G11" s="34" t="n">
        <v>8</v>
      </c>
      <c r="H11" s="32" t="s">
        <v>1570</v>
      </c>
      <c r="I11" s="29" t="s">
        <v>447</v>
      </c>
      <c r="J11" s="33" t="s">
        <v>1571</v>
      </c>
      <c r="K11" s="22" t="s">
        <v>418</v>
      </c>
      <c r="L11" s="1" t="n">
        <v>0.1</v>
      </c>
      <c r="M11" s="7" t="s">
        <v>449</v>
      </c>
      <c r="N11" s="7" t="s">
        <v>419</v>
      </c>
    </row>
    <row r="12" customFormat="false" ht="28.5" hidden="false" customHeight="true" outlineLevel="0" collapsed="false">
      <c r="A12" s="29" t="s">
        <v>1572</v>
      </c>
      <c r="B12" s="29" t="s">
        <v>561</v>
      </c>
      <c r="C12" s="29" t="s">
        <v>1573</v>
      </c>
      <c r="D12" s="22" t="s">
        <v>498</v>
      </c>
      <c r="E12" s="22" t="s">
        <v>431</v>
      </c>
      <c r="F12" s="30" t="n">
        <v>0.0683</v>
      </c>
      <c r="G12" s="34" t="n">
        <v>8</v>
      </c>
      <c r="H12" s="32" t="s">
        <v>1574</v>
      </c>
      <c r="I12" s="29" t="s">
        <v>460</v>
      </c>
      <c r="J12" s="33" t="s">
        <v>1575</v>
      </c>
      <c r="K12" s="22" t="s">
        <v>418</v>
      </c>
      <c r="L12" s="1" t="n">
        <v>0.08</v>
      </c>
      <c r="M12" s="7" t="s">
        <v>449</v>
      </c>
      <c r="N12" s="7" t="s">
        <v>419</v>
      </c>
    </row>
    <row r="13" customFormat="false" ht="28.5" hidden="false" customHeight="true" outlineLevel="0" collapsed="false">
      <c r="A13" s="29" t="s">
        <v>1576</v>
      </c>
      <c r="B13" s="29" t="s">
        <v>1577</v>
      </c>
      <c r="C13" s="29" t="s">
        <v>1578</v>
      </c>
      <c r="D13" s="22" t="s">
        <v>458</v>
      </c>
      <c r="E13" s="22" t="s">
        <v>431</v>
      </c>
      <c r="F13" s="30" t="n">
        <v>0.0683</v>
      </c>
      <c r="G13" s="31" t="n">
        <v>6</v>
      </c>
      <c r="H13" s="32" t="s">
        <v>1579</v>
      </c>
      <c r="I13" s="29" t="s">
        <v>447</v>
      </c>
      <c r="J13" s="33" t="s">
        <v>1580</v>
      </c>
      <c r="K13" s="22" t="s">
        <v>418</v>
      </c>
      <c r="L13" s="1" t="n">
        <v>0.08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1581</v>
      </c>
      <c r="B15" s="22" t="s">
        <v>470</v>
      </c>
      <c r="C15" s="29" t="s">
        <v>1582</v>
      </c>
      <c r="D15" s="22" t="s">
        <v>592</v>
      </c>
      <c r="E15" s="22" t="s">
        <v>424</v>
      </c>
      <c r="F15" s="30" t="n">
        <v>0.06</v>
      </c>
      <c r="G15" s="31" t="n">
        <v>6</v>
      </c>
      <c r="H15" s="32" t="s">
        <v>1583</v>
      </c>
      <c r="I15" s="29" t="s">
        <v>439</v>
      </c>
      <c r="J15" s="32" t="s">
        <v>1584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28.5" hidden="false" customHeight="true" outlineLevel="0" collapsed="false">
      <c r="A16" s="29" t="s">
        <v>1585</v>
      </c>
      <c r="B16" s="22" t="s">
        <v>470</v>
      </c>
      <c r="C16" s="29" t="s">
        <v>901</v>
      </c>
      <c r="D16" s="29" t="s">
        <v>472</v>
      </c>
      <c r="E16" s="22" t="s">
        <v>424</v>
      </c>
      <c r="F16" s="30" t="n">
        <v>0.048</v>
      </c>
      <c r="G16" s="31" t="n">
        <v>6</v>
      </c>
      <c r="H16" s="32" t="s">
        <v>977</v>
      </c>
      <c r="I16" s="29" t="s">
        <v>439</v>
      </c>
      <c r="J16" s="32" t="s">
        <v>1586</v>
      </c>
      <c r="K16" s="22" t="s">
        <v>475</v>
      </c>
      <c r="L16" s="1" t="n">
        <v>0.08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1587</v>
      </c>
      <c r="B17" s="22" t="s">
        <v>470</v>
      </c>
      <c r="C17" s="29" t="s">
        <v>1155</v>
      </c>
      <c r="D17" s="29" t="s">
        <v>472</v>
      </c>
      <c r="E17" s="22" t="s">
        <v>424</v>
      </c>
      <c r="F17" s="30" t="n">
        <v>0.042</v>
      </c>
      <c r="G17" s="34" t="n">
        <v>8</v>
      </c>
      <c r="H17" s="32" t="s">
        <v>1296</v>
      </c>
      <c r="I17" s="29" t="s">
        <v>405</v>
      </c>
      <c r="J17" s="33" t="s">
        <v>1588</v>
      </c>
      <c r="K17" s="22" t="s">
        <v>475</v>
      </c>
      <c r="L17" s="1" t="n">
        <v>0.07</v>
      </c>
      <c r="M17" s="7" t="s">
        <v>476</v>
      </c>
      <c r="N17" s="7" t="s">
        <v>529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6" t="n">
        <f aca="false">ROUND(SUMPRODUCT(F5:F17,G5:G17),1)</f>
        <v>7.5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1589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1590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7.6</v>
      </c>
    </row>
    <row r="5" customFormat="false" ht="28.5" hidden="false" customHeight="true" outlineLevel="0" collapsed="false">
      <c r="A5" s="29" t="s">
        <v>1591</v>
      </c>
      <c r="B5" s="29" t="s">
        <v>1592</v>
      </c>
      <c r="C5" s="29" t="s">
        <v>825</v>
      </c>
      <c r="D5" s="22" t="s">
        <v>492</v>
      </c>
      <c r="E5" s="22" t="s">
        <v>424</v>
      </c>
      <c r="F5" s="30" t="n">
        <v>0.1744</v>
      </c>
      <c r="G5" s="34" t="n">
        <v>8</v>
      </c>
      <c r="H5" s="32" t="s">
        <v>1593</v>
      </c>
      <c r="I5" s="29" t="s">
        <v>447</v>
      </c>
      <c r="J5" s="33" t="s">
        <v>494</v>
      </c>
      <c r="K5" s="22" t="s">
        <v>467</v>
      </c>
      <c r="L5" s="1" t="n">
        <v>0.15</v>
      </c>
      <c r="M5" s="7" t="s">
        <v>408</v>
      </c>
      <c r="N5" s="7" t="s">
        <v>419</v>
      </c>
      <c r="O5" s="1" t="s">
        <v>410</v>
      </c>
      <c r="P5" s="1" t="n">
        <f aca="false">ROUND(SUMPRODUCT(F10:F13,G10:G13)/SUM(F10:F13),1)</f>
        <v>6</v>
      </c>
    </row>
    <row r="6" customFormat="false" ht="28.5" hidden="false" customHeight="true" outlineLevel="0" collapsed="false">
      <c r="A6" s="29" t="s">
        <v>1594</v>
      </c>
      <c r="B6" s="29" t="s">
        <v>1595</v>
      </c>
      <c r="C6" s="29" t="s">
        <v>1596</v>
      </c>
      <c r="D6" s="22" t="s">
        <v>1597</v>
      </c>
      <c r="E6" s="22" t="s">
        <v>1598</v>
      </c>
      <c r="F6" s="30" t="n">
        <v>0.1163</v>
      </c>
      <c r="G6" s="34" t="n">
        <v>8</v>
      </c>
      <c r="H6" s="33" t="s">
        <v>1599</v>
      </c>
      <c r="I6" s="29" t="s">
        <v>447</v>
      </c>
      <c r="J6" s="32" t="s">
        <v>1600</v>
      </c>
      <c r="K6" s="22" t="s">
        <v>407</v>
      </c>
      <c r="L6" s="1" t="n">
        <v>0.1</v>
      </c>
      <c r="M6" s="7" t="s">
        <v>408</v>
      </c>
      <c r="N6" s="7" t="s">
        <v>679</v>
      </c>
      <c r="O6" s="1" t="s">
        <v>420</v>
      </c>
      <c r="P6" s="1" t="n">
        <f aca="false">ROUND(SUMPRODUCT(F15:F17,G15:G17)/SUM(F15:F17),1)</f>
        <v>6.6</v>
      </c>
    </row>
    <row r="7" customFormat="false" ht="14.25" hidden="false" customHeight="true" outlineLevel="0" collapsed="false">
      <c r="A7" s="29" t="s">
        <v>1601</v>
      </c>
      <c r="B7" s="29" t="s">
        <v>1602</v>
      </c>
      <c r="C7" s="29" t="s">
        <v>1019</v>
      </c>
      <c r="D7" s="29" t="s">
        <v>1603</v>
      </c>
      <c r="E7" s="22" t="s">
        <v>568</v>
      </c>
      <c r="F7" s="30" t="n">
        <v>0.1163</v>
      </c>
      <c r="G7" s="34" t="n">
        <v>8</v>
      </c>
      <c r="H7" s="32" t="s">
        <v>1604</v>
      </c>
      <c r="I7" s="29" t="s">
        <v>483</v>
      </c>
      <c r="J7" s="33" t="s">
        <v>1605</v>
      </c>
      <c r="K7" s="22" t="s">
        <v>418</v>
      </c>
      <c r="L7" s="1" t="n">
        <v>0.1</v>
      </c>
      <c r="M7" s="7" t="s">
        <v>408</v>
      </c>
      <c r="N7" s="7" t="s">
        <v>529</v>
      </c>
    </row>
    <row r="8" customFormat="false" ht="14.25" hidden="false" customHeight="true" outlineLevel="0" collapsed="false">
      <c r="A8" s="29" t="s">
        <v>1606</v>
      </c>
      <c r="B8" s="29" t="s">
        <v>1607</v>
      </c>
      <c r="C8" s="29" t="s">
        <v>599</v>
      </c>
      <c r="D8" s="29" t="s">
        <v>402</v>
      </c>
      <c r="E8" s="22" t="s">
        <v>431</v>
      </c>
      <c r="F8" s="30" t="n">
        <v>0.093</v>
      </c>
      <c r="G8" s="31" t="n">
        <v>6</v>
      </c>
      <c r="H8" s="32" t="s">
        <v>793</v>
      </c>
      <c r="I8" s="29" t="s">
        <v>447</v>
      </c>
      <c r="J8" s="33" t="s">
        <v>1608</v>
      </c>
      <c r="K8" s="22" t="s">
        <v>407</v>
      </c>
      <c r="L8" s="1" t="n">
        <v>0.08</v>
      </c>
      <c r="M8" s="7" t="s">
        <v>408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1609</v>
      </c>
      <c r="B10" s="22" t="s">
        <v>1610</v>
      </c>
      <c r="C10" s="29" t="s">
        <v>1611</v>
      </c>
      <c r="D10" s="22" t="s">
        <v>1612</v>
      </c>
      <c r="E10" s="22" t="s">
        <v>431</v>
      </c>
      <c r="F10" s="30" t="n">
        <v>0.105</v>
      </c>
      <c r="G10" s="31" t="n">
        <v>6</v>
      </c>
      <c r="H10" s="32" t="s">
        <v>1613</v>
      </c>
      <c r="I10" s="29" t="s">
        <v>460</v>
      </c>
      <c r="J10" s="33" t="s">
        <v>1614</v>
      </c>
      <c r="K10" s="22" t="s">
        <v>418</v>
      </c>
      <c r="L10" s="1" t="n">
        <v>0.12</v>
      </c>
      <c r="M10" s="7" t="s">
        <v>449</v>
      </c>
      <c r="N10" s="7" t="s">
        <v>419</v>
      </c>
    </row>
    <row r="11" customFormat="false" ht="28.5" hidden="false" customHeight="true" outlineLevel="0" collapsed="false">
      <c r="A11" s="29" t="s">
        <v>1615</v>
      </c>
      <c r="B11" s="22" t="s">
        <v>1616</v>
      </c>
      <c r="C11" s="29" t="s">
        <v>825</v>
      </c>
      <c r="D11" s="29" t="s">
        <v>472</v>
      </c>
      <c r="E11" s="22" t="s">
        <v>431</v>
      </c>
      <c r="F11" s="30" t="n">
        <v>0.0875</v>
      </c>
      <c r="G11" s="31" t="n">
        <v>6</v>
      </c>
      <c r="H11" s="32" t="s">
        <v>505</v>
      </c>
      <c r="I11" s="29" t="s">
        <v>447</v>
      </c>
      <c r="J11" s="33" t="s">
        <v>1617</v>
      </c>
      <c r="K11" s="22" t="s">
        <v>418</v>
      </c>
      <c r="L11" s="1" t="n">
        <v>0.1</v>
      </c>
      <c r="M11" s="7" t="s">
        <v>449</v>
      </c>
      <c r="N11" s="7" t="s">
        <v>409</v>
      </c>
    </row>
    <row r="12" customFormat="false" ht="28.5" hidden="false" customHeight="true" outlineLevel="0" collapsed="false">
      <c r="A12" s="29" t="s">
        <v>1618</v>
      </c>
      <c r="B12" s="22" t="s">
        <v>1287</v>
      </c>
      <c r="C12" s="29" t="s">
        <v>1619</v>
      </c>
      <c r="D12" s="29" t="s">
        <v>520</v>
      </c>
      <c r="E12" s="22" t="s">
        <v>431</v>
      </c>
      <c r="F12" s="30" t="n">
        <v>0.0875</v>
      </c>
      <c r="G12" s="31" t="n">
        <v>6</v>
      </c>
      <c r="H12" s="32" t="s">
        <v>636</v>
      </c>
      <c r="I12" s="29" t="s">
        <v>447</v>
      </c>
      <c r="J12" s="33" t="s">
        <v>1620</v>
      </c>
      <c r="K12" s="22" t="s">
        <v>418</v>
      </c>
      <c r="L12" s="1" t="n">
        <v>0.1</v>
      </c>
      <c r="M12" s="7" t="s">
        <v>449</v>
      </c>
      <c r="N12" s="7" t="s">
        <v>419</v>
      </c>
    </row>
    <row r="13" customFormat="false" ht="14.25" hidden="false" customHeight="true" outlineLevel="0" collapsed="false">
      <c r="A13" s="29" t="s">
        <v>1621</v>
      </c>
      <c r="B13" s="22" t="s">
        <v>429</v>
      </c>
      <c r="C13" s="29" t="s">
        <v>540</v>
      </c>
      <c r="D13" s="29" t="s">
        <v>402</v>
      </c>
      <c r="E13" s="22" t="s">
        <v>431</v>
      </c>
      <c r="F13" s="30" t="n">
        <v>0.07</v>
      </c>
      <c r="G13" s="31" t="n">
        <v>6</v>
      </c>
      <c r="H13" s="32" t="s">
        <v>541</v>
      </c>
      <c r="I13" s="29" t="s">
        <v>460</v>
      </c>
      <c r="J13" s="33" t="s">
        <v>1622</v>
      </c>
      <c r="K13" s="22" t="s">
        <v>407</v>
      </c>
      <c r="L13" s="1" t="n">
        <v>0.08</v>
      </c>
      <c r="M13" s="7" t="s">
        <v>449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1623</v>
      </c>
      <c r="B15" s="22" t="s">
        <v>470</v>
      </c>
      <c r="C15" s="29" t="s">
        <v>1624</v>
      </c>
      <c r="D15" s="22" t="s">
        <v>592</v>
      </c>
      <c r="E15" s="22" t="s">
        <v>431</v>
      </c>
      <c r="F15" s="30" t="n">
        <v>0.06</v>
      </c>
      <c r="G15" s="31" t="n">
        <v>6</v>
      </c>
      <c r="H15" s="32" t="s">
        <v>1625</v>
      </c>
      <c r="I15" s="29" t="s">
        <v>447</v>
      </c>
      <c r="J15" s="32" t="s">
        <v>1626</v>
      </c>
      <c r="K15" s="22" t="s">
        <v>475</v>
      </c>
      <c r="L15" s="1" t="n">
        <v>0.1</v>
      </c>
      <c r="M15" s="7" t="s">
        <v>476</v>
      </c>
      <c r="N15" s="7" t="s">
        <v>477</v>
      </c>
    </row>
    <row r="16" customFormat="false" ht="14.25" hidden="false" customHeight="true" outlineLevel="0" collapsed="false">
      <c r="A16" s="29" t="s">
        <v>1627</v>
      </c>
      <c r="B16" s="22" t="s">
        <v>470</v>
      </c>
      <c r="C16" s="29" t="s">
        <v>742</v>
      </c>
      <c r="D16" s="29" t="s">
        <v>472</v>
      </c>
      <c r="E16" s="22" t="s">
        <v>431</v>
      </c>
      <c r="F16" s="30" t="n">
        <v>0.048</v>
      </c>
      <c r="G16" s="31" t="n">
        <v>6</v>
      </c>
      <c r="H16" s="32" t="s">
        <v>743</v>
      </c>
      <c r="I16" s="29" t="s">
        <v>433</v>
      </c>
      <c r="J16" s="32" t="s">
        <v>1628</v>
      </c>
      <c r="K16" s="22" t="s">
        <v>475</v>
      </c>
      <c r="L16" s="1" t="n">
        <v>0.08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1629</v>
      </c>
      <c r="B17" s="22" t="s">
        <v>436</v>
      </c>
      <c r="C17" s="29" t="s">
        <v>540</v>
      </c>
      <c r="D17" s="29" t="s">
        <v>472</v>
      </c>
      <c r="E17" s="22" t="s">
        <v>431</v>
      </c>
      <c r="F17" s="30" t="n">
        <v>0.042</v>
      </c>
      <c r="G17" s="34" t="n">
        <v>8</v>
      </c>
      <c r="H17" s="32" t="s">
        <v>541</v>
      </c>
      <c r="I17" s="29" t="s">
        <v>454</v>
      </c>
      <c r="J17" s="33" t="s">
        <v>1630</v>
      </c>
      <c r="K17" s="22" t="s">
        <v>407</v>
      </c>
      <c r="L17" s="1" t="n">
        <v>0.07</v>
      </c>
      <c r="M17" s="7" t="s">
        <v>476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6.9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1631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1632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8</v>
      </c>
    </row>
    <row r="5" customFormat="false" ht="28.5" hidden="false" customHeight="true" outlineLevel="0" collapsed="false">
      <c r="A5" s="29" t="s">
        <v>1633</v>
      </c>
      <c r="B5" s="22" t="s">
        <v>1610</v>
      </c>
      <c r="C5" s="29" t="s">
        <v>853</v>
      </c>
      <c r="D5" s="22" t="s">
        <v>592</v>
      </c>
      <c r="E5" s="22" t="s">
        <v>925</v>
      </c>
      <c r="F5" s="30" t="n">
        <v>0.15</v>
      </c>
      <c r="G5" s="34" t="n">
        <v>8</v>
      </c>
      <c r="H5" s="32" t="s">
        <v>1634</v>
      </c>
      <c r="I5" s="29" t="s">
        <v>646</v>
      </c>
      <c r="J5" s="33" t="s">
        <v>1635</v>
      </c>
      <c r="K5" s="22" t="s">
        <v>441</v>
      </c>
      <c r="L5" s="1" t="n">
        <v>0.15</v>
      </c>
      <c r="M5" s="7" t="s">
        <v>608</v>
      </c>
      <c r="N5" s="7" t="s">
        <v>409</v>
      </c>
      <c r="O5" s="1" t="s">
        <v>410</v>
      </c>
      <c r="P5" s="1" t="n">
        <f aca="false">ROUND(SUMPRODUCT(F10:F13,G10:G13)/SUM(F10:F13),1)</f>
        <v>6.5</v>
      </c>
    </row>
    <row r="6" customFormat="false" ht="14.25" hidden="false" customHeight="true" outlineLevel="0" collapsed="false">
      <c r="A6" s="29" t="s">
        <v>1636</v>
      </c>
      <c r="B6" s="22" t="s">
        <v>1637</v>
      </c>
      <c r="C6" s="29" t="s">
        <v>747</v>
      </c>
      <c r="D6" s="22" t="s">
        <v>1638</v>
      </c>
      <c r="E6" s="22" t="s">
        <v>925</v>
      </c>
      <c r="F6" s="30" t="n">
        <v>0.1</v>
      </c>
      <c r="G6" s="34" t="n">
        <v>8</v>
      </c>
      <c r="H6" s="32" t="s">
        <v>1094</v>
      </c>
      <c r="I6" s="29" t="s">
        <v>532</v>
      </c>
      <c r="J6" s="33" t="s">
        <v>1639</v>
      </c>
      <c r="K6" s="22" t="s">
        <v>441</v>
      </c>
      <c r="L6" s="1" t="n">
        <v>0.1</v>
      </c>
      <c r="M6" s="7" t="s">
        <v>608</v>
      </c>
      <c r="N6" s="7" t="s">
        <v>679</v>
      </c>
      <c r="O6" s="1" t="s">
        <v>420</v>
      </c>
      <c r="P6" s="1" t="n">
        <f aca="false">ROUND(SUMPRODUCT(F15:F17,G15:G17)/SUM(F15:F17),1)</f>
        <v>6</v>
      </c>
    </row>
    <row r="7" customFormat="false" ht="28.5" hidden="false" customHeight="true" outlineLevel="0" collapsed="false">
      <c r="A7" s="29" t="s">
        <v>1640</v>
      </c>
      <c r="B7" s="22" t="s">
        <v>1641</v>
      </c>
      <c r="C7" s="29" t="s">
        <v>987</v>
      </c>
      <c r="D7" s="22" t="s">
        <v>498</v>
      </c>
      <c r="E7" s="22" t="s">
        <v>431</v>
      </c>
      <c r="F7" s="30" t="n">
        <v>0.12</v>
      </c>
      <c r="G7" s="34" t="n">
        <v>8</v>
      </c>
      <c r="H7" s="32" t="s">
        <v>1340</v>
      </c>
      <c r="I7" s="29" t="s">
        <v>672</v>
      </c>
      <c r="J7" s="33" t="s">
        <v>1642</v>
      </c>
      <c r="K7" s="22" t="s">
        <v>407</v>
      </c>
      <c r="L7" s="1" t="n">
        <v>0.12</v>
      </c>
      <c r="M7" s="7" t="s">
        <v>608</v>
      </c>
      <c r="N7" s="7" t="s">
        <v>419</v>
      </c>
    </row>
    <row r="8" customFormat="false" ht="28.5" hidden="false" customHeight="true" outlineLevel="0" collapsed="false">
      <c r="A8" s="29" t="s">
        <v>1643</v>
      </c>
      <c r="B8" s="22" t="s">
        <v>1176</v>
      </c>
      <c r="C8" s="29" t="s">
        <v>540</v>
      </c>
      <c r="D8" s="29" t="s">
        <v>402</v>
      </c>
      <c r="E8" s="22" t="s">
        <v>431</v>
      </c>
      <c r="F8" s="30" t="n">
        <v>0.08</v>
      </c>
      <c r="G8" s="34" t="n">
        <v>8</v>
      </c>
      <c r="H8" s="32" t="s">
        <v>541</v>
      </c>
      <c r="I8" s="29" t="s">
        <v>454</v>
      </c>
      <c r="J8" s="33" t="s">
        <v>1644</v>
      </c>
      <c r="K8" s="22" t="s">
        <v>441</v>
      </c>
      <c r="L8" s="1" t="n">
        <v>0.08</v>
      </c>
      <c r="M8" s="7" t="s">
        <v>608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1645</v>
      </c>
      <c r="B10" s="22" t="s">
        <v>1646</v>
      </c>
      <c r="C10" s="29" t="s">
        <v>981</v>
      </c>
      <c r="D10" s="29" t="s">
        <v>402</v>
      </c>
      <c r="E10" s="22" t="s">
        <v>431</v>
      </c>
      <c r="F10" s="30" t="n">
        <v>0.105</v>
      </c>
      <c r="G10" s="31" t="n">
        <v>6</v>
      </c>
      <c r="H10" s="32" t="s">
        <v>972</v>
      </c>
      <c r="I10" s="29" t="s">
        <v>447</v>
      </c>
      <c r="J10" s="33" t="s">
        <v>1647</v>
      </c>
      <c r="K10" s="22" t="s">
        <v>407</v>
      </c>
      <c r="L10" s="1" t="n">
        <v>0.12</v>
      </c>
      <c r="M10" s="7" t="s">
        <v>449</v>
      </c>
      <c r="N10" s="7" t="s">
        <v>409</v>
      </c>
    </row>
    <row r="11" customFormat="false" ht="28.5" hidden="false" customHeight="true" outlineLevel="0" collapsed="false">
      <c r="A11" s="29" t="s">
        <v>1648</v>
      </c>
      <c r="B11" s="22" t="s">
        <v>1646</v>
      </c>
      <c r="C11" s="29" t="s">
        <v>766</v>
      </c>
      <c r="D11" s="29" t="s">
        <v>402</v>
      </c>
      <c r="E11" s="22" t="s">
        <v>431</v>
      </c>
      <c r="F11" s="30" t="n">
        <v>0.0875</v>
      </c>
      <c r="G11" s="31" t="n">
        <v>6</v>
      </c>
      <c r="H11" s="32" t="s">
        <v>972</v>
      </c>
      <c r="I11" s="29" t="s">
        <v>460</v>
      </c>
      <c r="J11" s="33" t="s">
        <v>1649</v>
      </c>
      <c r="K11" s="22" t="s">
        <v>407</v>
      </c>
      <c r="L11" s="1" t="n">
        <v>0.1</v>
      </c>
      <c r="M11" s="7" t="s">
        <v>449</v>
      </c>
      <c r="N11" s="7" t="s">
        <v>409</v>
      </c>
    </row>
    <row r="12" customFormat="false" ht="28.5" hidden="false" customHeight="true" outlineLevel="0" collapsed="false">
      <c r="A12" s="29" t="s">
        <v>1650</v>
      </c>
      <c r="B12" s="22" t="s">
        <v>1262</v>
      </c>
      <c r="C12" s="29" t="s">
        <v>659</v>
      </c>
      <c r="D12" s="29" t="s">
        <v>402</v>
      </c>
      <c r="E12" s="22" t="s">
        <v>431</v>
      </c>
      <c r="F12" s="30" t="n">
        <v>0.0875</v>
      </c>
      <c r="G12" s="34" t="n">
        <v>8</v>
      </c>
      <c r="H12" s="32" t="s">
        <v>660</v>
      </c>
      <c r="I12" s="29" t="s">
        <v>532</v>
      </c>
      <c r="J12" s="33" t="s">
        <v>1651</v>
      </c>
      <c r="K12" s="22" t="s">
        <v>475</v>
      </c>
      <c r="L12" s="1" t="n">
        <v>0.1</v>
      </c>
      <c r="M12" s="7" t="s">
        <v>449</v>
      </c>
      <c r="N12" s="7" t="s">
        <v>679</v>
      </c>
    </row>
    <row r="13" customFormat="false" ht="28.5" hidden="false" customHeight="true" outlineLevel="0" collapsed="false">
      <c r="A13" s="29" t="s">
        <v>1652</v>
      </c>
      <c r="B13" s="22" t="s">
        <v>436</v>
      </c>
      <c r="C13" s="29" t="s">
        <v>540</v>
      </c>
      <c r="D13" s="29" t="s">
        <v>402</v>
      </c>
      <c r="E13" s="22" t="s">
        <v>431</v>
      </c>
      <c r="F13" s="30" t="n">
        <v>0.07</v>
      </c>
      <c r="G13" s="31" t="n">
        <v>6</v>
      </c>
      <c r="H13" s="32" t="s">
        <v>541</v>
      </c>
      <c r="I13" s="29" t="s">
        <v>460</v>
      </c>
      <c r="J13" s="33" t="s">
        <v>1653</v>
      </c>
      <c r="K13" s="22" t="s">
        <v>407</v>
      </c>
      <c r="L13" s="1" t="n">
        <v>0.08</v>
      </c>
      <c r="M13" s="7" t="s">
        <v>449</v>
      </c>
      <c r="N13" s="7" t="s">
        <v>589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1654</v>
      </c>
      <c r="B15" s="22" t="s">
        <v>470</v>
      </c>
      <c r="C15" s="29" t="s">
        <v>1152</v>
      </c>
      <c r="D15" s="22" t="s">
        <v>592</v>
      </c>
      <c r="E15" s="22" t="s">
        <v>431</v>
      </c>
      <c r="F15" s="30" t="n">
        <v>0.08</v>
      </c>
      <c r="G15" s="31" t="n">
        <v>6</v>
      </c>
      <c r="H15" s="32" t="s">
        <v>1361</v>
      </c>
      <c r="I15" s="29" t="s">
        <v>433</v>
      </c>
      <c r="J15" s="32" t="s">
        <v>1655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1656</v>
      </c>
      <c r="B16" s="22" t="s">
        <v>470</v>
      </c>
      <c r="C16" s="29" t="s">
        <v>705</v>
      </c>
      <c r="D16" s="29" t="s">
        <v>472</v>
      </c>
      <c r="E16" s="22" t="s">
        <v>431</v>
      </c>
      <c r="F16" s="30" t="n">
        <v>0.064</v>
      </c>
      <c r="G16" s="31" t="n">
        <v>6</v>
      </c>
      <c r="H16" s="32" t="s">
        <v>706</v>
      </c>
      <c r="I16" s="29" t="s">
        <v>433</v>
      </c>
      <c r="J16" s="33" t="s">
        <v>1657</v>
      </c>
      <c r="K16" s="22" t="s">
        <v>475</v>
      </c>
      <c r="L16" s="1" t="n">
        <v>0.08</v>
      </c>
      <c r="M16" s="7" t="s">
        <v>745</v>
      </c>
      <c r="N16" s="7" t="s">
        <v>419</v>
      </c>
    </row>
    <row r="17" customFormat="false" ht="28.5" hidden="false" customHeight="true" outlineLevel="0" collapsed="false">
      <c r="A17" s="29" t="s">
        <v>1658</v>
      </c>
      <c r="B17" s="22" t="s">
        <v>470</v>
      </c>
      <c r="C17" s="29" t="s">
        <v>1201</v>
      </c>
      <c r="D17" s="22" t="s">
        <v>525</v>
      </c>
      <c r="E17" s="22" t="s">
        <v>431</v>
      </c>
      <c r="F17" s="30" t="n">
        <v>0.056</v>
      </c>
      <c r="G17" s="31" t="n">
        <v>6</v>
      </c>
      <c r="H17" s="32" t="s">
        <v>1659</v>
      </c>
      <c r="I17" s="29" t="s">
        <v>447</v>
      </c>
      <c r="J17" s="33" t="s">
        <v>1660</v>
      </c>
      <c r="K17" s="22" t="s">
        <v>475</v>
      </c>
      <c r="L17" s="1" t="n">
        <v>0.07</v>
      </c>
      <c r="M17" s="7" t="s">
        <v>745</v>
      </c>
      <c r="N17" s="7" t="s">
        <v>529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7.1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1661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1662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ROUND(SUMPRODUCT(F5:F8,G5:G8)/SUM(F5:F8),1)</f>
        <v>5.8</v>
      </c>
    </row>
    <row r="5" customFormat="false" ht="28.5" hidden="false" customHeight="true" outlineLevel="0" collapsed="false">
      <c r="A5" s="29" t="s">
        <v>1663</v>
      </c>
      <c r="B5" s="22" t="s">
        <v>436</v>
      </c>
      <c r="C5" s="29" t="s">
        <v>1044</v>
      </c>
      <c r="D5" s="29" t="s">
        <v>402</v>
      </c>
      <c r="E5" s="22" t="s">
        <v>431</v>
      </c>
      <c r="F5" s="30" t="n">
        <v>0.1333</v>
      </c>
      <c r="G5" s="31" t="n">
        <v>6</v>
      </c>
      <c r="H5" s="32" t="s">
        <v>1045</v>
      </c>
      <c r="I5" s="29" t="s">
        <v>439</v>
      </c>
      <c r="J5" s="33" t="s">
        <v>1664</v>
      </c>
      <c r="K5" s="22" t="s">
        <v>475</v>
      </c>
      <c r="L5" s="1" t="n">
        <v>0.15</v>
      </c>
      <c r="M5" s="7" t="s">
        <v>629</v>
      </c>
      <c r="N5" s="7" t="s">
        <v>589</v>
      </c>
      <c r="O5" s="1" t="s">
        <v>410</v>
      </c>
      <c r="P5" s="1" t="n">
        <f aca="false">ROUND(SUMPRODUCT(F10:F13,G10:G13)/SUM(F10:F13),1)</f>
        <v>7.6</v>
      </c>
    </row>
    <row r="6" customFormat="false" ht="28.5" hidden="false" customHeight="true" outlineLevel="0" collapsed="false">
      <c r="A6" s="29" t="s">
        <v>1665</v>
      </c>
      <c r="B6" s="22" t="s">
        <v>429</v>
      </c>
      <c r="C6" s="29" t="s">
        <v>733</v>
      </c>
      <c r="D6" s="29" t="s">
        <v>402</v>
      </c>
      <c r="E6" s="22" t="s">
        <v>431</v>
      </c>
      <c r="F6" s="30" t="n">
        <v>0.0889</v>
      </c>
      <c r="G6" s="31" t="n">
        <v>6</v>
      </c>
      <c r="H6" s="32" t="s">
        <v>541</v>
      </c>
      <c r="I6" s="29" t="s">
        <v>447</v>
      </c>
      <c r="J6" s="33" t="s">
        <v>1666</v>
      </c>
      <c r="K6" s="22" t="s">
        <v>407</v>
      </c>
      <c r="L6" s="1" t="n">
        <v>0.1</v>
      </c>
      <c r="M6" s="7" t="s">
        <v>629</v>
      </c>
      <c r="N6" s="7" t="s">
        <v>409</v>
      </c>
      <c r="O6" s="1" t="s">
        <v>420</v>
      </c>
      <c r="P6" s="1" t="n">
        <f aca="false">ROUND(SUMPRODUCT(F15:F17,G15:G17)/SUM(F15:F17),1)</f>
        <v>7.2</v>
      </c>
    </row>
    <row r="7" customFormat="false" ht="28.5" hidden="false" customHeight="true" outlineLevel="0" collapsed="false">
      <c r="A7" s="29" t="s">
        <v>763</v>
      </c>
      <c r="B7" s="22" t="s">
        <v>436</v>
      </c>
      <c r="C7" s="29" t="s">
        <v>688</v>
      </c>
      <c r="D7" s="22" t="s">
        <v>458</v>
      </c>
      <c r="E7" s="22" t="s">
        <v>424</v>
      </c>
      <c r="F7" s="30" t="n">
        <v>0.1067</v>
      </c>
      <c r="G7" s="38" t="n">
        <v>4</v>
      </c>
      <c r="H7" s="32" t="s">
        <v>459</v>
      </c>
      <c r="I7" s="29" t="s">
        <v>718</v>
      </c>
      <c r="J7" s="33" t="s">
        <v>1667</v>
      </c>
      <c r="K7" s="22" t="s">
        <v>407</v>
      </c>
      <c r="L7" s="1" t="n">
        <v>0.12</v>
      </c>
      <c r="M7" s="7" t="s">
        <v>629</v>
      </c>
      <c r="N7" s="7" t="s">
        <v>409</v>
      </c>
    </row>
    <row r="8" customFormat="false" ht="28.5" hidden="false" customHeight="true" outlineLevel="0" collapsed="false">
      <c r="A8" s="29" t="s">
        <v>1668</v>
      </c>
      <c r="B8" s="22" t="s">
        <v>1669</v>
      </c>
      <c r="C8" s="29" t="s">
        <v>712</v>
      </c>
      <c r="D8" s="29" t="s">
        <v>402</v>
      </c>
      <c r="E8" s="22" t="s">
        <v>431</v>
      </c>
      <c r="F8" s="30" t="n">
        <v>0.0711</v>
      </c>
      <c r="G8" s="34" t="n">
        <v>8</v>
      </c>
      <c r="H8" s="32" t="s">
        <v>886</v>
      </c>
      <c r="I8" s="29" t="s">
        <v>454</v>
      </c>
      <c r="J8" s="33" t="s">
        <v>1670</v>
      </c>
      <c r="K8" s="22" t="s">
        <v>407</v>
      </c>
      <c r="L8" s="1" t="n">
        <v>0.08</v>
      </c>
      <c r="M8" s="7" t="s">
        <v>629</v>
      </c>
      <c r="N8" s="7" t="s">
        <v>409</v>
      </c>
    </row>
    <row r="9" customFormat="false" ht="13.5" hidden="false" customHeight="true" outlineLevel="0" collapsed="false">
      <c r="A9" s="28" t="s">
        <v>442</v>
      </c>
      <c r="B9" s="28"/>
      <c r="C9" s="28"/>
      <c r="D9" s="28"/>
      <c r="E9" s="28"/>
      <c r="F9" s="28"/>
      <c r="G9" s="28"/>
      <c r="H9" s="28"/>
      <c r="I9" s="28"/>
      <c r="J9" s="28"/>
      <c r="K9" s="28"/>
    </row>
    <row r="10" customFormat="false" ht="28.5" hidden="false" customHeight="true" outlineLevel="0" collapsed="false">
      <c r="A10" s="29" t="s">
        <v>1671</v>
      </c>
      <c r="B10" s="22" t="s">
        <v>436</v>
      </c>
      <c r="C10" s="29" t="s">
        <v>540</v>
      </c>
      <c r="D10" s="29" t="s">
        <v>402</v>
      </c>
      <c r="E10" s="22" t="s">
        <v>431</v>
      </c>
      <c r="F10" s="30" t="n">
        <v>0.1463</v>
      </c>
      <c r="G10" s="34" t="n">
        <v>8</v>
      </c>
      <c r="H10" s="32" t="s">
        <v>977</v>
      </c>
      <c r="I10" s="29" t="s">
        <v>460</v>
      </c>
      <c r="J10" s="33" t="s">
        <v>1672</v>
      </c>
      <c r="K10" s="22" t="s">
        <v>407</v>
      </c>
      <c r="L10" s="1" t="n">
        <v>0.15</v>
      </c>
      <c r="M10" s="7" t="s">
        <v>629</v>
      </c>
      <c r="N10" s="7" t="s">
        <v>589</v>
      </c>
    </row>
    <row r="11" customFormat="false" ht="28.5" hidden="false" customHeight="true" outlineLevel="0" collapsed="false">
      <c r="A11" s="29" t="s">
        <v>1673</v>
      </c>
      <c r="B11" s="22" t="s">
        <v>1318</v>
      </c>
      <c r="C11" s="29" t="s">
        <v>622</v>
      </c>
      <c r="D11" s="29" t="s">
        <v>402</v>
      </c>
      <c r="E11" s="22" t="s">
        <v>431</v>
      </c>
      <c r="F11" s="30" t="n">
        <v>0.0976</v>
      </c>
      <c r="G11" s="34" t="n">
        <v>8</v>
      </c>
      <c r="H11" s="32" t="s">
        <v>785</v>
      </c>
      <c r="I11" s="29" t="s">
        <v>672</v>
      </c>
      <c r="J11" s="33" t="s">
        <v>1674</v>
      </c>
      <c r="K11" s="22" t="s">
        <v>441</v>
      </c>
      <c r="L11" s="1" t="n">
        <v>0.1</v>
      </c>
      <c r="M11" s="7" t="s">
        <v>629</v>
      </c>
      <c r="N11" s="7" t="s">
        <v>409</v>
      </c>
    </row>
    <row r="12" customFormat="false" ht="28.5" hidden="false" customHeight="true" outlineLevel="0" collapsed="false">
      <c r="A12" s="29" t="s">
        <v>1675</v>
      </c>
      <c r="B12" s="22" t="s">
        <v>436</v>
      </c>
      <c r="C12" s="29" t="s">
        <v>733</v>
      </c>
      <c r="D12" s="29" t="s">
        <v>402</v>
      </c>
      <c r="E12" s="22" t="s">
        <v>431</v>
      </c>
      <c r="F12" s="30" t="n">
        <v>0.078</v>
      </c>
      <c r="G12" s="31" t="n">
        <v>6</v>
      </c>
      <c r="H12" s="32" t="s">
        <v>541</v>
      </c>
      <c r="I12" s="29" t="s">
        <v>447</v>
      </c>
      <c r="J12" s="33" t="s">
        <v>1676</v>
      </c>
      <c r="K12" s="22" t="s">
        <v>407</v>
      </c>
      <c r="L12" s="1" t="n">
        <v>0.08</v>
      </c>
      <c r="M12" s="7" t="s">
        <v>629</v>
      </c>
      <c r="N12" s="7" t="s">
        <v>589</v>
      </c>
    </row>
    <row r="13" customFormat="false" ht="28.5" hidden="false" customHeight="true" outlineLevel="0" collapsed="false">
      <c r="A13" s="29" t="s">
        <v>1677</v>
      </c>
      <c r="B13" s="22" t="s">
        <v>1678</v>
      </c>
      <c r="C13" s="29" t="s">
        <v>659</v>
      </c>
      <c r="D13" s="29" t="s">
        <v>402</v>
      </c>
      <c r="E13" s="22" t="s">
        <v>431</v>
      </c>
      <c r="F13" s="30" t="n">
        <v>0.078</v>
      </c>
      <c r="G13" s="34" t="n">
        <v>8</v>
      </c>
      <c r="H13" s="32" t="s">
        <v>785</v>
      </c>
      <c r="I13" s="29" t="s">
        <v>672</v>
      </c>
      <c r="J13" s="33" t="s">
        <v>1679</v>
      </c>
      <c r="K13" s="22" t="s">
        <v>407</v>
      </c>
      <c r="L13" s="1" t="n">
        <v>0.08</v>
      </c>
      <c r="M13" s="7" t="s">
        <v>629</v>
      </c>
      <c r="N13" s="7" t="s">
        <v>409</v>
      </c>
    </row>
    <row r="14" customFormat="false" ht="13.5" hidden="false" customHeight="true" outlineLevel="0" collapsed="false">
      <c r="A14" s="28" t="s">
        <v>468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28.5" hidden="false" customHeight="true" outlineLevel="0" collapsed="false">
      <c r="A15" s="29" t="s">
        <v>1680</v>
      </c>
      <c r="B15" s="22" t="s">
        <v>470</v>
      </c>
      <c r="C15" s="29" t="s">
        <v>901</v>
      </c>
      <c r="D15" s="22" t="s">
        <v>592</v>
      </c>
      <c r="E15" s="22" t="s">
        <v>431</v>
      </c>
      <c r="F15" s="30" t="n">
        <v>0.08</v>
      </c>
      <c r="G15" s="31" t="n">
        <v>6</v>
      </c>
      <c r="H15" s="32" t="s">
        <v>1098</v>
      </c>
      <c r="I15" s="29" t="s">
        <v>433</v>
      </c>
      <c r="J15" s="32" t="s">
        <v>1681</v>
      </c>
      <c r="K15" s="22" t="s">
        <v>475</v>
      </c>
      <c r="L15" s="1" t="n">
        <v>0.1</v>
      </c>
      <c r="M15" s="7" t="s">
        <v>745</v>
      </c>
      <c r="N15" s="7" t="s">
        <v>477</v>
      </c>
    </row>
    <row r="16" customFormat="false" ht="28.5" hidden="false" customHeight="true" outlineLevel="0" collapsed="false">
      <c r="A16" s="29" t="s">
        <v>1682</v>
      </c>
      <c r="B16" s="22" t="s">
        <v>470</v>
      </c>
      <c r="C16" s="29" t="s">
        <v>945</v>
      </c>
      <c r="D16" s="29" t="s">
        <v>472</v>
      </c>
      <c r="E16" s="22" t="s">
        <v>431</v>
      </c>
      <c r="F16" s="30" t="n">
        <v>0.064</v>
      </c>
      <c r="G16" s="34" t="n">
        <v>8</v>
      </c>
      <c r="H16" s="32" t="s">
        <v>898</v>
      </c>
      <c r="I16" s="29" t="s">
        <v>646</v>
      </c>
      <c r="J16" s="33" t="s">
        <v>1683</v>
      </c>
      <c r="K16" s="22" t="s">
        <v>475</v>
      </c>
      <c r="L16" s="1" t="n">
        <v>0.08</v>
      </c>
      <c r="M16" s="7" t="s">
        <v>745</v>
      </c>
      <c r="N16" s="7" t="s">
        <v>419</v>
      </c>
    </row>
    <row r="17" customFormat="false" ht="28.5" hidden="false" customHeight="true" outlineLevel="0" collapsed="false">
      <c r="A17" s="29" t="s">
        <v>1684</v>
      </c>
      <c r="B17" s="22" t="s">
        <v>470</v>
      </c>
      <c r="C17" s="29" t="s">
        <v>1685</v>
      </c>
      <c r="D17" s="29" t="s">
        <v>472</v>
      </c>
      <c r="E17" s="22" t="s">
        <v>424</v>
      </c>
      <c r="F17" s="30" t="n">
        <v>0.056</v>
      </c>
      <c r="G17" s="34" t="n">
        <v>8</v>
      </c>
      <c r="H17" s="32" t="s">
        <v>1686</v>
      </c>
      <c r="I17" s="29" t="s">
        <v>447</v>
      </c>
      <c r="J17" s="33" t="s">
        <v>1687</v>
      </c>
      <c r="K17" s="22" t="s">
        <v>475</v>
      </c>
      <c r="L17" s="1" t="n">
        <v>0.07</v>
      </c>
      <c r="M17" s="7" t="s">
        <v>745</v>
      </c>
      <c r="N17" s="7" t="s">
        <v>409</v>
      </c>
    </row>
    <row r="18" customFormat="false" ht="17.25" hidden="false" customHeight="true" outlineLevel="0" collapsed="false">
      <c r="A18" s="35" t="s">
        <v>485</v>
      </c>
      <c r="B18" s="35"/>
      <c r="C18" s="35"/>
      <c r="D18" s="35"/>
      <c r="E18" s="35"/>
      <c r="F18" s="35"/>
      <c r="G18" s="39" t="n">
        <f aca="false">ROUND(SUMPRODUCT(F5:F17,G5:G17),1)</f>
        <v>6.8</v>
      </c>
      <c r="H18" s="37" t="s">
        <v>486</v>
      </c>
      <c r="I18" s="37"/>
      <c r="J18" s="37"/>
      <c r="K18" s="37"/>
    </row>
  </sheetData>
  <mergeCells count="7">
    <mergeCell ref="A1:K1"/>
    <mergeCell ref="A2:K2"/>
    <mergeCell ref="A4:K4"/>
    <mergeCell ref="A9:K9"/>
    <mergeCell ref="A14:K14"/>
    <mergeCell ref="A18:F18"/>
    <mergeCell ref="H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1688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1689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ROUND(SUMPRODUCT(F5:F12,G5:G12)/SUM(F5:F12),1)</f>
        <v>8</v>
      </c>
    </row>
    <row r="5" customFormat="false" ht="28.5" hidden="false" customHeight="true" outlineLevel="0" collapsed="false">
      <c r="A5" s="29" t="s">
        <v>657</v>
      </c>
      <c r="B5" s="29" t="s">
        <v>658</v>
      </c>
      <c r="C5" s="29" t="s">
        <v>659</v>
      </c>
      <c r="D5" s="29" t="s">
        <v>402</v>
      </c>
      <c r="E5" s="22" t="s">
        <v>431</v>
      </c>
      <c r="F5" s="30" t="n">
        <v>0.075</v>
      </c>
      <c r="G5" s="34" t="n">
        <v>8</v>
      </c>
      <c r="H5" s="32" t="s">
        <v>660</v>
      </c>
      <c r="I5" s="29" t="s">
        <v>653</v>
      </c>
      <c r="J5" s="33" t="s">
        <v>661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ROUND(SUMPRODUCT(F14:F17,G14:G17)/SUM(F14:F17),1)</f>
        <v>7.6</v>
      </c>
    </row>
    <row r="6" customFormat="false" ht="28.5" hidden="false" customHeight="true" outlineLevel="0" collapsed="false">
      <c r="A6" s="29" t="s">
        <v>1690</v>
      </c>
      <c r="B6" s="29" t="s">
        <v>663</v>
      </c>
      <c r="C6" s="29" t="s">
        <v>664</v>
      </c>
      <c r="D6" s="29" t="s">
        <v>567</v>
      </c>
      <c r="E6" s="22" t="s">
        <v>414</v>
      </c>
      <c r="F6" s="30" t="n">
        <v>0.06</v>
      </c>
      <c r="G6" s="34" t="n">
        <v>9</v>
      </c>
      <c r="H6" s="33" t="s">
        <v>665</v>
      </c>
      <c r="I6" s="29" t="s">
        <v>666</v>
      </c>
      <c r="J6" s="33" t="s">
        <v>667</v>
      </c>
      <c r="K6" s="22" t="s">
        <v>418</v>
      </c>
      <c r="L6" s="1" t="n">
        <v>0.12</v>
      </c>
      <c r="M6" s="7" t="s">
        <v>408</v>
      </c>
      <c r="N6" s="7" t="s">
        <v>419</v>
      </c>
      <c r="O6" s="1" t="s">
        <v>420</v>
      </c>
      <c r="P6" s="1" t="n">
        <f aca="false">ROUND(SUMPRODUCT(F19:F21,G19:G21)/SUM(F19:F21),1)</f>
        <v>8.6</v>
      </c>
    </row>
    <row r="7" customFormat="false" ht="28.5" hidden="false" customHeight="true" outlineLevel="0" collapsed="false">
      <c r="A7" s="29" t="s">
        <v>668</v>
      </c>
      <c r="B7" s="29" t="s">
        <v>669</v>
      </c>
      <c r="C7" s="29" t="s">
        <v>670</v>
      </c>
      <c r="D7" s="29" t="s">
        <v>402</v>
      </c>
      <c r="E7" s="22" t="s">
        <v>431</v>
      </c>
      <c r="F7" s="30" t="n">
        <v>0.05</v>
      </c>
      <c r="G7" s="31" t="n">
        <v>7</v>
      </c>
      <c r="H7" s="32" t="s">
        <v>671</v>
      </c>
      <c r="I7" s="29" t="s">
        <v>672</v>
      </c>
      <c r="J7" s="33" t="s">
        <v>673</v>
      </c>
      <c r="K7" s="22" t="s">
        <v>475</v>
      </c>
      <c r="L7" s="1" t="n">
        <v>0.1</v>
      </c>
      <c r="M7" s="7" t="s">
        <v>408</v>
      </c>
      <c r="N7" s="7" t="s">
        <v>589</v>
      </c>
    </row>
    <row r="8" customFormat="false" ht="28.5" hidden="false" customHeight="true" outlineLevel="0" collapsed="false">
      <c r="A8" s="29" t="s">
        <v>1691</v>
      </c>
      <c r="B8" s="22" t="s">
        <v>1692</v>
      </c>
      <c r="C8" s="29" t="s">
        <v>676</v>
      </c>
      <c r="D8" s="29" t="s">
        <v>402</v>
      </c>
      <c r="E8" s="22" t="s">
        <v>431</v>
      </c>
      <c r="F8" s="30" t="n">
        <v>0.065</v>
      </c>
      <c r="G8" s="34" t="n">
        <v>8</v>
      </c>
      <c r="H8" s="32" t="s">
        <v>677</v>
      </c>
      <c r="I8" s="29" t="s">
        <v>646</v>
      </c>
      <c r="J8" s="33" t="s">
        <v>678</v>
      </c>
      <c r="K8" s="22" t="s">
        <v>475</v>
      </c>
      <c r="L8" s="1" t="n">
        <v>0.13</v>
      </c>
      <c r="M8" s="7" t="s">
        <v>408</v>
      </c>
      <c r="N8" s="7" t="s">
        <v>679</v>
      </c>
    </row>
    <row r="9" customFormat="false" ht="28.5" hidden="false" customHeight="true" outlineLevel="0" collapsed="false">
      <c r="A9" s="29" t="s">
        <v>680</v>
      </c>
      <c r="B9" s="22" t="s">
        <v>681</v>
      </c>
      <c r="C9" s="29" t="s">
        <v>682</v>
      </c>
      <c r="D9" s="22" t="s">
        <v>525</v>
      </c>
      <c r="E9" s="22" t="s">
        <v>683</v>
      </c>
      <c r="F9" s="30" t="n">
        <v>0.06</v>
      </c>
      <c r="G9" s="34" t="n">
        <v>9</v>
      </c>
      <c r="H9" s="33" t="s">
        <v>684</v>
      </c>
      <c r="I9" s="29" t="s">
        <v>426</v>
      </c>
      <c r="J9" s="33" t="s">
        <v>685</v>
      </c>
      <c r="K9" s="22" t="s">
        <v>475</v>
      </c>
      <c r="L9" s="1" t="n">
        <v>0.12</v>
      </c>
      <c r="M9" s="7" t="s">
        <v>408</v>
      </c>
      <c r="N9" s="7" t="s">
        <v>529</v>
      </c>
    </row>
    <row r="10" customFormat="false" ht="28.5" hidden="false" customHeight="true" outlineLevel="0" collapsed="false">
      <c r="A10" s="29" t="s">
        <v>1693</v>
      </c>
      <c r="B10" s="22" t="s">
        <v>1694</v>
      </c>
      <c r="C10" s="29" t="s">
        <v>712</v>
      </c>
      <c r="D10" s="29" t="s">
        <v>402</v>
      </c>
      <c r="E10" s="22" t="s">
        <v>431</v>
      </c>
      <c r="F10" s="30" t="n">
        <v>0.065</v>
      </c>
      <c r="G10" s="31" t="n">
        <v>6</v>
      </c>
      <c r="H10" s="32" t="s">
        <v>1695</v>
      </c>
      <c r="I10" s="29" t="s">
        <v>460</v>
      </c>
      <c r="J10" s="33" t="s">
        <v>1696</v>
      </c>
      <c r="K10" s="22" t="s">
        <v>475</v>
      </c>
      <c r="L10" s="1" t="n">
        <v>0.13</v>
      </c>
      <c r="M10" s="7" t="s">
        <v>408</v>
      </c>
      <c r="N10" s="7" t="s">
        <v>409</v>
      </c>
    </row>
    <row r="11" customFormat="false" ht="28.5" hidden="false" customHeight="true" outlineLevel="0" collapsed="false">
      <c r="A11" s="29" t="s">
        <v>1697</v>
      </c>
      <c r="B11" s="22" t="s">
        <v>1698</v>
      </c>
      <c r="C11" s="29" t="s">
        <v>1382</v>
      </c>
      <c r="D11" s="29" t="s">
        <v>402</v>
      </c>
      <c r="E11" s="22" t="s">
        <v>1699</v>
      </c>
      <c r="F11" s="30" t="n">
        <v>0.06</v>
      </c>
      <c r="G11" s="34" t="n">
        <v>9</v>
      </c>
      <c r="H11" s="32" t="s">
        <v>1695</v>
      </c>
      <c r="I11" s="29" t="s">
        <v>627</v>
      </c>
      <c r="J11" s="33" t="s">
        <v>1700</v>
      </c>
      <c r="K11" s="22" t="s">
        <v>475</v>
      </c>
      <c r="L11" s="1" t="n">
        <v>0.12</v>
      </c>
      <c r="M11" s="7" t="s">
        <v>408</v>
      </c>
      <c r="N11" s="7" t="s">
        <v>679</v>
      </c>
    </row>
    <row r="12" customFormat="false" ht="28.5" hidden="false" customHeight="true" outlineLevel="0" collapsed="false">
      <c r="A12" s="29" t="s">
        <v>1701</v>
      </c>
      <c r="B12" s="22" t="s">
        <v>1702</v>
      </c>
      <c r="C12" s="29" t="s">
        <v>766</v>
      </c>
      <c r="D12" s="29" t="s">
        <v>1703</v>
      </c>
      <c r="E12" s="22" t="s">
        <v>1704</v>
      </c>
      <c r="F12" s="30" t="n">
        <v>0.065</v>
      </c>
      <c r="G12" s="34" t="n">
        <v>8</v>
      </c>
      <c r="H12" s="33" t="s">
        <v>1705</v>
      </c>
      <c r="I12" s="29" t="s">
        <v>532</v>
      </c>
      <c r="J12" s="33" t="s">
        <v>1706</v>
      </c>
      <c r="K12" s="22" t="s">
        <v>1707</v>
      </c>
      <c r="L12" s="1" t="n">
        <v>0.13</v>
      </c>
      <c r="M12" s="7" t="s">
        <v>408</v>
      </c>
      <c r="N12" s="7" t="s">
        <v>409</v>
      </c>
    </row>
    <row r="13" customFormat="false" ht="13.5" hidden="false" customHeight="true" outlineLevel="0" collapsed="false">
      <c r="A13" s="28" t="s">
        <v>442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customFormat="false" ht="28.5" hidden="false" customHeight="true" outlineLevel="0" collapsed="false">
      <c r="A14" s="29" t="s">
        <v>1708</v>
      </c>
      <c r="B14" s="22" t="s">
        <v>687</v>
      </c>
      <c r="C14" s="29" t="s">
        <v>688</v>
      </c>
      <c r="D14" s="29" t="s">
        <v>472</v>
      </c>
      <c r="E14" s="22" t="s">
        <v>431</v>
      </c>
      <c r="F14" s="30" t="n">
        <v>0.1167</v>
      </c>
      <c r="G14" s="34" t="n">
        <v>8</v>
      </c>
      <c r="H14" s="32" t="s">
        <v>689</v>
      </c>
      <c r="I14" s="29" t="s">
        <v>646</v>
      </c>
      <c r="J14" s="33" t="s">
        <v>690</v>
      </c>
      <c r="K14" s="22" t="s">
        <v>407</v>
      </c>
      <c r="L14" s="1" t="n">
        <v>0.15</v>
      </c>
      <c r="M14" s="7" t="s">
        <v>449</v>
      </c>
      <c r="N14" s="7" t="s">
        <v>477</v>
      </c>
    </row>
    <row r="15" customFormat="false" ht="28.5" hidden="false" customHeight="true" outlineLevel="0" collapsed="false">
      <c r="A15" s="29" t="s">
        <v>1709</v>
      </c>
      <c r="B15" s="29" t="s">
        <v>669</v>
      </c>
      <c r="C15" s="29" t="s">
        <v>1087</v>
      </c>
      <c r="D15" s="29" t="s">
        <v>402</v>
      </c>
      <c r="E15" s="22" t="s">
        <v>431</v>
      </c>
      <c r="F15" s="30" t="n">
        <v>0.0933</v>
      </c>
      <c r="G15" s="34" t="n">
        <v>8</v>
      </c>
      <c r="H15" s="32" t="s">
        <v>671</v>
      </c>
      <c r="I15" s="29" t="s">
        <v>739</v>
      </c>
      <c r="J15" s="33" t="s">
        <v>1710</v>
      </c>
      <c r="K15" s="22" t="s">
        <v>475</v>
      </c>
      <c r="L15" s="1" t="n">
        <v>0.12</v>
      </c>
      <c r="M15" s="7" t="s">
        <v>449</v>
      </c>
      <c r="N15" s="7" t="s">
        <v>589</v>
      </c>
    </row>
    <row r="16" customFormat="false" ht="28.5" hidden="false" customHeight="true" outlineLevel="0" collapsed="false">
      <c r="A16" s="29" t="s">
        <v>1711</v>
      </c>
      <c r="B16" s="22" t="s">
        <v>1712</v>
      </c>
      <c r="C16" s="29" t="s">
        <v>562</v>
      </c>
      <c r="D16" s="29" t="s">
        <v>472</v>
      </c>
      <c r="E16" s="22" t="s">
        <v>431</v>
      </c>
      <c r="F16" s="30" t="n">
        <v>0.0778</v>
      </c>
      <c r="G16" s="34" t="n">
        <v>8</v>
      </c>
      <c r="H16" s="32" t="s">
        <v>1713</v>
      </c>
      <c r="I16" s="29" t="s">
        <v>532</v>
      </c>
      <c r="J16" s="33" t="s">
        <v>1714</v>
      </c>
      <c r="K16" s="22" t="s">
        <v>407</v>
      </c>
      <c r="L16" s="1" t="n">
        <v>0.1</v>
      </c>
      <c r="M16" s="7" t="s">
        <v>449</v>
      </c>
      <c r="N16" s="7" t="s">
        <v>477</v>
      </c>
    </row>
    <row r="17" customFormat="false" ht="28.5" hidden="false" customHeight="true" outlineLevel="0" collapsed="false">
      <c r="A17" s="29" t="s">
        <v>1715</v>
      </c>
      <c r="B17" s="29" t="s">
        <v>669</v>
      </c>
      <c r="C17" s="29" t="s">
        <v>709</v>
      </c>
      <c r="D17" s="29" t="s">
        <v>402</v>
      </c>
      <c r="E17" s="22" t="s">
        <v>431</v>
      </c>
      <c r="F17" s="30" t="n">
        <v>0.0622</v>
      </c>
      <c r="G17" s="31" t="n">
        <v>6</v>
      </c>
      <c r="H17" s="32" t="s">
        <v>977</v>
      </c>
      <c r="I17" s="29" t="s">
        <v>454</v>
      </c>
      <c r="J17" s="33" t="s">
        <v>1716</v>
      </c>
      <c r="K17" s="22" t="s">
        <v>475</v>
      </c>
      <c r="L17" s="1" t="n">
        <v>0.08</v>
      </c>
      <c r="M17" s="7" t="s">
        <v>449</v>
      </c>
      <c r="N17" s="7" t="s">
        <v>589</v>
      </c>
    </row>
    <row r="18" customFormat="false" ht="13.5" hidden="false" customHeight="true" outlineLevel="0" collapsed="false">
      <c r="A18" s="28" t="s">
        <v>468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28.5" hidden="false" customHeight="true" outlineLevel="0" collapsed="false">
      <c r="A19" s="29" t="s">
        <v>1717</v>
      </c>
      <c r="B19" s="22" t="s">
        <v>470</v>
      </c>
      <c r="C19" s="29" t="s">
        <v>1685</v>
      </c>
      <c r="D19" s="29" t="s">
        <v>472</v>
      </c>
      <c r="E19" s="22" t="s">
        <v>431</v>
      </c>
      <c r="F19" s="30" t="n">
        <v>0.06</v>
      </c>
      <c r="G19" s="34" t="n">
        <v>8</v>
      </c>
      <c r="H19" s="32" t="s">
        <v>1328</v>
      </c>
      <c r="I19" s="29" t="s">
        <v>454</v>
      </c>
      <c r="J19" s="32" t="s">
        <v>707</v>
      </c>
      <c r="K19" s="22" t="s">
        <v>475</v>
      </c>
      <c r="L19" s="1" t="n">
        <v>0.1</v>
      </c>
      <c r="M19" s="7" t="s">
        <v>476</v>
      </c>
      <c r="N19" s="7" t="s">
        <v>419</v>
      </c>
    </row>
    <row r="20" customFormat="false" ht="28.5" hidden="false" customHeight="true" outlineLevel="0" collapsed="false">
      <c r="A20" s="29" t="s">
        <v>1718</v>
      </c>
      <c r="B20" s="22" t="s">
        <v>470</v>
      </c>
      <c r="C20" s="29" t="s">
        <v>1719</v>
      </c>
      <c r="D20" s="29" t="s">
        <v>402</v>
      </c>
      <c r="E20" s="22" t="s">
        <v>431</v>
      </c>
      <c r="F20" s="30" t="n">
        <v>0.048</v>
      </c>
      <c r="G20" s="34" t="n">
        <v>10</v>
      </c>
      <c r="H20" s="32" t="s">
        <v>1695</v>
      </c>
      <c r="I20" s="29" t="s">
        <v>1373</v>
      </c>
      <c r="J20" s="32" t="s">
        <v>1720</v>
      </c>
      <c r="K20" s="22" t="s">
        <v>475</v>
      </c>
      <c r="L20" s="1" t="n">
        <v>0.08</v>
      </c>
      <c r="M20" s="7" t="s">
        <v>476</v>
      </c>
      <c r="N20" s="7" t="s">
        <v>477</v>
      </c>
    </row>
    <row r="21" customFormat="false" ht="14.25" hidden="false" customHeight="true" outlineLevel="0" collapsed="false">
      <c r="A21" s="29" t="s">
        <v>1721</v>
      </c>
      <c r="B21" s="22" t="s">
        <v>470</v>
      </c>
      <c r="C21" s="29" t="s">
        <v>901</v>
      </c>
      <c r="D21" s="29" t="s">
        <v>472</v>
      </c>
      <c r="E21" s="22" t="s">
        <v>431</v>
      </c>
      <c r="F21" s="30" t="n">
        <v>0.042</v>
      </c>
      <c r="G21" s="34" t="n">
        <v>8</v>
      </c>
      <c r="H21" s="32" t="s">
        <v>977</v>
      </c>
      <c r="I21" s="29" t="s">
        <v>532</v>
      </c>
      <c r="J21" s="32" t="s">
        <v>1628</v>
      </c>
      <c r="K21" s="22" t="s">
        <v>475</v>
      </c>
      <c r="L21" s="1" t="n">
        <v>0.07</v>
      </c>
      <c r="M21" s="7" t="s">
        <v>476</v>
      </c>
      <c r="N21" s="7" t="s">
        <v>477</v>
      </c>
    </row>
    <row r="22" customFormat="false" ht="17.25" hidden="false" customHeight="true" outlineLevel="0" collapsed="false">
      <c r="A22" s="35" t="s">
        <v>485</v>
      </c>
      <c r="B22" s="35"/>
      <c r="C22" s="35"/>
      <c r="D22" s="35"/>
      <c r="E22" s="35"/>
      <c r="F22" s="35"/>
      <c r="G22" s="36" t="n">
        <f aca="false">ROUND(SUMPRODUCT(F5:F21,G5:G21),1)</f>
        <v>8</v>
      </c>
      <c r="H22" s="37" t="s">
        <v>486</v>
      </c>
      <c r="I22" s="37"/>
      <c r="J22" s="37"/>
      <c r="K22" s="37"/>
    </row>
  </sheetData>
  <mergeCells count="7">
    <mergeCell ref="A1:K1"/>
    <mergeCell ref="A2:K2"/>
    <mergeCell ref="A4:K4"/>
    <mergeCell ref="A13:K13"/>
    <mergeCell ref="A18:K18"/>
    <mergeCell ref="A22:F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1722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1723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ROUND(SUMPRODUCT(F5:F12,G5:G12)/SUM(F5:F12),1)</f>
        <v>8.6</v>
      </c>
    </row>
    <row r="5" customFormat="false" ht="28.5" hidden="false" customHeight="true" outlineLevel="0" collapsed="false">
      <c r="A5" s="29" t="s">
        <v>1206</v>
      </c>
      <c r="B5" s="29" t="s">
        <v>1207</v>
      </c>
      <c r="C5" s="29" t="s">
        <v>1208</v>
      </c>
      <c r="D5" s="22" t="s">
        <v>1209</v>
      </c>
      <c r="E5" s="22" t="s">
        <v>424</v>
      </c>
      <c r="F5" s="30" t="n">
        <v>0.0723</v>
      </c>
      <c r="G5" s="34" t="n">
        <v>8</v>
      </c>
      <c r="H5" s="32" t="s">
        <v>1210</v>
      </c>
      <c r="I5" s="29" t="s">
        <v>718</v>
      </c>
      <c r="J5" s="33" t="s">
        <v>1211</v>
      </c>
      <c r="K5" s="22" t="s">
        <v>418</v>
      </c>
      <c r="L5" s="1" t="n">
        <v>0.12</v>
      </c>
      <c r="M5" s="7" t="s">
        <v>408</v>
      </c>
      <c r="N5" s="7" t="s">
        <v>419</v>
      </c>
      <c r="O5" s="1" t="s">
        <v>410</v>
      </c>
      <c r="P5" s="1" t="n">
        <f aca="false">ROUND(SUMPRODUCT(F14:F17,G14:G17)/SUM(F14:F17),1)</f>
        <v>6.5</v>
      </c>
    </row>
    <row r="6" customFormat="false" ht="28.5" hidden="false" customHeight="true" outlineLevel="0" collapsed="false">
      <c r="A6" s="29" t="s">
        <v>1212</v>
      </c>
      <c r="B6" s="22" t="s">
        <v>1213</v>
      </c>
      <c r="C6" s="29" t="s">
        <v>747</v>
      </c>
      <c r="D6" s="22" t="s">
        <v>1214</v>
      </c>
      <c r="E6" s="22" t="s">
        <v>424</v>
      </c>
      <c r="F6" s="30" t="n">
        <v>0.0602</v>
      </c>
      <c r="G6" s="34" t="n">
        <v>8</v>
      </c>
      <c r="H6" s="32" t="s">
        <v>1215</v>
      </c>
      <c r="I6" s="29" t="s">
        <v>999</v>
      </c>
      <c r="J6" s="33" t="s">
        <v>1216</v>
      </c>
      <c r="K6" s="22" t="s">
        <v>418</v>
      </c>
      <c r="L6" s="1" t="n">
        <v>0.1</v>
      </c>
      <c r="M6" s="7" t="s">
        <v>408</v>
      </c>
      <c r="N6" s="7" t="s">
        <v>419</v>
      </c>
      <c r="O6" s="1" t="s">
        <v>420</v>
      </c>
      <c r="P6" s="1" t="n">
        <f aca="false">ROUND(SUMPRODUCT(F19:F21,G19:G21)/SUM(F19:F21),1)</f>
        <v>5.4</v>
      </c>
    </row>
    <row r="7" customFormat="false" ht="28.5" hidden="false" customHeight="true" outlineLevel="0" collapsed="false">
      <c r="A7" s="29" t="s">
        <v>1217</v>
      </c>
      <c r="B7" s="29" t="s">
        <v>610</v>
      </c>
      <c r="C7" s="29" t="s">
        <v>1218</v>
      </c>
      <c r="D7" s="22" t="s">
        <v>1219</v>
      </c>
      <c r="E7" s="22" t="s">
        <v>424</v>
      </c>
      <c r="F7" s="30" t="n">
        <v>0.0723</v>
      </c>
      <c r="G7" s="34" t="n">
        <v>8</v>
      </c>
      <c r="H7" s="32" t="s">
        <v>1220</v>
      </c>
      <c r="I7" s="29" t="s">
        <v>909</v>
      </c>
      <c r="J7" s="33" t="s">
        <v>1221</v>
      </c>
      <c r="K7" s="22" t="s">
        <v>418</v>
      </c>
      <c r="L7" s="1" t="n">
        <v>0.12</v>
      </c>
      <c r="M7" s="7" t="s">
        <v>408</v>
      </c>
      <c r="N7" s="7" t="s">
        <v>419</v>
      </c>
    </row>
    <row r="8" customFormat="false" ht="28.5" hidden="false" customHeight="true" outlineLevel="0" collapsed="false">
      <c r="A8" s="29" t="s">
        <v>1222</v>
      </c>
      <c r="B8" s="22" t="s">
        <v>1223</v>
      </c>
      <c r="C8" s="29" t="s">
        <v>987</v>
      </c>
      <c r="D8" s="29" t="s">
        <v>924</v>
      </c>
      <c r="E8" s="22" t="s">
        <v>925</v>
      </c>
      <c r="F8" s="30" t="n">
        <v>0.0783</v>
      </c>
      <c r="G8" s="34" t="n">
        <v>10</v>
      </c>
      <c r="H8" s="32" t="s">
        <v>612</v>
      </c>
      <c r="I8" s="29" t="s">
        <v>666</v>
      </c>
      <c r="J8" s="33" t="s">
        <v>1224</v>
      </c>
      <c r="K8" s="22" t="s">
        <v>475</v>
      </c>
      <c r="L8" s="1" t="n">
        <v>0.13</v>
      </c>
      <c r="M8" s="7" t="s">
        <v>408</v>
      </c>
      <c r="N8" s="7" t="s">
        <v>679</v>
      </c>
    </row>
    <row r="9" customFormat="false" ht="28.5" hidden="false" customHeight="true" outlineLevel="0" collapsed="false">
      <c r="A9" s="29" t="s">
        <v>1225</v>
      </c>
      <c r="B9" s="22" t="s">
        <v>1226</v>
      </c>
      <c r="C9" s="29" t="s">
        <v>1227</v>
      </c>
      <c r="D9" s="22" t="s">
        <v>592</v>
      </c>
      <c r="E9" s="22" t="s">
        <v>925</v>
      </c>
      <c r="F9" s="30" t="n">
        <v>0.0602</v>
      </c>
      <c r="G9" s="34" t="n">
        <v>10</v>
      </c>
      <c r="H9" s="32" t="s">
        <v>1228</v>
      </c>
      <c r="I9" s="29" t="s">
        <v>627</v>
      </c>
      <c r="J9" s="33" t="s">
        <v>1229</v>
      </c>
      <c r="K9" s="22" t="s">
        <v>441</v>
      </c>
      <c r="L9" s="1" t="n">
        <v>0.1</v>
      </c>
      <c r="M9" s="7" t="s">
        <v>408</v>
      </c>
      <c r="N9" s="7" t="s">
        <v>409</v>
      </c>
    </row>
    <row r="10" customFormat="false" ht="28.5" hidden="false" customHeight="true" outlineLevel="0" collapsed="false">
      <c r="A10" s="29" t="s">
        <v>1724</v>
      </c>
      <c r="B10" s="29" t="s">
        <v>1239</v>
      </c>
      <c r="C10" s="29" t="s">
        <v>1231</v>
      </c>
      <c r="D10" s="29" t="s">
        <v>1725</v>
      </c>
      <c r="E10" s="22" t="s">
        <v>925</v>
      </c>
      <c r="F10" s="30" t="n">
        <v>0.0602</v>
      </c>
      <c r="G10" s="34" t="n">
        <v>8</v>
      </c>
      <c r="H10" s="32" t="s">
        <v>1094</v>
      </c>
      <c r="I10" s="29" t="s">
        <v>416</v>
      </c>
      <c r="J10" s="33" t="s">
        <v>1726</v>
      </c>
      <c r="K10" s="22" t="s">
        <v>475</v>
      </c>
      <c r="L10" s="1" t="n">
        <v>0.1</v>
      </c>
      <c r="M10" s="7" t="s">
        <v>408</v>
      </c>
      <c r="N10" s="7" t="s">
        <v>679</v>
      </c>
    </row>
    <row r="11" customFormat="false" ht="28.5" hidden="false" customHeight="true" outlineLevel="0" collapsed="false">
      <c r="A11" s="29" t="s">
        <v>1727</v>
      </c>
      <c r="B11" s="22" t="s">
        <v>922</v>
      </c>
      <c r="C11" s="29" t="s">
        <v>901</v>
      </c>
      <c r="D11" s="29" t="s">
        <v>924</v>
      </c>
      <c r="E11" s="22" t="s">
        <v>925</v>
      </c>
      <c r="F11" s="30" t="n">
        <v>0.0482</v>
      </c>
      <c r="G11" s="34" t="n">
        <v>8</v>
      </c>
      <c r="H11" s="32" t="s">
        <v>1728</v>
      </c>
      <c r="I11" s="29" t="s">
        <v>646</v>
      </c>
      <c r="J11" s="33" t="s">
        <v>1729</v>
      </c>
      <c r="K11" s="22" t="s">
        <v>441</v>
      </c>
      <c r="L11" s="1" t="n">
        <v>0.08</v>
      </c>
      <c r="M11" s="7" t="s">
        <v>408</v>
      </c>
      <c r="N11" s="7" t="s">
        <v>679</v>
      </c>
    </row>
    <row r="12" customFormat="false" ht="28.5" hidden="false" customHeight="true" outlineLevel="0" collapsed="false">
      <c r="A12" s="29" t="s">
        <v>1730</v>
      </c>
      <c r="B12" s="22" t="s">
        <v>1489</v>
      </c>
      <c r="C12" s="29" t="s">
        <v>1490</v>
      </c>
      <c r="D12" s="29" t="s">
        <v>472</v>
      </c>
      <c r="E12" s="22" t="s">
        <v>431</v>
      </c>
      <c r="F12" s="30" t="n">
        <v>0.0482</v>
      </c>
      <c r="G12" s="34" t="n">
        <v>8</v>
      </c>
      <c r="H12" s="32" t="s">
        <v>790</v>
      </c>
      <c r="I12" s="29" t="s">
        <v>646</v>
      </c>
      <c r="J12" s="33" t="s">
        <v>1491</v>
      </c>
      <c r="K12" s="22" t="s">
        <v>407</v>
      </c>
      <c r="L12" s="1" t="n">
        <v>0.08</v>
      </c>
      <c r="M12" s="7" t="s">
        <v>408</v>
      </c>
      <c r="N12" s="7" t="s">
        <v>409</v>
      </c>
    </row>
    <row r="13" customFormat="false" ht="13.5" hidden="false" customHeight="true" outlineLevel="0" collapsed="false">
      <c r="A13" s="28" t="s">
        <v>442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customFormat="false" ht="28.5" hidden="false" customHeight="true" outlineLevel="0" collapsed="false">
      <c r="A14" s="29" t="s">
        <v>1731</v>
      </c>
      <c r="B14" s="22" t="s">
        <v>922</v>
      </c>
      <c r="C14" s="29" t="s">
        <v>1231</v>
      </c>
      <c r="D14" s="29" t="s">
        <v>1232</v>
      </c>
      <c r="E14" s="22" t="s">
        <v>431</v>
      </c>
      <c r="F14" s="30" t="n">
        <v>0.1</v>
      </c>
      <c r="G14" s="31" t="n">
        <v>6</v>
      </c>
      <c r="H14" s="32" t="s">
        <v>1233</v>
      </c>
      <c r="I14" s="29" t="s">
        <v>447</v>
      </c>
      <c r="J14" s="33" t="s">
        <v>1234</v>
      </c>
      <c r="K14" s="22" t="s">
        <v>407</v>
      </c>
      <c r="L14" s="1" t="n">
        <v>0.12</v>
      </c>
      <c r="M14" s="7" t="s">
        <v>449</v>
      </c>
      <c r="N14" s="7" t="s">
        <v>589</v>
      </c>
    </row>
    <row r="15" customFormat="false" ht="28.5" hidden="false" customHeight="true" outlineLevel="0" collapsed="false">
      <c r="A15" s="29" t="s">
        <v>1732</v>
      </c>
      <c r="B15" s="22" t="s">
        <v>922</v>
      </c>
      <c r="C15" s="29" t="s">
        <v>705</v>
      </c>
      <c r="D15" s="29" t="s">
        <v>1232</v>
      </c>
      <c r="E15" s="22" t="s">
        <v>431</v>
      </c>
      <c r="F15" s="30" t="n">
        <v>0.0833</v>
      </c>
      <c r="G15" s="31" t="n">
        <v>6</v>
      </c>
      <c r="H15" s="32" t="s">
        <v>1236</v>
      </c>
      <c r="I15" s="29" t="s">
        <v>433</v>
      </c>
      <c r="J15" s="33" t="s">
        <v>1237</v>
      </c>
      <c r="K15" s="22" t="s">
        <v>407</v>
      </c>
      <c r="L15" s="1" t="n">
        <v>0.1</v>
      </c>
      <c r="M15" s="7" t="s">
        <v>449</v>
      </c>
      <c r="N15" s="7" t="s">
        <v>589</v>
      </c>
    </row>
    <row r="16" customFormat="false" ht="28.5" hidden="false" customHeight="true" outlineLevel="0" collapsed="false">
      <c r="A16" s="29" t="s">
        <v>1733</v>
      </c>
      <c r="B16" s="29" t="s">
        <v>1239</v>
      </c>
      <c r="C16" s="29" t="s">
        <v>524</v>
      </c>
      <c r="D16" s="29" t="s">
        <v>1240</v>
      </c>
      <c r="E16" s="22" t="s">
        <v>431</v>
      </c>
      <c r="F16" s="30" t="n">
        <v>0.0833</v>
      </c>
      <c r="G16" s="31" t="n">
        <v>6</v>
      </c>
      <c r="H16" s="32" t="s">
        <v>1241</v>
      </c>
      <c r="I16" s="29" t="s">
        <v>447</v>
      </c>
      <c r="J16" s="33" t="s">
        <v>1242</v>
      </c>
      <c r="K16" s="22" t="s">
        <v>475</v>
      </c>
      <c r="L16" s="1" t="n">
        <v>0.1</v>
      </c>
      <c r="M16" s="7" t="s">
        <v>449</v>
      </c>
      <c r="N16" s="7" t="s">
        <v>589</v>
      </c>
    </row>
    <row r="17" customFormat="false" ht="14.25" hidden="false" customHeight="true" outlineLevel="0" collapsed="false">
      <c r="A17" s="29" t="s">
        <v>1734</v>
      </c>
      <c r="B17" s="22" t="s">
        <v>1489</v>
      </c>
      <c r="C17" s="29" t="s">
        <v>688</v>
      </c>
      <c r="D17" s="22" t="s">
        <v>1502</v>
      </c>
      <c r="E17" s="22" t="s">
        <v>431</v>
      </c>
      <c r="F17" s="30" t="n">
        <v>0.0833</v>
      </c>
      <c r="G17" s="34" t="n">
        <v>8</v>
      </c>
      <c r="H17" s="32" t="s">
        <v>1340</v>
      </c>
      <c r="I17" s="29" t="s">
        <v>672</v>
      </c>
      <c r="J17" s="33" t="s">
        <v>1503</v>
      </c>
      <c r="K17" s="22" t="s">
        <v>407</v>
      </c>
      <c r="L17" s="1" t="n">
        <v>0.1</v>
      </c>
      <c r="M17" s="7" t="s">
        <v>449</v>
      </c>
      <c r="N17" s="7" t="s">
        <v>589</v>
      </c>
    </row>
    <row r="18" customFormat="false" ht="13.5" hidden="false" customHeight="true" outlineLevel="0" collapsed="false">
      <c r="A18" s="28" t="s">
        <v>468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28.5" hidden="false" customHeight="true" outlineLevel="0" collapsed="false">
      <c r="A19" s="29" t="s">
        <v>1735</v>
      </c>
      <c r="B19" s="22" t="s">
        <v>470</v>
      </c>
      <c r="C19" s="29" t="s">
        <v>1736</v>
      </c>
      <c r="D19" s="22" t="s">
        <v>592</v>
      </c>
      <c r="E19" s="22" t="s">
        <v>424</v>
      </c>
      <c r="F19" s="30" t="n">
        <v>0.06</v>
      </c>
      <c r="G19" s="31" t="n">
        <v>6</v>
      </c>
      <c r="H19" s="32" t="s">
        <v>1033</v>
      </c>
      <c r="I19" s="29" t="s">
        <v>439</v>
      </c>
      <c r="J19" s="32" t="s">
        <v>1248</v>
      </c>
      <c r="K19" s="22" t="s">
        <v>475</v>
      </c>
      <c r="L19" s="1" t="n">
        <v>0.1</v>
      </c>
      <c r="M19" s="7" t="s">
        <v>476</v>
      </c>
      <c r="N19" s="7" t="s">
        <v>477</v>
      </c>
    </row>
    <row r="20" customFormat="false" ht="28.5" hidden="false" customHeight="true" outlineLevel="0" collapsed="false">
      <c r="A20" s="29" t="s">
        <v>1737</v>
      </c>
      <c r="B20" s="22" t="s">
        <v>470</v>
      </c>
      <c r="C20" s="29" t="s">
        <v>524</v>
      </c>
      <c r="D20" s="29" t="s">
        <v>472</v>
      </c>
      <c r="E20" s="22" t="s">
        <v>424</v>
      </c>
      <c r="F20" s="30" t="n">
        <v>0.048</v>
      </c>
      <c r="G20" s="38" t="n">
        <v>4</v>
      </c>
      <c r="H20" s="32" t="s">
        <v>1250</v>
      </c>
      <c r="I20" s="29" t="s">
        <v>569</v>
      </c>
      <c r="J20" s="33" t="s">
        <v>1251</v>
      </c>
      <c r="K20" s="22" t="s">
        <v>475</v>
      </c>
      <c r="L20" s="1" t="n">
        <v>0.08</v>
      </c>
      <c r="M20" s="7" t="s">
        <v>476</v>
      </c>
      <c r="N20" s="7" t="s">
        <v>419</v>
      </c>
    </row>
    <row r="21" customFormat="false" ht="28.5" hidden="false" customHeight="true" outlineLevel="0" collapsed="false">
      <c r="A21" s="29" t="s">
        <v>1738</v>
      </c>
      <c r="B21" s="22" t="s">
        <v>1287</v>
      </c>
      <c r="C21" s="29" t="s">
        <v>491</v>
      </c>
      <c r="D21" s="29" t="s">
        <v>472</v>
      </c>
      <c r="E21" s="22" t="s">
        <v>424</v>
      </c>
      <c r="F21" s="30" t="n">
        <v>0.042</v>
      </c>
      <c r="G21" s="31" t="n">
        <v>6</v>
      </c>
      <c r="H21" s="32" t="s">
        <v>505</v>
      </c>
      <c r="I21" s="29" t="s">
        <v>439</v>
      </c>
      <c r="J21" s="33" t="s">
        <v>1739</v>
      </c>
      <c r="K21" s="22" t="s">
        <v>475</v>
      </c>
      <c r="L21" s="1" t="n">
        <v>0.07</v>
      </c>
      <c r="M21" s="7" t="s">
        <v>476</v>
      </c>
      <c r="N21" s="7" t="s">
        <v>477</v>
      </c>
    </row>
    <row r="22" customFormat="false" ht="17.25" hidden="false" customHeight="true" outlineLevel="0" collapsed="false">
      <c r="A22" s="35" t="s">
        <v>485</v>
      </c>
      <c r="B22" s="35"/>
      <c r="C22" s="35"/>
      <c r="D22" s="35"/>
      <c r="E22" s="35"/>
      <c r="F22" s="35"/>
      <c r="G22" s="36" t="n">
        <f aca="false">ROUND(SUMPRODUCT(F5:F21,G5:G21),1)</f>
        <v>7.3</v>
      </c>
      <c r="H22" s="37" t="s">
        <v>486</v>
      </c>
      <c r="I22" s="37"/>
      <c r="J22" s="37"/>
      <c r="K22" s="37"/>
    </row>
  </sheetData>
  <mergeCells count="7">
    <mergeCell ref="A1:K1"/>
    <mergeCell ref="A2:K2"/>
    <mergeCell ref="A4:K4"/>
    <mergeCell ref="A13:K13"/>
    <mergeCell ref="A18:K18"/>
    <mergeCell ref="A22:F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1740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1741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ROUND(SUMPRODUCT(F5:F12,G5:G12)/SUM(F5:F12),1)</f>
        <v>8</v>
      </c>
    </row>
    <row r="5" customFormat="false" ht="28.5" hidden="false" customHeight="true" outlineLevel="0" collapsed="false">
      <c r="A5" s="29" t="s">
        <v>869</v>
      </c>
      <c r="B5" s="29" t="s">
        <v>870</v>
      </c>
      <c r="C5" s="29" t="s">
        <v>871</v>
      </c>
      <c r="D5" s="22" t="s">
        <v>872</v>
      </c>
      <c r="E5" s="22" t="s">
        <v>431</v>
      </c>
      <c r="F5" s="30" t="n">
        <v>0.0937</v>
      </c>
      <c r="G5" s="34" t="n">
        <v>8</v>
      </c>
      <c r="H5" s="32" t="s">
        <v>873</v>
      </c>
      <c r="I5" s="29" t="s">
        <v>646</v>
      </c>
      <c r="J5" s="33" t="s">
        <v>874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ROUND(SUMPRODUCT(F14:F17,G14:G17)/SUM(F14:F17),1)</f>
        <v>7.2</v>
      </c>
    </row>
    <row r="6" customFormat="false" ht="28.5" hidden="false" customHeight="true" outlineLevel="0" collapsed="false">
      <c r="A6" s="29" t="s">
        <v>875</v>
      </c>
      <c r="B6" s="22" t="s">
        <v>876</v>
      </c>
      <c r="C6" s="29" t="s">
        <v>877</v>
      </c>
      <c r="D6" s="29" t="s">
        <v>472</v>
      </c>
      <c r="E6" s="22" t="s">
        <v>878</v>
      </c>
      <c r="F6" s="30" t="n">
        <v>0.0625</v>
      </c>
      <c r="G6" s="34" t="n">
        <v>8</v>
      </c>
      <c r="H6" s="32" t="s">
        <v>879</v>
      </c>
      <c r="I6" s="29" t="s">
        <v>447</v>
      </c>
      <c r="J6" s="33" t="s">
        <v>880</v>
      </c>
      <c r="K6" s="22" t="s">
        <v>441</v>
      </c>
      <c r="L6" s="1" t="n">
        <v>0.1</v>
      </c>
      <c r="M6" s="7" t="s">
        <v>408</v>
      </c>
      <c r="N6" s="7" t="s">
        <v>409</v>
      </c>
      <c r="O6" s="1" t="s">
        <v>420</v>
      </c>
      <c r="P6" s="1" t="n">
        <f aca="false">ROUND(SUMPRODUCT(F19:F21,G19:G21)/SUM(F19:F21),1)</f>
        <v>8</v>
      </c>
    </row>
    <row r="7" customFormat="false" ht="28.5" hidden="false" customHeight="true" outlineLevel="0" collapsed="false">
      <c r="A7" s="29" t="s">
        <v>881</v>
      </c>
      <c r="B7" s="22" t="s">
        <v>882</v>
      </c>
      <c r="C7" s="29" t="s">
        <v>725</v>
      </c>
      <c r="D7" s="29" t="s">
        <v>402</v>
      </c>
      <c r="E7" s="22" t="s">
        <v>424</v>
      </c>
      <c r="F7" s="30" t="n">
        <v>0.0625</v>
      </c>
      <c r="G7" s="34" t="n">
        <v>8</v>
      </c>
      <c r="H7" s="32" t="s">
        <v>432</v>
      </c>
      <c r="I7" s="29" t="s">
        <v>483</v>
      </c>
      <c r="J7" s="33" t="s">
        <v>883</v>
      </c>
      <c r="K7" s="22" t="s">
        <v>407</v>
      </c>
      <c r="L7" s="1" t="n">
        <v>0.1</v>
      </c>
      <c r="M7" s="7" t="s">
        <v>408</v>
      </c>
      <c r="N7" s="7" t="s">
        <v>419</v>
      </c>
    </row>
    <row r="8" customFormat="false" ht="28.5" hidden="false" customHeight="true" outlineLevel="0" collapsed="false">
      <c r="A8" s="29" t="s">
        <v>884</v>
      </c>
      <c r="B8" s="29" t="s">
        <v>885</v>
      </c>
      <c r="C8" s="29" t="s">
        <v>712</v>
      </c>
      <c r="D8" s="29" t="s">
        <v>402</v>
      </c>
      <c r="E8" s="22" t="s">
        <v>431</v>
      </c>
      <c r="F8" s="30" t="n">
        <v>0.0625</v>
      </c>
      <c r="G8" s="34" t="n">
        <v>8</v>
      </c>
      <c r="H8" s="32" t="s">
        <v>886</v>
      </c>
      <c r="I8" s="29" t="s">
        <v>480</v>
      </c>
      <c r="J8" s="33" t="s">
        <v>887</v>
      </c>
      <c r="K8" s="22" t="s">
        <v>475</v>
      </c>
      <c r="L8" s="1" t="n">
        <v>0.1</v>
      </c>
      <c r="M8" s="7" t="s">
        <v>408</v>
      </c>
      <c r="N8" s="7" t="s">
        <v>679</v>
      </c>
    </row>
    <row r="9" customFormat="false" ht="28.5" hidden="false" customHeight="true" outlineLevel="0" collapsed="false">
      <c r="A9" s="29" t="s">
        <v>1742</v>
      </c>
      <c r="B9" s="29" t="s">
        <v>1743</v>
      </c>
      <c r="C9" s="29" t="s">
        <v>1263</v>
      </c>
      <c r="D9" s="22" t="s">
        <v>872</v>
      </c>
      <c r="E9" s="22" t="s">
        <v>925</v>
      </c>
      <c r="F9" s="30" t="n">
        <v>0.05</v>
      </c>
      <c r="G9" s="34" t="n">
        <v>8</v>
      </c>
      <c r="H9" s="32" t="s">
        <v>1744</v>
      </c>
      <c r="I9" s="29" t="s">
        <v>646</v>
      </c>
      <c r="J9" s="33" t="s">
        <v>1745</v>
      </c>
      <c r="K9" s="22" t="s">
        <v>407</v>
      </c>
      <c r="L9" s="1" t="n">
        <v>0.08</v>
      </c>
      <c r="M9" s="7" t="s">
        <v>408</v>
      </c>
      <c r="N9" s="7" t="s">
        <v>679</v>
      </c>
    </row>
    <row r="10" customFormat="false" ht="28.5" hidden="false" customHeight="true" outlineLevel="0" collapsed="false">
      <c r="A10" s="29" t="s">
        <v>1746</v>
      </c>
      <c r="B10" s="22" t="s">
        <v>1747</v>
      </c>
      <c r="C10" s="29" t="s">
        <v>622</v>
      </c>
      <c r="D10" s="29" t="s">
        <v>402</v>
      </c>
      <c r="E10" s="22" t="s">
        <v>431</v>
      </c>
      <c r="F10" s="30" t="n">
        <v>0.075</v>
      </c>
      <c r="G10" s="34" t="n">
        <v>8</v>
      </c>
      <c r="H10" s="32" t="s">
        <v>886</v>
      </c>
      <c r="I10" s="29" t="s">
        <v>532</v>
      </c>
      <c r="J10" s="32" t="s">
        <v>1748</v>
      </c>
      <c r="K10" s="22" t="s">
        <v>475</v>
      </c>
      <c r="L10" s="1" t="n">
        <v>0.12</v>
      </c>
      <c r="M10" s="7" t="s">
        <v>408</v>
      </c>
      <c r="N10" s="7" t="s">
        <v>679</v>
      </c>
    </row>
    <row r="11" customFormat="false" ht="28.5" hidden="false" customHeight="true" outlineLevel="0" collapsed="false">
      <c r="A11" s="29" t="s">
        <v>1749</v>
      </c>
      <c r="B11" s="29" t="s">
        <v>1743</v>
      </c>
      <c r="C11" s="29" t="s">
        <v>1736</v>
      </c>
      <c r="D11" s="22" t="s">
        <v>872</v>
      </c>
      <c r="E11" s="22" t="s">
        <v>431</v>
      </c>
      <c r="F11" s="30" t="n">
        <v>0.05</v>
      </c>
      <c r="G11" s="34" t="n">
        <v>8</v>
      </c>
      <c r="H11" s="32" t="s">
        <v>1340</v>
      </c>
      <c r="I11" s="29" t="s">
        <v>532</v>
      </c>
      <c r="J11" s="33" t="s">
        <v>1750</v>
      </c>
      <c r="K11" s="22" t="s">
        <v>407</v>
      </c>
      <c r="L11" s="1" t="n">
        <v>0.08</v>
      </c>
      <c r="M11" s="7" t="s">
        <v>408</v>
      </c>
      <c r="N11" s="7" t="s">
        <v>409</v>
      </c>
    </row>
    <row r="12" customFormat="false" ht="28.5" hidden="false" customHeight="true" outlineLevel="0" collapsed="false">
      <c r="A12" s="29" t="s">
        <v>1751</v>
      </c>
      <c r="B12" s="29" t="s">
        <v>1743</v>
      </c>
      <c r="C12" s="29" t="s">
        <v>747</v>
      </c>
      <c r="D12" s="22" t="s">
        <v>1752</v>
      </c>
      <c r="E12" s="22" t="s">
        <v>925</v>
      </c>
      <c r="F12" s="30" t="n">
        <v>0.0438</v>
      </c>
      <c r="G12" s="34" t="n">
        <v>8</v>
      </c>
      <c r="H12" s="32" t="s">
        <v>1094</v>
      </c>
      <c r="I12" s="29" t="s">
        <v>672</v>
      </c>
      <c r="J12" s="32" t="s">
        <v>1753</v>
      </c>
      <c r="K12" s="22" t="s">
        <v>441</v>
      </c>
      <c r="L12" s="1" t="n">
        <v>0.07</v>
      </c>
      <c r="M12" s="7" t="s">
        <v>408</v>
      </c>
      <c r="N12" s="7" t="s">
        <v>409</v>
      </c>
    </row>
    <row r="13" customFormat="false" ht="13.5" hidden="false" customHeight="true" outlineLevel="0" collapsed="false">
      <c r="A13" s="28" t="s">
        <v>442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customFormat="false" ht="14.25" hidden="false" customHeight="true" outlineLevel="0" collapsed="false">
      <c r="A14" s="29" t="s">
        <v>1754</v>
      </c>
      <c r="B14" s="22" t="s">
        <v>436</v>
      </c>
      <c r="C14" s="29" t="s">
        <v>540</v>
      </c>
      <c r="D14" s="29" t="s">
        <v>402</v>
      </c>
      <c r="E14" s="22" t="s">
        <v>431</v>
      </c>
      <c r="F14" s="30" t="n">
        <v>0.1105</v>
      </c>
      <c r="G14" s="34" t="n">
        <v>8</v>
      </c>
      <c r="H14" s="32" t="s">
        <v>541</v>
      </c>
      <c r="I14" s="29" t="s">
        <v>454</v>
      </c>
      <c r="J14" s="33" t="s">
        <v>889</v>
      </c>
      <c r="K14" s="22" t="s">
        <v>407</v>
      </c>
      <c r="L14" s="1" t="n">
        <v>0.12</v>
      </c>
      <c r="M14" s="7" t="s">
        <v>449</v>
      </c>
      <c r="N14" s="7" t="s">
        <v>589</v>
      </c>
    </row>
    <row r="15" customFormat="false" ht="14.25" hidden="false" customHeight="true" outlineLevel="0" collapsed="false">
      <c r="A15" s="29" t="s">
        <v>1755</v>
      </c>
      <c r="B15" s="22" t="s">
        <v>436</v>
      </c>
      <c r="C15" s="29" t="s">
        <v>736</v>
      </c>
      <c r="D15" s="29" t="s">
        <v>402</v>
      </c>
      <c r="E15" s="22" t="s">
        <v>431</v>
      </c>
      <c r="F15" s="30" t="n">
        <v>0.0737</v>
      </c>
      <c r="G15" s="31" t="n">
        <v>6</v>
      </c>
      <c r="H15" s="32" t="s">
        <v>776</v>
      </c>
      <c r="I15" s="29" t="s">
        <v>447</v>
      </c>
      <c r="J15" s="33" t="s">
        <v>891</v>
      </c>
      <c r="K15" s="22" t="s">
        <v>407</v>
      </c>
      <c r="L15" s="1" t="n">
        <v>0.08</v>
      </c>
      <c r="M15" s="7" t="s">
        <v>449</v>
      </c>
      <c r="N15" s="7" t="s">
        <v>589</v>
      </c>
    </row>
    <row r="16" customFormat="false" ht="28.5" hidden="false" customHeight="true" outlineLevel="0" collapsed="false">
      <c r="A16" s="29" t="s">
        <v>1756</v>
      </c>
      <c r="B16" s="22" t="s">
        <v>429</v>
      </c>
      <c r="C16" s="29" t="s">
        <v>659</v>
      </c>
      <c r="D16" s="29" t="s">
        <v>402</v>
      </c>
      <c r="E16" s="22" t="s">
        <v>431</v>
      </c>
      <c r="F16" s="30" t="n">
        <v>0.0921</v>
      </c>
      <c r="G16" s="34" t="n">
        <v>8</v>
      </c>
      <c r="H16" s="32" t="s">
        <v>473</v>
      </c>
      <c r="I16" s="29" t="s">
        <v>739</v>
      </c>
      <c r="J16" s="33" t="s">
        <v>893</v>
      </c>
      <c r="K16" s="22" t="s">
        <v>407</v>
      </c>
      <c r="L16" s="1" t="n">
        <v>0.1</v>
      </c>
      <c r="M16" s="7" t="s">
        <v>449</v>
      </c>
      <c r="N16" s="7" t="s">
        <v>409</v>
      </c>
    </row>
    <row r="17" customFormat="false" ht="28.5" hidden="false" customHeight="true" outlineLevel="0" collapsed="false">
      <c r="A17" s="29" t="s">
        <v>1757</v>
      </c>
      <c r="B17" s="22" t="s">
        <v>895</v>
      </c>
      <c r="C17" s="29" t="s">
        <v>733</v>
      </c>
      <c r="D17" s="29" t="s">
        <v>402</v>
      </c>
      <c r="E17" s="22" t="s">
        <v>431</v>
      </c>
      <c r="F17" s="30" t="n">
        <v>0.0737</v>
      </c>
      <c r="G17" s="31" t="n">
        <v>6</v>
      </c>
      <c r="H17" s="32" t="s">
        <v>541</v>
      </c>
      <c r="I17" s="29" t="s">
        <v>460</v>
      </c>
      <c r="J17" s="33" t="s">
        <v>896</v>
      </c>
      <c r="K17" s="22" t="s">
        <v>407</v>
      </c>
      <c r="L17" s="1" t="n">
        <v>0.08</v>
      </c>
      <c r="M17" s="7" t="s">
        <v>449</v>
      </c>
      <c r="N17" s="7" t="s">
        <v>409</v>
      </c>
    </row>
    <row r="18" customFormat="false" ht="13.5" hidden="false" customHeight="true" outlineLevel="0" collapsed="false">
      <c r="A18" s="28" t="s">
        <v>468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28.5" hidden="false" customHeight="true" outlineLevel="0" collapsed="false">
      <c r="A19" s="29" t="s">
        <v>1758</v>
      </c>
      <c r="B19" s="22" t="s">
        <v>470</v>
      </c>
      <c r="C19" s="29" t="s">
        <v>682</v>
      </c>
      <c r="D19" s="29" t="s">
        <v>472</v>
      </c>
      <c r="E19" s="22" t="s">
        <v>431</v>
      </c>
      <c r="F19" s="30" t="n">
        <v>0.06</v>
      </c>
      <c r="G19" s="34" t="n">
        <v>8</v>
      </c>
      <c r="H19" s="32" t="s">
        <v>898</v>
      </c>
      <c r="I19" s="29" t="s">
        <v>672</v>
      </c>
      <c r="J19" s="32" t="s">
        <v>899</v>
      </c>
      <c r="K19" s="22" t="s">
        <v>475</v>
      </c>
      <c r="L19" s="1" t="n">
        <v>0.1</v>
      </c>
      <c r="M19" s="7" t="s">
        <v>476</v>
      </c>
      <c r="N19" s="7" t="s">
        <v>419</v>
      </c>
    </row>
    <row r="20" customFormat="false" ht="28.5" hidden="false" customHeight="true" outlineLevel="0" collapsed="false">
      <c r="A20" s="29" t="s">
        <v>1759</v>
      </c>
      <c r="B20" s="22" t="s">
        <v>470</v>
      </c>
      <c r="C20" s="29" t="s">
        <v>1760</v>
      </c>
      <c r="D20" s="29" t="s">
        <v>472</v>
      </c>
      <c r="E20" s="22" t="s">
        <v>431</v>
      </c>
      <c r="F20" s="30" t="n">
        <v>0.048</v>
      </c>
      <c r="G20" s="34" t="n">
        <v>8</v>
      </c>
      <c r="H20" s="32" t="s">
        <v>902</v>
      </c>
      <c r="I20" s="29" t="s">
        <v>454</v>
      </c>
      <c r="J20" s="33" t="s">
        <v>903</v>
      </c>
      <c r="K20" s="22" t="s">
        <v>475</v>
      </c>
      <c r="L20" s="1" t="n">
        <v>0.08</v>
      </c>
      <c r="M20" s="7" t="s">
        <v>476</v>
      </c>
      <c r="N20" s="7" t="s">
        <v>409</v>
      </c>
    </row>
    <row r="21" customFormat="false" ht="28.5" hidden="false" customHeight="true" outlineLevel="0" collapsed="false">
      <c r="A21" s="29" t="s">
        <v>1761</v>
      </c>
      <c r="B21" s="22" t="s">
        <v>436</v>
      </c>
      <c r="C21" s="29" t="s">
        <v>709</v>
      </c>
      <c r="D21" s="29" t="s">
        <v>402</v>
      </c>
      <c r="E21" s="22" t="s">
        <v>431</v>
      </c>
      <c r="F21" s="30" t="n">
        <v>0.042</v>
      </c>
      <c r="G21" s="34" t="n">
        <v>8</v>
      </c>
      <c r="H21" s="32" t="s">
        <v>473</v>
      </c>
      <c r="I21" s="29" t="s">
        <v>532</v>
      </c>
      <c r="J21" s="33" t="s">
        <v>905</v>
      </c>
      <c r="K21" s="22" t="s">
        <v>407</v>
      </c>
      <c r="L21" s="1" t="n">
        <v>0.07</v>
      </c>
      <c r="M21" s="7" t="s">
        <v>476</v>
      </c>
      <c r="N21" s="7" t="s">
        <v>477</v>
      </c>
    </row>
    <row r="22" customFormat="false" ht="17.25" hidden="false" customHeight="true" outlineLevel="0" collapsed="false">
      <c r="A22" s="35" t="s">
        <v>485</v>
      </c>
      <c r="B22" s="35"/>
      <c r="C22" s="35"/>
      <c r="D22" s="35"/>
      <c r="E22" s="35"/>
      <c r="F22" s="35"/>
      <c r="G22" s="36" t="n">
        <f aca="false">ROUND(SUMPRODUCT(F5:F21,G5:G21),1)</f>
        <v>7.7</v>
      </c>
      <c r="H22" s="37" t="s">
        <v>486</v>
      </c>
      <c r="I22" s="37"/>
      <c r="J22" s="37"/>
      <c r="K22" s="37"/>
    </row>
  </sheetData>
  <mergeCells count="7">
    <mergeCell ref="A1:K1"/>
    <mergeCell ref="A2:K2"/>
    <mergeCell ref="A4:K4"/>
    <mergeCell ref="A13:K13"/>
    <mergeCell ref="A18:K18"/>
    <mergeCell ref="A22:F22"/>
    <mergeCell ref="H22:K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1762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1763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ROUND(SUMPRODUCT(F5:F9,G5:G9)/SUM(F5:F9),1)</f>
        <v>7.6</v>
      </c>
    </row>
    <row r="5" customFormat="false" ht="28.5" hidden="false" customHeight="true" outlineLevel="0" collapsed="false">
      <c r="A5" s="29" t="s">
        <v>1520</v>
      </c>
      <c r="B5" s="22" t="s">
        <v>436</v>
      </c>
      <c r="C5" s="29" t="s">
        <v>1499</v>
      </c>
      <c r="D5" s="29" t="s">
        <v>402</v>
      </c>
      <c r="E5" s="22" t="s">
        <v>431</v>
      </c>
      <c r="F5" s="30" t="n">
        <v>0.1364</v>
      </c>
      <c r="G5" s="34" t="n">
        <v>8</v>
      </c>
      <c r="H5" s="32" t="s">
        <v>1147</v>
      </c>
      <c r="I5" s="29" t="s">
        <v>532</v>
      </c>
      <c r="J5" s="33" t="s">
        <v>1521</v>
      </c>
      <c r="K5" s="22" t="s">
        <v>407</v>
      </c>
      <c r="L5" s="1" t="n">
        <v>0.15</v>
      </c>
      <c r="M5" s="7" t="s">
        <v>408</v>
      </c>
      <c r="N5" s="7" t="s">
        <v>409</v>
      </c>
      <c r="O5" s="1" t="s">
        <v>410</v>
      </c>
      <c r="P5" s="1" t="n">
        <f aca="false">ROUND(SUMPRODUCT(F11:F14,G11:G14)/SUM(F11:F14),1)</f>
        <v>7</v>
      </c>
    </row>
    <row r="6" customFormat="false" ht="28.5" hidden="false" customHeight="true" outlineLevel="0" collapsed="false">
      <c r="A6" s="29" t="s">
        <v>1764</v>
      </c>
      <c r="B6" s="22" t="s">
        <v>436</v>
      </c>
      <c r="C6" s="29" t="s">
        <v>659</v>
      </c>
      <c r="D6" s="29" t="s">
        <v>402</v>
      </c>
      <c r="E6" s="22" t="s">
        <v>431</v>
      </c>
      <c r="F6" s="30" t="n">
        <v>0.1091</v>
      </c>
      <c r="G6" s="34" t="n">
        <v>8</v>
      </c>
      <c r="H6" s="32" t="s">
        <v>886</v>
      </c>
      <c r="I6" s="29" t="s">
        <v>672</v>
      </c>
      <c r="J6" s="33" t="s">
        <v>1532</v>
      </c>
      <c r="K6" s="22" t="s">
        <v>407</v>
      </c>
      <c r="L6" s="1" t="n">
        <v>0.12</v>
      </c>
      <c r="M6" s="7" t="s">
        <v>408</v>
      </c>
      <c r="N6" s="7" t="s">
        <v>589</v>
      </c>
      <c r="O6" s="1" t="s">
        <v>420</v>
      </c>
      <c r="P6" s="1" t="n">
        <f aca="false">ROUND(SUMPRODUCT(F16:F18,G16:G18)/SUM(F16:F18),1)</f>
        <v>6</v>
      </c>
    </row>
    <row r="7" customFormat="false" ht="28.5" hidden="false" customHeight="true" outlineLevel="0" collapsed="false">
      <c r="A7" s="29" t="s">
        <v>1765</v>
      </c>
      <c r="B7" s="22" t="s">
        <v>429</v>
      </c>
      <c r="C7" s="29" t="s">
        <v>540</v>
      </c>
      <c r="D7" s="29" t="s">
        <v>402</v>
      </c>
      <c r="E7" s="22" t="s">
        <v>431</v>
      </c>
      <c r="F7" s="30" t="n">
        <v>0.0909</v>
      </c>
      <c r="G7" s="31" t="n">
        <v>6</v>
      </c>
      <c r="H7" s="32" t="s">
        <v>541</v>
      </c>
      <c r="I7" s="29" t="s">
        <v>460</v>
      </c>
      <c r="J7" s="33" t="s">
        <v>1766</v>
      </c>
      <c r="K7" s="22" t="s">
        <v>407</v>
      </c>
      <c r="L7" s="1" t="n">
        <v>0.1</v>
      </c>
      <c r="M7" s="7" t="s">
        <v>408</v>
      </c>
      <c r="N7" s="7" t="s">
        <v>409</v>
      </c>
    </row>
    <row r="8" customFormat="false" ht="28.5" hidden="false" customHeight="true" outlineLevel="0" collapsed="false">
      <c r="A8" s="29" t="s">
        <v>1767</v>
      </c>
      <c r="B8" s="22" t="s">
        <v>470</v>
      </c>
      <c r="C8" s="29" t="s">
        <v>664</v>
      </c>
      <c r="D8" s="29" t="s">
        <v>402</v>
      </c>
      <c r="E8" s="22" t="s">
        <v>431</v>
      </c>
      <c r="F8" s="30" t="n">
        <v>0.0909</v>
      </c>
      <c r="G8" s="34" t="n">
        <v>8</v>
      </c>
      <c r="H8" s="32" t="s">
        <v>785</v>
      </c>
      <c r="I8" s="29" t="s">
        <v>646</v>
      </c>
      <c r="J8" s="33" t="s">
        <v>1768</v>
      </c>
      <c r="K8" s="22" t="s">
        <v>475</v>
      </c>
      <c r="L8" s="1" t="n">
        <v>0.1</v>
      </c>
      <c r="M8" s="7" t="s">
        <v>408</v>
      </c>
      <c r="N8" s="7" t="s">
        <v>409</v>
      </c>
    </row>
    <row r="9" customFormat="false" ht="28.5" hidden="false" customHeight="true" outlineLevel="0" collapsed="false">
      <c r="A9" s="29" t="s">
        <v>1769</v>
      </c>
      <c r="B9" s="22" t="s">
        <v>1770</v>
      </c>
      <c r="C9" s="29" t="s">
        <v>705</v>
      </c>
      <c r="D9" s="22" t="s">
        <v>1638</v>
      </c>
      <c r="E9" s="22" t="s">
        <v>925</v>
      </c>
      <c r="F9" s="30" t="n">
        <v>0.0727</v>
      </c>
      <c r="G9" s="34" t="n">
        <v>8</v>
      </c>
      <c r="H9" s="32" t="s">
        <v>1771</v>
      </c>
      <c r="I9" s="29" t="s">
        <v>672</v>
      </c>
      <c r="J9" s="33" t="s">
        <v>1772</v>
      </c>
      <c r="K9" s="22" t="s">
        <v>441</v>
      </c>
      <c r="L9" s="1" t="n">
        <v>0.08</v>
      </c>
      <c r="M9" s="7" t="s">
        <v>408</v>
      </c>
      <c r="N9" s="7" t="s">
        <v>679</v>
      </c>
    </row>
    <row r="10" customFormat="false" ht="13.5" hidden="false" customHeight="true" outlineLevel="0" collapsed="false">
      <c r="A10" s="28" t="s">
        <v>442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28.5" hidden="false" customHeight="true" outlineLevel="0" collapsed="false">
      <c r="A11" s="29" t="s">
        <v>1536</v>
      </c>
      <c r="B11" s="22" t="s">
        <v>436</v>
      </c>
      <c r="C11" s="29" t="s">
        <v>540</v>
      </c>
      <c r="D11" s="29" t="s">
        <v>402</v>
      </c>
      <c r="E11" s="22" t="s">
        <v>431</v>
      </c>
      <c r="F11" s="30" t="n">
        <v>0.105</v>
      </c>
      <c r="G11" s="31" t="n">
        <v>6</v>
      </c>
      <c r="H11" s="32" t="s">
        <v>541</v>
      </c>
      <c r="I11" s="29" t="s">
        <v>460</v>
      </c>
      <c r="J11" s="33" t="s">
        <v>1537</v>
      </c>
      <c r="K11" s="22" t="s">
        <v>407</v>
      </c>
      <c r="L11" s="1" t="n">
        <v>0.12</v>
      </c>
      <c r="M11" s="7" t="s">
        <v>449</v>
      </c>
      <c r="N11" s="7" t="s">
        <v>589</v>
      </c>
    </row>
    <row r="12" customFormat="false" ht="28.5" hidden="false" customHeight="true" outlineLevel="0" collapsed="false">
      <c r="A12" s="29" t="s">
        <v>1773</v>
      </c>
      <c r="B12" s="22" t="s">
        <v>1774</v>
      </c>
      <c r="C12" s="29" t="s">
        <v>1775</v>
      </c>
      <c r="D12" s="29" t="s">
        <v>402</v>
      </c>
      <c r="E12" s="22" t="s">
        <v>431</v>
      </c>
      <c r="F12" s="30" t="n">
        <v>0.0875</v>
      </c>
      <c r="G12" s="34" t="n">
        <v>8</v>
      </c>
      <c r="H12" s="32" t="s">
        <v>886</v>
      </c>
      <c r="I12" s="29" t="s">
        <v>532</v>
      </c>
      <c r="J12" s="33" t="s">
        <v>1776</v>
      </c>
      <c r="K12" s="22" t="s">
        <v>475</v>
      </c>
      <c r="L12" s="1" t="n">
        <v>0.1</v>
      </c>
      <c r="M12" s="7" t="s">
        <v>449</v>
      </c>
      <c r="N12" s="7" t="s">
        <v>589</v>
      </c>
    </row>
    <row r="13" customFormat="false" ht="28.5" hidden="false" customHeight="true" outlineLevel="0" collapsed="false">
      <c r="A13" s="29" t="s">
        <v>1777</v>
      </c>
      <c r="B13" s="22" t="s">
        <v>429</v>
      </c>
      <c r="C13" s="29" t="s">
        <v>659</v>
      </c>
      <c r="D13" s="29" t="s">
        <v>402</v>
      </c>
      <c r="E13" s="22" t="s">
        <v>431</v>
      </c>
      <c r="F13" s="30" t="n">
        <v>0.0875</v>
      </c>
      <c r="G13" s="34" t="n">
        <v>8</v>
      </c>
      <c r="H13" s="32" t="s">
        <v>977</v>
      </c>
      <c r="I13" s="29" t="s">
        <v>739</v>
      </c>
      <c r="J13" s="33" t="s">
        <v>1778</v>
      </c>
      <c r="K13" s="22" t="s">
        <v>407</v>
      </c>
      <c r="L13" s="1" t="n">
        <v>0.1</v>
      </c>
      <c r="M13" s="7" t="s">
        <v>449</v>
      </c>
      <c r="N13" s="7" t="s">
        <v>409</v>
      </c>
    </row>
    <row r="14" customFormat="false" ht="28.5" hidden="false" customHeight="true" outlineLevel="0" collapsed="false">
      <c r="A14" s="29" t="s">
        <v>1779</v>
      </c>
      <c r="B14" s="22" t="s">
        <v>436</v>
      </c>
      <c r="C14" s="29" t="s">
        <v>540</v>
      </c>
      <c r="D14" s="29" t="s">
        <v>402</v>
      </c>
      <c r="E14" s="22" t="s">
        <v>431</v>
      </c>
      <c r="F14" s="30" t="n">
        <v>0.07</v>
      </c>
      <c r="G14" s="31" t="n">
        <v>6</v>
      </c>
      <c r="H14" s="32" t="s">
        <v>541</v>
      </c>
      <c r="I14" s="29" t="s">
        <v>460</v>
      </c>
      <c r="J14" s="33" t="s">
        <v>1780</v>
      </c>
      <c r="K14" s="22" t="s">
        <v>475</v>
      </c>
      <c r="L14" s="1" t="n">
        <v>0.08</v>
      </c>
      <c r="M14" s="7" t="s">
        <v>449</v>
      </c>
      <c r="N14" s="7" t="s">
        <v>589</v>
      </c>
    </row>
    <row r="15" customFormat="false" ht="13.5" hidden="false" customHeight="true" outlineLevel="0" collapsed="false">
      <c r="A15" s="28" t="s">
        <v>468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customFormat="false" ht="28.5" hidden="false" customHeight="true" outlineLevel="0" collapsed="false">
      <c r="A16" s="29" t="s">
        <v>1781</v>
      </c>
      <c r="B16" s="22" t="s">
        <v>470</v>
      </c>
      <c r="C16" s="29" t="s">
        <v>877</v>
      </c>
      <c r="D16" s="22" t="s">
        <v>592</v>
      </c>
      <c r="E16" s="22" t="s">
        <v>431</v>
      </c>
      <c r="F16" s="30" t="n">
        <v>0.06</v>
      </c>
      <c r="G16" s="31" t="n">
        <v>6</v>
      </c>
      <c r="H16" s="32" t="s">
        <v>593</v>
      </c>
      <c r="I16" s="29" t="s">
        <v>447</v>
      </c>
      <c r="J16" s="32" t="s">
        <v>1543</v>
      </c>
      <c r="K16" s="22" t="s">
        <v>475</v>
      </c>
      <c r="L16" s="1" t="n">
        <v>0.1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1782</v>
      </c>
      <c r="B17" s="22" t="s">
        <v>470</v>
      </c>
      <c r="C17" s="29" t="s">
        <v>705</v>
      </c>
      <c r="D17" s="29" t="s">
        <v>472</v>
      </c>
      <c r="E17" s="22" t="s">
        <v>431</v>
      </c>
      <c r="F17" s="30" t="n">
        <v>0.048</v>
      </c>
      <c r="G17" s="31" t="n">
        <v>6</v>
      </c>
      <c r="H17" s="32" t="s">
        <v>706</v>
      </c>
      <c r="I17" s="29" t="s">
        <v>447</v>
      </c>
      <c r="J17" s="33" t="s">
        <v>1783</v>
      </c>
      <c r="K17" s="22" t="s">
        <v>475</v>
      </c>
      <c r="L17" s="1" t="n">
        <v>0.08</v>
      </c>
      <c r="M17" s="7" t="s">
        <v>476</v>
      </c>
      <c r="N17" s="7" t="s">
        <v>419</v>
      </c>
    </row>
    <row r="18" customFormat="false" ht="28.5" hidden="false" customHeight="true" outlineLevel="0" collapsed="false">
      <c r="A18" s="29" t="s">
        <v>1784</v>
      </c>
      <c r="B18" s="22" t="s">
        <v>436</v>
      </c>
      <c r="C18" s="29" t="s">
        <v>825</v>
      </c>
      <c r="D18" s="29" t="s">
        <v>472</v>
      </c>
      <c r="E18" s="22" t="s">
        <v>431</v>
      </c>
      <c r="F18" s="30" t="n">
        <v>0.042</v>
      </c>
      <c r="G18" s="31" t="n">
        <v>6</v>
      </c>
      <c r="H18" s="32" t="s">
        <v>505</v>
      </c>
      <c r="I18" s="29" t="s">
        <v>460</v>
      </c>
      <c r="J18" s="33" t="s">
        <v>1515</v>
      </c>
      <c r="K18" s="22" t="s">
        <v>475</v>
      </c>
      <c r="L18" s="1" t="n">
        <v>0.07</v>
      </c>
      <c r="M18" s="7" t="s">
        <v>476</v>
      </c>
      <c r="N18" s="7" t="s">
        <v>477</v>
      </c>
    </row>
    <row r="19" customFormat="false" ht="17.25" hidden="false" customHeight="true" outlineLevel="0" collapsed="false">
      <c r="A19" s="35" t="s">
        <v>485</v>
      </c>
      <c r="B19" s="35"/>
      <c r="C19" s="35"/>
      <c r="D19" s="35"/>
      <c r="E19" s="35"/>
      <c r="F19" s="35"/>
      <c r="G19" s="36" t="n">
        <f aca="false">ROUND(SUMPRODUCT(F5:F18,G5:G18),1)</f>
        <v>7.2</v>
      </c>
      <c r="H19" s="37" t="s">
        <v>486</v>
      </c>
      <c r="I19" s="37"/>
      <c r="J19" s="37"/>
      <c r="K19" s="37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1785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1786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ROUND(SUMPRODUCT(F5:F9,G5:G9)/SUM(F5:F9),1)</f>
        <v>8.4</v>
      </c>
    </row>
    <row r="5" customFormat="false" ht="28.5" hidden="false" customHeight="true" outlineLevel="0" collapsed="false">
      <c r="A5" s="29" t="s">
        <v>1787</v>
      </c>
      <c r="B5" s="22" t="s">
        <v>1788</v>
      </c>
      <c r="C5" s="29" t="s">
        <v>1789</v>
      </c>
      <c r="D5" s="22" t="s">
        <v>1790</v>
      </c>
      <c r="E5" s="22" t="s">
        <v>925</v>
      </c>
      <c r="F5" s="30" t="n">
        <v>0.15</v>
      </c>
      <c r="G5" s="34" t="n">
        <v>8</v>
      </c>
      <c r="H5" s="32" t="s">
        <v>1791</v>
      </c>
      <c r="I5" s="29" t="s">
        <v>646</v>
      </c>
      <c r="J5" s="33" t="s">
        <v>1792</v>
      </c>
      <c r="K5" s="22" t="s">
        <v>475</v>
      </c>
      <c r="L5" s="1" t="n">
        <v>0.15</v>
      </c>
      <c r="M5" s="7" t="s">
        <v>1793</v>
      </c>
      <c r="N5" s="7" t="s">
        <v>409</v>
      </c>
      <c r="O5" s="1" t="s">
        <v>410</v>
      </c>
      <c r="P5" s="1" t="n">
        <f aca="false">ROUND(SUMPRODUCT(F11:F14,G11:G14)/SUM(F11:F14),1)</f>
        <v>7.6</v>
      </c>
    </row>
    <row r="6" customFormat="false" ht="28.5" hidden="false" customHeight="true" outlineLevel="0" collapsed="false">
      <c r="A6" s="29" t="s">
        <v>1794</v>
      </c>
      <c r="B6" s="22" t="s">
        <v>1795</v>
      </c>
      <c r="C6" s="29" t="s">
        <v>1796</v>
      </c>
      <c r="D6" s="29" t="s">
        <v>402</v>
      </c>
      <c r="E6" s="22" t="s">
        <v>1699</v>
      </c>
      <c r="F6" s="30" t="n">
        <v>0.12</v>
      </c>
      <c r="G6" s="34" t="n">
        <v>10</v>
      </c>
      <c r="H6" s="32" t="s">
        <v>1797</v>
      </c>
      <c r="I6" s="29" t="s">
        <v>1373</v>
      </c>
      <c r="J6" s="33" t="s">
        <v>1798</v>
      </c>
      <c r="K6" s="22" t="s">
        <v>475</v>
      </c>
      <c r="L6" s="1" t="n">
        <v>0.12</v>
      </c>
      <c r="M6" s="7" t="s">
        <v>1793</v>
      </c>
      <c r="N6" s="7" t="s">
        <v>679</v>
      </c>
      <c r="O6" s="1" t="s">
        <v>420</v>
      </c>
      <c r="P6" s="1" t="n">
        <f aca="false">ROUND(SUMPRODUCT(F16:F18,G16:G18)/SUM(F16:F18),1)</f>
        <v>5.8</v>
      </c>
    </row>
    <row r="7" customFormat="false" ht="28.5" hidden="false" customHeight="true" outlineLevel="0" collapsed="false">
      <c r="A7" s="29" t="s">
        <v>1799</v>
      </c>
      <c r="B7" s="22" t="s">
        <v>1702</v>
      </c>
      <c r="C7" s="29" t="s">
        <v>1002</v>
      </c>
      <c r="D7" s="29" t="s">
        <v>402</v>
      </c>
      <c r="E7" s="22" t="s">
        <v>424</v>
      </c>
      <c r="F7" s="30" t="n">
        <v>0.1</v>
      </c>
      <c r="G7" s="34" t="n">
        <v>8</v>
      </c>
      <c r="H7" s="32" t="s">
        <v>1800</v>
      </c>
      <c r="I7" s="29" t="s">
        <v>426</v>
      </c>
      <c r="J7" s="33" t="s">
        <v>1801</v>
      </c>
      <c r="K7" s="22" t="s">
        <v>475</v>
      </c>
      <c r="L7" s="1" t="n">
        <v>0.1</v>
      </c>
      <c r="M7" s="7" t="s">
        <v>1793</v>
      </c>
      <c r="N7" s="7" t="s">
        <v>419</v>
      </c>
    </row>
    <row r="8" customFormat="false" ht="28.5" hidden="false" customHeight="true" outlineLevel="0" collapsed="false">
      <c r="A8" s="29" t="s">
        <v>1802</v>
      </c>
      <c r="B8" s="22" t="s">
        <v>1803</v>
      </c>
      <c r="C8" s="29" t="s">
        <v>1307</v>
      </c>
      <c r="D8" s="29" t="s">
        <v>402</v>
      </c>
      <c r="E8" s="22" t="s">
        <v>431</v>
      </c>
      <c r="F8" s="30" t="n">
        <v>0.1</v>
      </c>
      <c r="G8" s="34" t="n">
        <v>8</v>
      </c>
      <c r="H8" s="32" t="s">
        <v>1695</v>
      </c>
      <c r="I8" s="29" t="s">
        <v>416</v>
      </c>
      <c r="J8" s="33" t="s">
        <v>1804</v>
      </c>
      <c r="K8" s="22" t="s">
        <v>475</v>
      </c>
      <c r="L8" s="1" t="n">
        <v>0.1</v>
      </c>
      <c r="M8" s="7" t="s">
        <v>1793</v>
      </c>
      <c r="N8" s="7" t="s">
        <v>589</v>
      </c>
    </row>
    <row r="9" customFormat="false" ht="28.5" hidden="false" customHeight="true" outlineLevel="0" collapsed="false">
      <c r="A9" s="29" t="s">
        <v>1805</v>
      </c>
      <c r="B9" s="29" t="s">
        <v>1806</v>
      </c>
      <c r="C9" s="29" t="s">
        <v>1807</v>
      </c>
      <c r="D9" s="22" t="s">
        <v>1808</v>
      </c>
      <c r="E9" s="22" t="s">
        <v>1809</v>
      </c>
      <c r="F9" s="30" t="n">
        <v>0.08</v>
      </c>
      <c r="G9" s="34" t="n">
        <v>8</v>
      </c>
      <c r="H9" s="33" t="s">
        <v>1810</v>
      </c>
      <c r="I9" s="29" t="s">
        <v>653</v>
      </c>
      <c r="J9" s="33" t="s">
        <v>1811</v>
      </c>
      <c r="K9" s="22" t="s">
        <v>475</v>
      </c>
      <c r="L9" s="1" t="n">
        <v>0.08</v>
      </c>
      <c r="M9" s="7" t="s">
        <v>1793</v>
      </c>
      <c r="N9" s="7" t="s">
        <v>409</v>
      </c>
    </row>
    <row r="10" customFormat="false" ht="13.5" hidden="false" customHeight="true" outlineLevel="0" collapsed="false">
      <c r="A10" s="28" t="s">
        <v>442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28.5" hidden="false" customHeight="true" outlineLevel="0" collapsed="false">
      <c r="A11" s="29" t="s">
        <v>1812</v>
      </c>
      <c r="B11" s="22" t="s">
        <v>1287</v>
      </c>
      <c r="C11" s="29" t="s">
        <v>1459</v>
      </c>
      <c r="D11" s="22" t="s">
        <v>1813</v>
      </c>
      <c r="E11" s="22" t="s">
        <v>431</v>
      </c>
      <c r="F11" s="30" t="n">
        <v>0.1047</v>
      </c>
      <c r="G11" s="34" t="n">
        <v>8</v>
      </c>
      <c r="H11" s="32" t="s">
        <v>1814</v>
      </c>
      <c r="I11" s="29" t="s">
        <v>646</v>
      </c>
      <c r="J11" s="33" t="s">
        <v>1815</v>
      </c>
      <c r="K11" s="22" t="s">
        <v>407</v>
      </c>
      <c r="L11" s="1" t="n">
        <v>0.15</v>
      </c>
      <c r="M11" s="7" t="s">
        <v>758</v>
      </c>
      <c r="N11" s="7" t="s">
        <v>589</v>
      </c>
    </row>
    <row r="12" customFormat="false" ht="28.5" hidden="false" customHeight="true" outlineLevel="0" collapsed="false">
      <c r="A12" s="29" t="s">
        <v>1816</v>
      </c>
      <c r="B12" s="22" t="s">
        <v>1702</v>
      </c>
      <c r="C12" s="29" t="s">
        <v>491</v>
      </c>
      <c r="D12" s="29" t="s">
        <v>472</v>
      </c>
      <c r="E12" s="22" t="s">
        <v>431</v>
      </c>
      <c r="F12" s="30" t="n">
        <v>0.0698</v>
      </c>
      <c r="G12" s="34" t="n">
        <v>8</v>
      </c>
      <c r="H12" s="32" t="s">
        <v>1817</v>
      </c>
      <c r="I12" s="29" t="s">
        <v>672</v>
      </c>
      <c r="J12" s="33" t="s">
        <v>1818</v>
      </c>
      <c r="K12" s="22" t="s">
        <v>475</v>
      </c>
      <c r="L12" s="1" t="n">
        <v>0.1</v>
      </c>
      <c r="M12" s="7" t="s">
        <v>758</v>
      </c>
      <c r="N12" s="7" t="s">
        <v>409</v>
      </c>
    </row>
    <row r="13" customFormat="false" ht="28.5" hidden="false" customHeight="true" outlineLevel="0" collapsed="false">
      <c r="A13" s="29" t="s">
        <v>1819</v>
      </c>
      <c r="B13" s="22" t="s">
        <v>1702</v>
      </c>
      <c r="C13" s="29" t="s">
        <v>1161</v>
      </c>
      <c r="D13" s="22" t="s">
        <v>1820</v>
      </c>
      <c r="E13" s="22" t="s">
        <v>431</v>
      </c>
      <c r="F13" s="30" t="n">
        <v>0.0558</v>
      </c>
      <c r="G13" s="31" t="n">
        <v>6</v>
      </c>
      <c r="H13" s="32" t="s">
        <v>1728</v>
      </c>
      <c r="I13" s="29" t="s">
        <v>454</v>
      </c>
      <c r="J13" s="33" t="s">
        <v>1821</v>
      </c>
      <c r="K13" s="22" t="s">
        <v>475</v>
      </c>
      <c r="L13" s="1" t="n">
        <v>0.08</v>
      </c>
      <c r="M13" s="7" t="s">
        <v>758</v>
      </c>
      <c r="N13" s="7" t="s">
        <v>409</v>
      </c>
    </row>
    <row r="14" customFormat="false" ht="28.5" hidden="false" customHeight="true" outlineLevel="0" collapsed="false">
      <c r="A14" s="29" t="s">
        <v>1822</v>
      </c>
      <c r="B14" s="22" t="s">
        <v>470</v>
      </c>
      <c r="C14" s="29" t="s">
        <v>1382</v>
      </c>
      <c r="D14" s="29" t="s">
        <v>402</v>
      </c>
      <c r="E14" s="22" t="s">
        <v>431</v>
      </c>
      <c r="F14" s="30" t="n">
        <v>0.0698</v>
      </c>
      <c r="G14" s="34" t="n">
        <v>8</v>
      </c>
      <c r="H14" s="32" t="s">
        <v>1695</v>
      </c>
      <c r="I14" s="29" t="s">
        <v>653</v>
      </c>
      <c r="J14" s="33" t="s">
        <v>1823</v>
      </c>
      <c r="K14" s="22" t="s">
        <v>475</v>
      </c>
      <c r="L14" s="1" t="n">
        <v>0.1</v>
      </c>
      <c r="M14" s="7" t="s">
        <v>758</v>
      </c>
      <c r="N14" s="7" t="s">
        <v>589</v>
      </c>
    </row>
    <row r="15" customFormat="false" ht="13.5" hidden="false" customHeight="true" outlineLevel="0" collapsed="false">
      <c r="A15" s="28" t="s">
        <v>468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customFormat="false" ht="28.5" hidden="false" customHeight="true" outlineLevel="0" collapsed="false">
      <c r="A16" s="29" t="s">
        <v>1824</v>
      </c>
      <c r="B16" s="22" t="s">
        <v>470</v>
      </c>
      <c r="C16" s="29" t="s">
        <v>1061</v>
      </c>
      <c r="D16" s="22" t="s">
        <v>592</v>
      </c>
      <c r="E16" s="22" t="s">
        <v>1825</v>
      </c>
      <c r="F16" s="30" t="n">
        <v>0.06</v>
      </c>
      <c r="G16" s="38" t="n">
        <v>4</v>
      </c>
      <c r="H16" s="32" t="s">
        <v>1826</v>
      </c>
      <c r="I16" s="29" t="s">
        <v>405</v>
      </c>
      <c r="J16" s="33" t="s">
        <v>1827</v>
      </c>
      <c r="K16" s="22" t="s">
        <v>475</v>
      </c>
      <c r="L16" s="1" t="n">
        <v>0.1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1828</v>
      </c>
      <c r="B17" s="22" t="s">
        <v>470</v>
      </c>
      <c r="C17" s="29" t="s">
        <v>1152</v>
      </c>
      <c r="D17" s="29" t="s">
        <v>472</v>
      </c>
      <c r="E17" s="22" t="s">
        <v>431</v>
      </c>
      <c r="F17" s="30" t="n">
        <v>0.048</v>
      </c>
      <c r="G17" s="31" t="n">
        <v>6</v>
      </c>
      <c r="H17" s="32" t="s">
        <v>671</v>
      </c>
      <c r="I17" s="29" t="s">
        <v>433</v>
      </c>
      <c r="J17" s="33" t="s">
        <v>1829</v>
      </c>
      <c r="K17" s="22" t="s">
        <v>475</v>
      </c>
      <c r="L17" s="1" t="n">
        <v>0.08</v>
      </c>
      <c r="M17" s="7" t="s">
        <v>476</v>
      </c>
      <c r="N17" s="7" t="s">
        <v>419</v>
      </c>
    </row>
    <row r="18" customFormat="false" ht="28.5" hidden="false" customHeight="true" outlineLevel="0" collapsed="false">
      <c r="A18" s="29" t="s">
        <v>1830</v>
      </c>
      <c r="B18" s="22" t="s">
        <v>470</v>
      </c>
      <c r="C18" s="29" t="s">
        <v>524</v>
      </c>
      <c r="D18" s="29" t="s">
        <v>472</v>
      </c>
      <c r="E18" s="22" t="s">
        <v>431</v>
      </c>
      <c r="F18" s="30" t="n">
        <v>0.042</v>
      </c>
      <c r="G18" s="34" t="n">
        <v>8</v>
      </c>
      <c r="H18" s="32" t="s">
        <v>785</v>
      </c>
      <c r="I18" s="29" t="s">
        <v>646</v>
      </c>
      <c r="J18" s="33" t="s">
        <v>1831</v>
      </c>
      <c r="K18" s="22" t="s">
        <v>475</v>
      </c>
      <c r="L18" s="1" t="n">
        <v>0.07</v>
      </c>
      <c r="M18" s="7" t="s">
        <v>476</v>
      </c>
      <c r="N18" s="7" t="s">
        <v>409</v>
      </c>
    </row>
    <row r="19" customFormat="false" ht="17.25" hidden="false" customHeight="true" outlineLevel="0" collapsed="false">
      <c r="A19" s="35" t="s">
        <v>485</v>
      </c>
      <c r="B19" s="35"/>
      <c r="C19" s="35"/>
      <c r="D19" s="35"/>
      <c r="E19" s="35"/>
      <c r="F19" s="35"/>
      <c r="G19" s="36" t="n">
        <f aca="false">ROUND(SUMPRODUCT(F5:F18,G5:G18),1)</f>
        <v>7.8</v>
      </c>
      <c r="H19" s="37" t="s">
        <v>486</v>
      </c>
      <c r="I19" s="37"/>
      <c r="J19" s="37"/>
      <c r="K19" s="37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8.75" hidden="false" customHeight="true" outlineLevel="0" collapsed="false">
      <c r="A1" s="24" t="s">
        <v>1832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1833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ROUND(SUMPRODUCT(F5:F9,G5:G9)/SUM(F5:F9),1)</f>
        <v>9.4</v>
      </c>
    </row>
    <row r="5" customFormat="false" ht="28.5" hidden="false" customHeight="true" outlineLevel="0" collapsed="false">
      <c r="A5" s="29" t="s">
        <v>1834</v>
      </c>
      <c r="B5" s="29" t="s">
        <v>1306</v>
      </c>
      <c r="C5" s="29" t="s">
        <v>1835</v>
      </c>
      <c r="D5" s="29" t="s">
        <v>402</v>
      </c>
      <c r="E5" s="22" t="s">
        <v>431</v>
      </c>
      <c r="F5" s="30" t="n">
        <v>0.15</v>
      </c>
      <c r="G5" s="34" t="n">
        <v>10</v>
      </c>
      <c r="H5" s="32" t="s">
        <v>1308</v>
      </c>
      <c r="I5" s="29" t="s">
        <v>1373</v>
      </c>
      <c r="J5" s="32" t="s">
        <v>1836</v>
      </c>
      <c r="K5" s="22" t="s">
        <v>475</v>
      </c>
      <c r="L5" s="1" t="n">
        <v>0.15</v>
      </c>
      <c r="M5" s="7" t="s">
        <v>1793</v>
      </c>
      <c r="N5" s="7" t="s">
        <v>589</v>
      </c>
      <c r="O5" s="1" t="s">
        <v>410</v>
      </c>
      <c r="P5" s="1" t="n">
        <f aca="false">ROUND(SUMPRODUCT(F11:F14,G11:G14)/SUM(F11:F14),1)</f>
        <v>8.5</v>
      </c>
    </row>
    <row r="6" customFormat="false" ht="28.5" hidden="false" customHeight="true" outlineLevel="0" collapsed="false">
      <c r="A6" s="29" t="s">
        <v>1837</v>
      </c>
      <c r="B6" s="22" t="s">
        <v>1838</v>
      </c>
      <c r="C6" s="29" t="s">
        <v>1839</v>
      </c>
      <c r="D6" s="29" t="s">
        <v>402</v>
      </c>
      <c r="E6" s="22" t="s">
        <v>431</v>
      </c>
      <c r="F6" s="30" t="n">
        <v>0.12</v>
      </c>
      <c r="G6" s="34" t="n">
        <v>10</v>
      </c>
      <c r="H6" s="32" t="s">
        <v>1308</v>
      </c>
      <c r="I6" s="29" t="s">
        <v>1840</v>
      </c>
      <c r="J6" s="32" t="s">
        <v>1841</v>
      </c>
      <c r="K6" s="22" t="s">
        <v>475</v>
      </c>
      <c r="L6" s="1" t="n">
        <v>0.12</v>
      </c>
      <c r="M6" s="7" t="s">
        <v>1793</v>
      </c>
      <c r="N6" s="7" t="s">
        <v>589</v>
      </c>
      <c r="O6" s="1" t="s">
        <v>420</v>
      </c>
      <c r="P6" s="1" t="n">
        <f aca="false">ROUND(SUMPRODUCT(F16:F18,G16:G18)/SUM(F16:F18),1)</f>
        <v>8</v>
      </c>
    </row>
    <row r="7" customFormat="false" ht="28.5" hidden="false" customHeight="true" outlineLevel="0" collapsed="false">
      <c r="A7" s="29" t="s">
        <v>1380</v>
      </c>
      <c r="B7" s="29" t="s">
        <v>1381</v>
      </c>
      <c r="C7" s="29" t="s">
        <v>1842</v>
      </c>
      <c r="D7" s="29" t="s">
        <v>402</v>
      </c>
      <c r="E7" s="22" t="s">
        <v>431</v>
      </c>
      <c r="F7" s="30" t="n">
        <v>0.1</v>
      </c>
      <c r="G7" s="34" t="n">
        <v>10</v>
      </c>
      <c r="H7" s="32" t="s">
        <v>1101</v>
      </c>
      <c r="I7" s="29" t="s">
        <v>627</v>
      </c>
      <c r="J7" s="33" t="s">
        <v>1843</v>
      </c>
      <c r="K7" s="22" t="s">
        <v>475</v>
      </c>
      <c r="L7" s="1" t="n">
        <v>0.1</v>
      </c>
      <c r="M7" s="7" t="s">
        <v>1793</v>
      </c>
      <c r="N7" s="7" t="s">
        <v>589</v>
      </c>
    </row>
    <row r="8" customFormat="false" ht="28.5" hidden="false" customHeight="true" outlineLevel="0" collapsed="false">
      <c r="A8" s="29" t="s">
        <v>1384</v>
      </c>
      <c r="B8" s="22" t="s">
        <v>1311</v>
      </c>
      <c r="C8" s="29" t="s">
        <v>1844</v>
      </c>
      <c r="D8" s="22" t="s">
        <v>1386</v>
      </c>
      <c r="E8" s="22" t="s">
        <v>925</v>
      </c>
      <c r="F8" s="30" t="n">
        <v>0.1</v>
      </c>
      <c r="G8" s="34" t="n">
        <v>10</v>
      </c>
      <c r="H8" s="32" t="s">
        <v>1340</v>
      </c>
      <c r="I8" s="29" t="s">
        <v>627</v>
      </c>
      <c r="J8" s="33" t="s">
        <v>1387</v>
      </c>
      <c r="K8" s="22" t="s">
        <v>441</v>
      </c>
      <c r="L8" s="1" t="n">
        <v>0.1</v>
      </c>
      <c r="M8" s="7" t="s">
        <v>1793</v>
      </c>
      <c r="N8" s="7" t="s">
        <v>409</v>
      </c>
    </row>
    <row r="9" customFormat="false" ht="28.5" hidden="false" customHeight="true" outlineLevel="0" collapsed="false">
      <c r="A9" s="29" t="s">
        <v>1845</v>
      </c>
      <c r="B9" s="22" t="s">
        <v>1702</v>
      </c>
      <c r="C9" s="29" t="s">
        <v>611</v>
      </c>
      <c r="D9" s="29" t="s">
        <v>472</v>
      </c>
      <c r="E9" s="22" t="s">
        <v>431</v>
      </c>
      <c r="F9" s="30" t="n">
        <v>0.08</v>
      </c>
      <c r="G9" s="31" t="n">
        <v>6</v>
      </c>
      <c r="H9" s="32" t="s">
        <v>1846</v>
      </c>
      <c r="I9" s="29" t="s">
        <v>460</v>
      </c>
      <c r="J9" s="33" t="s">
        <v>1847</v>
      </c>
      <c r="K9" s="22" t="s">
        <v>475</v>
      </c>
      <c r="L9" s="1" t="n">
        <v>0.08</v>
      </c>
      <c r="M9" s="7" t="s">
        <v>1793</v>
      </c>
      <c r="N9" s="7" t="s">
        <v>409</v>
      </c>
    </row>
    <row r="10" customFormat="false" ht="13.5" hidden="false" customHeight="true" outlineLevel="0" collapsed="false">
      <c r="A10" s="28" t="s">
        <v>442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28.5" hidden="false" customHeight="true" outlineLevel="0" collapsed="false">
      <c r="A11" s="29" t="s">
        <v>1848</v>
      </c>
      <c r="B11" s="22" t="s">
        <v>1669</v>
      </c>
      <c r="C11" s="29" t="s">
        <v>712</v>
      </c>
      <c r="D11" s="29" t="s">
        <v>520</v>
      </c>
      <c r="E11" s="22" t="s">
        <v>431</v>
      </c>
      <c r="F11" s="30" t="n">
        <v>0.09</v>
      </c>
      <c r="G11" s="34" t="n">
        <v>8</v>
      </c>
      <c r="H11" s="32" t="s">
        <v>636</v>
      </c>
      <c r="I11" s="29" t="s">
        <v>672</v>
      </c>
      <c r="J11" s="33" t="s">
        <v>1849</v>
      </c>
      <c r="K11" s="22" t="s">
        <v>407</v>
      </c>
      <c r="L11" s="1" t="n">
        <v>0.12</v>
      </c>
      <c r="M11" s="7" t="s">
        <v>758</v>
      </c>
      <c r="N11" s="7" t="s">
        <v>419</v>
      </c>
    </row>
    <row r="12" customFormat="false" ht="28.5" hidden="false" customHeight="true" outlineLevel="0" collapsed="false">
      <c r="A12" s="29" t="s">
        <v>1850</v>
      </c>
      <c r="B12" s="22" t="s">
        <v>1851</v>
      </c>
      <c r="C12" s="29" t="s">
        <v>676</v>
      </c>
      <c r="D12" s="29" t="s">
        <v>402</v>
      </c>
      <c r="E12" s="22" t="s">
        <v>431</v>
      </c>
      <c r="F12" s="30" t="n">
        <v>0.075</v>
      </c>
      <c r="G12" s="34" t="n">
        <v>8</v>
      </c>
      <c r="H12" s="32" t="s">
        <v>1846</v>
      </c>
      <c r="I12" s="29" t="s">
        <v>646</v>
      </c>
      <c r="J12" s="33" t="s">
        <v>1852</v>
      </c>
      <c r="K12" s="22" t="s">
        <v>475</v>
      </c>
      <c r="L12" s="1" t="n">
        <v>0.1</v>
      </c>
      <c r="M12" s="7" t="s">
        <v>758</v>
      </c>
      <c r="N12" s="7" t="s">
        <v>589</v>
      </c>
    </row>
    <row r="13" customFormat="false" ht="14.25" hidden="false" customHeight="true" outlineLevel="0" collapsed="false">
      <c r="A13" s="29" t="s">
        <v>1853</v>
      </c>
      <c r="B13" s="22" t="s">
        <v>1311</v>
      </c>
      <c r="C13" s="29" t="s">
        <v>1854</v>
      </c>
      <c r="D13" s="22"/>
      <c r="E13" s="22" t="s">
        <v>1855</v>
      </c>
      <c r="F13" s="30" t="n">
        <v>0.06</v>
      </c>
      <c r="G13" s="34" t="n">
        <v>8</v>
      </c>
      <c r="H13" s="32" t="s">
        <v>1856</v>
      </c>
      <c r="I13" s="29" t="s">
        <v>454</v>
      </c>
      <c r="J13" s="32" t="s">
        <v>1857</v>
      </c>
      <c r="K13" s="22" t="s">
        <v>475</v>
      </c>
      <c r="L13" s="1" t="n">
        <v>0.08</v>
      </c>
      <c r="M13" s="7" t="s">
        <v>758</v>
      </c>
      <c r="N13" s="7" t="s">
        <v>409</v>
      </c>
    </row>
    <row r="14" customFormat="false" ht="28.5" hidden="false" customHeight="true" outlineLevel="0" collapsed="false">
      <c r="A14" s="29" t="s">
        <v>1858</v>
      </c>
      <c r="B14" s="22" t="s">
        <v>1859</v>
      </c>
      <c r="C14" s="29" t="s">
        <v>1796</v>
      </c>
      <c r="D14" s="29" t="s">
        <v>402</v>
      </c>
      <c r="E14" s="22" t="s">
        <v>431</v>
      </c>
      <c r="F14" s="30" t="n">
        <v>0.075</v>
      </c>
      <c r="G14" s="34" t="n">
        <v>10</v>
      </c>
      <c r="H14" s="32" t="s">
        <v>1797</v>
      </c>
      <c r="I14" s="29" t="s">
        <v>627</v>
      </c>
      <c r="J14" s="33" t="s">
        <v>1860</v>
      </c>
      <c r="K14" s="22" t="s">
        <v>475</v>
      </c>
      <c r="L14" s="1" t="n">
        <v>0.1</v>
      </c>
      <c r="M14" s="7" t="s">
        <v>758</v>
      </c>
      <c r="N14" s="7" t="s">
        <v>589</v>
      </c>
    </row>
    <row r="15" customFormat="false" ht="13.5" hidden="false" customHeight="true" outlineLevel="0" collapsed="false">
      <c r="A15" s="28" t="s">
        <v>468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customFormat="false" ht="28.5" hidden="false" customHeight="true" outlineLevel="0" collapsed="false">
      <c r="A16" s="29" t="s">
        <v>1861</v>
      </c>
      <c r="B16" s="22" t="s">
        <v>470</v>
      </c>
      <c r="C16" s="29" t="s">
        <v>1231</v>
      </c>
      <c r="D16" s="22" t="s">
        <v>592</v>
      </c>
      <c r="E16" s="22" t="s">
        <v>431</v>
      </c>
      <c r="F16" s="30" t="n">
        <v>0.06</v>
      </c>
      <c r="G16" s="34" t="n">
        <v>8</v>
      </c>
      <c r="H16" s="32" t="s">
        <v>593</v>
      </c>
      <c r="I16" s="29" t="s">
        <v>646</v>
      </c>
      <c r="J16" s="32" t="s">
        <v>1862</v>
      </c>
      <c r="K16" s="22" t="s">
        <v>475</v>
      </c>
      <c r="L16" s="1" t="n">
        <v>0.1</v>
      </c>
      <c r="M16" s="7" t="s">
        <v>476</v>
      </c>
      <c r="N16" s="7" t="s">
        <v>477</v>
      </c>
    </row>
    <row r="17" customFormat="false" ht="28.5" hidden="false" customHeight="true" outlineLevel="0" collapsed="false">
      <c r="A17" s="29" t="s">
        <v>1863</v>
      </c>
      <c r="B17" s="22" t="s">
        <v>470</v>
      </c>
      <c r="C17" s="29" t="s">
        <v>1685</v>
      </c>
      <c r="D17" s="29" t="s">
        <v>472</v>
      </c>
      <c r="E17" s="22" t="s">
        <v>431</v>
      </c>
      <c r="F17" s="30" t="n">
        <v>0.048</v>
      </c>
      <c r="G17" s="34" t="n">
        <v>8</v>
      </c>
      <c r="H17" s="32" t="s">
        <v>1864</v>
      </c>
      <c r="I17" s="29" t="s">
        <v>532</v>
      </c>
      <c r="J17" s="33" t="s">
        <v>1865</v>
      </c>
      <c r="K17" s="22" t="s">
        <v>475</v>
      </c>
      <c r="L17" s="1" t="n">
        <v>0.08</v>
      </c>
      <c r="M17" s="7" t="s">
        <v>476</v>
      </c>
      <c r="N17" s="7" t="s">
        <v>419</v>
      </c>
    </row>
    <row r="18" customFormat="false" ht="28.5" hidden="false" customHeight="true" outlineLevel="0" collapsed="false">
      <c r="A18" s="29" t="s">
        <v>1866</v>
      </c>
      <c r="B18" s="22" t="s">
        <v>1702</v>
      </c>
      <c r="C18" s="29" t="s">
        <v>688</v>
      </c>
      <c r="D18" s="29" t="s">
        <v>472</v>
      </c>
      <c r="E18" s="22" t="s">
        <v>431</v>
      </c>
      <c r="F18" s="30" t="n">
        <v>0.042</v>
      </c>
      <c r="G18" s="34" t="n">
        <v>8</v>
      </c>
      <c r="H18" s="32" t="s">
        <v>1713</v>
      </c>
      <c r="I18" s="29" t="s">
        <v>653</v>
      </c>
      <c r="J18" s="33" t="s">
        <v>1867</v>
      </c>
      <c r="K18" s="22" t="s">
        <v>475</v>
      </c>
      <c r="L18" s="1" t="n">
        <v>0.07</v>
      </c>
      <c r="M18" s="7" t="s">
        <v>476</v>
      </c>
      <c r="N18" s="7" t="s">
        <v>477</v>
      </c>
    </row>
    <row r="19" customFormat="false" ht="17.25" hidden="false" customHeight="true" outlineLevel="0" collapsed="false">
      <c r="A19" s="35" t="s">
        <v>485</v>
      </c>
      <c r="B19" s="35"/>
      <c r="C19" s="35"/>
      <c r="D19" s="35"/>
      <c r="E19" s="35"/>
      <c r="F19" s="35"/>
      <c r="G19" s="36" t="n">
        <f aca="false">ROUND(SUMPRODUCT(F5:F18,G5:G18),1)</f>
        <v>8.9</v>
      </c>
      <c r="H19" s="37" t="s">
        <v>486</v>
      </c>
      <c r="I19" s="37"/>
      <c r="J19" s="37"/>
      <c r="K19" s="37"/>
    </row>
  </sheetData>
  <mergeCells count="7">
    <mergeCell ref="A1:K1"/>
    <mergeCell ref="A2:K2"/>
    <mergeCell ref="A4:K4"/>
    <mergeCell ref="A10:K10"/>
    <mergeCell ref="A15:K15"/>
    <mergeCell ref="A19:F19"/>
    <mergeCell ref="H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1868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1869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ROUND(SUMPRODUCT(F5:F11,G5:G11)/SUM(F5:F11),1)</f>
        <v>7.8</v>
      </c>
    </row>
    <row r="5" customFormat="false" ht="28.5" hidden="false" customHeight="true" outlineLevel="0" collapsed="false">
      <c r="A5" s="29" t="s">
        <v>1870</v>
      </c>
      <c r="B5" s="29" t="s">
        <v>1871</v>
      </c>
      <c r="C5" s="29" t="s">
        <v>1258</v>
      </c>
      <c r="D5" s="22" t="s">
        <v>1872</v>
      </c>
      <c r="E5" s="22" t="s">
        <v>424</v>
      </c>
      <c r="F5" s="30" t="n">
        <v>0.1056</v>
      </c>
      <c r="G5" s="34" t="n">
        <v>8</v>
      </c>
      <c r="H5" s="32" t="s">
        <v>1873</v>
      </c>
      <c r="I5" s="29" t="s">
        <v>909</v>
      </c>
      <c r="J5" s="33" t="s">
        <v>1874</v>
      </c>
      <c r="K5" s="22" t="s">
        <v>418</v>
      </c>
      <c r="L5" s="1" t="n">
        <v>0.15</v>
      </c>
      <c r="M5" s="7" t="s">
        <v>408</v>
      </c>
      <c r="N5" s="7" t="s">
        <v>419</v>
      </c>
      <c r="O5" s="1" t="s">
        <v>410</v>
      </c>
      <c r="P5" s="1" t="n">
        <f aca="false">ROUND(SUMPRODUCT(F13:F18,G13:G18)/SUM(F13:F18),1)</f>
        <v>8</v>
      </c>
    </row>
    <row r="6" customFormat="false" ht="28.5" hidden="false" customHeight="true" outlineLevel="0" collapsed="false">
      <c r="A6" s="29" t="s">
        <v>1875</v>
      </c>
      <c r="B6" s="29" t="s">
        <v>610</v>
      </c>
      <c r="C6" s="29" t="s">
        <v>742</v>
      </c>
      <c r="D6" s="22" t="s">
        <v>1872</v>
      </c>
      <c r="E6" s="22" t="s">
        <v>424</v>
      </c>
      <c r="F6" s="30" t="n">
        <v>0.0563</v>
      </c>
      <c r="G6" s="34" t="n">
        <v>8</v>
      </c>
      <c r="H6" s="32" t="s">
        <v>1876</v>
      </c>
      <c r="I6" s="29" t="s">
        <v>500</v>
      </c>
      <c r="J6" s="33" t="s">
        <v>1877</v>
      </c>
      <c r="K6" s="22" t="s">
        <v>418</v>
      </c>
      <c r="L6" s="1" t="n">
        <v>0.08</v>
      </c>
      <c r="M6" s="7" t="s">
        <v>408</v>
      </c>
      <c r="N6" s="7" t="s">
        <v>419</v>
      </c>
      <c r="O6" s="1" t="s">
        <v>420</v>
      </c>
      <c r="P6" s="1" t="n">
        <f aca="false">ROUND(SUMPRODUCT(F20:F23,G20:G23)/SUM(F20:F23),1)</f>
        <v>5.5</v>
      </c>
    </row>
    <row r="7" customFormat="false" ht="28.5" hidden="false" customHeight="true" outlineLevel="0" collapsed="false">
      <c r="A7" s="29" t="s">
        <v>1878</v>
      </c>
      <c r="B7" s="29" t="s">
        <v>1879</v>
      </c>
      <c r="C7" s="29" t="s">
        <v>717</v>
      </c>
      <c r="D7" s="29" t="s">
        <v>402</v>
      </c>
      <c r="E7" s="22" t="s">
        <v>424</v>
      </c>
      <c r="F7" s="30" t="n">
        <v>0.0563</v>
      </c>
      <c r="G7" s="34" t="n">
        <v>8</v>
      </c>
      <c r="H7" s="32" t="s">
        <v>606</v>
      </c>
      <c r="I7" s="29" t="s">
        <v>569</v>
      </c>
      <c r="J7" s="33" t="s">
        <v>1880</v>
      </c>
      <c r="K7" s="22" t="s">
        <v>418</v>
      </c>
      <c r="L7" s="1" t="n">
        <v>0.08</v>
      </c>
      <c r="M7" s="7" t="s">
        <v>408</v>
      </c>
      <c r="N7" s="7" t="s">
        <v>419</v>
      </c>
    </row>
    <row r="8" customFormat="false" ht="28.5" hidden="false" customHeight="true" outlineLevel="0" collapsed="false">
      <c r="A8" s="29" t="s">
        <v>1881</v>
      </c>
      <c r="B8" s="22" t="s">
        <v>1882</v>
      </c>
      <c r="C8" s="29" t="s">
        <v>1087</v>
      </c>
      <c r="D8" s="29" t="s">
        <v>402</v>
      </c>
      <c r="E8" s="22" t="s">
        <v>510</v>
      </c>
      <c r="F8" s="30" t="n">
        <v>0.0704</v>
      </c>
      <c r="G8" s="34" t="n">
        <v>8</v>
      </c>
      <c r="H8" s="32" t="s">
        <v>1883</v>
      </c>
      <c r="I8" s="29" t="s">
        <v>447</v>
      </c>
      <c r="J8" s="33" t="s">
        <v>1884</v>
      </c>
      <c r="K8" s="22" t="s">
        <v>475</v>
      </c>
      <c r="L8" s="1" t="n">
        <v>0.1</v>
      </c>
      <c r="M8" s="7" t="s">
        <v>408</v>
      </c>
      <c r="N8" s="7" t="s">
        <v>679</v>
      </c>
    </row>
    <row r="9" customFormat="false" ht="28.5" hidden="false" customHeight="true" outlineLevel="0" collapsed="false">
      <c r="A9" s="29" t="s">
        <v>1885</v>
      </c>
      <c r="B9" s="22" t="s">
        <v>1886</v>
      </c>
      <c r="C9" s="29" t="s">
        <v>1490</v>
      </c>
      <c r="D9" s="29" t="s">
        <v>472</v>
      </c>
      <c r="E9" s="22" t="s">
        <v>431</v>
      </c>
      <c r="F9" s="30" t="n">
        <v>0.0845</v>
      </c>
      <c r="G9" s="34" t="n">
        <v>8</v>
      </c>
      <c r="H9" s="32" t="s">
        <v>790</v>
      </c>
      <c r="I9" s="29" t="s">
        <v>646</v>
      </c>
      <c r="J9" s="33" t="s">
        <v>1887</v>
      </c>
      <c r="K9" s="22" t="s">
        <v>407</v>
      </c>
      <c r="L9" s="1" t="n">
        <v>0.12</v>
      </c>
      <c r="M9" s="7" t="s">
        <v>408</v>
      </c>
      <c r="N9" s="7" t="s">
        <v>409</v>
      </c>
    </row>
    <row r="10" customFormat="false" ht="28.5" hidden="false" customHeight="true" outlineLevel="0" collapsed="false">
      <c r="A10" s="29" t="s">
        <v>1888</v>
      </c>
      <c r="B10" s="22" t="s">
        <v>1889</v>
      </c>
      <c r="C10" s="29" t="s">
        <v>413</v>
      </c>
      <c r="D10" s="29" t="s">
        <v>402</v>
      </c>
      <c r="E10" s="22" t="s">
        <v>431</v>
      </c>
      <c r="F10" s="30" t="n">
        <v>0.0704</v>
      </c>
      <c r="G10" s="34" t="n">
        <v>8</v>
      </c>
      <c r="H10" s="32" t="s">
        <v>1281</v>
      </c>
      <c r="I10" s="29" t="s">
        <v>646</v>
      </c>
      <c r="J10" s="33" t="s">
        <v>1890</v>
      </c>
      <c r="K10" s="22" t="s">
        <v>475</v>
      </c>
      <c r="L10" s="1" t="n">
        <v>0.1</v>
      </c>
      <c r="M10" s="7" t="s">
        <v>408</v>
      </c>
      <c r="N10" s="7" t="s">
        <v>679</v>
      </c>
    </row>
    <row r="11" customFormat="false" ht="28.5" hidden="false" customHeight="true" outlineLevel="0" collapsed="false">
      <c r="A11" s="29" t="s">
        <v>1891</v>
      </c>
      <c r="B11" s="22" t="s">
        <v>1882</v>
      </c>
      <c r="C11" s="29" t="s">
        <v>540</v>
      </c>
      <c r="D11" s="29" t="s">
        <v>567</v>
      </c>
      <c r="E11" s="22" t="s">
        <v>431</v>
      </c>
      <c r="F11" s="30" t="n">
        <v>0.0563</v>
      </c>
      <c r="G11" s="31" t="n">
        <v>6</v>
      </c>
      <c r="H11" s="32" t="s">
        <v>541</v>
      </c>
      <c r="I11" s="29" t="s">
        <v>460</v>
      </c>
      <c r="J11" s="33" t="s">
        <v>1892</v>
      </c>
      <c r="K11" s="22" t="s">
        <v>407</v>
      </c>
      <c r="L11" s="1" t="n">
        <v>0.08</v>
      </c>
      <c r="M11" s="7" t="s">
        <v>408</v>
      </c>
      <c r="N11" s="7" t="s">
        <v>409</v>
      </c>
    </row>
    <row r="12" customFormat="false" ht="13.5" hidden="false" customHeight="true" outlineLevel="0" collapsed="false">
      <c r="A12" s="28" t="s">
        <v>442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28.5" hidden="false" customHeight="true" outlineLevel="0" collapsed="false">
      <c r="A13" s="29" t="s">
        <v>1893</v>
      </c>
      <c r="B13" s="22" t="s">
        <v>1493</v>
      </c>
      <c r="C13" s="29" t="s">
        <v>1494</v>
      </c>
      <c r="D13" s="29" t="s">
        <v>402</v>
      </c>
      <c r="E13" s="22" t="s">
        <v>431</v>
      </c>
      <c r="F13" s="30" t="n">
        <v>0.0905</v>
      </c>
      <c r="G13" s="34" t="n">
        <v>8</v>
      </c>
      <c r="H13" s="32" t="s">
        <v>1101</v>
      </c>
      <c r="I13" s="29" t="s">
        <v>653</v>
      </c>
      <c r="J13" s="33" t="s">
        <v>1894</v>
      </c>
      <c r="K13" s="22" t="s">
        <v>407</v>
      </c>
      <c r="L13" s="1" t="n">
        <v>0.15</v>
      </c>
      <c r="M13" s="7" t="s">
        <v>449</v>
      </c>
      <c r="N13" s="7" t="s">
        <v>409</v>
      </c>
    </row>
    <row r="14" customFormat="false" ht="28.5" hidden="false" customHeight="true" outlineLevel="0" collapsed="false">
      <c r="A14" s="29" t="s">
        <v>1895</v>
      </c>
      <c r="B14" s="22" t="s">
        <v>1493</v>
      </c>
      <c r="C14" s="29" t="s">
        <v>413</v>
      </c>
      <c r="D14" s="29" t="s">
        <v>402</v>
      </c>
      <c r="E14" s="22" t="s">
        <v>431</v>
      </c>
      <c r="F14" s="30" t="n">
        <v>0.0603</v>
      </c>
      <c r="G14" s="34" t="n">
        <v>8</v>
      </c>
      <c r="H14" s="32" t="s">
        <v>1896</v>
      </c>
      <c r="I14" s="29" t="s">
        <v>646</v>
      </c>
      <c r="J14" s="33" t="s">
        <v>1897</v>
      </c>
      <c r="K14" s="22" t="s">
        <v>407</v>
      </c>
      <c r="L14" s="1" t="n">
        <v>0.1</v>
      </c>
      <c r="M14" s="7" t="s">
        <v>449</v>
      </c>
      <c r="N14" s="7" t="s">
        <v>589</v>
      </c>
    </row>
    <row r="15" customFormat="false" ht="28.5" hidden="false" customHeight="true" outlineLevel="0" collapsed="false">
      <c r="A15" s="29" t="s">
        <v>1898</v>
      </c>
      <c r="B15" s="22" t="s">
        <v>429</v>
      </c>
      <c r="C15" s="29" t="s">
        <v>1899</v>
      </c>
      <c r="D15" s="29" t="s">
        <v>402</v>
      </c>
      <c r="E15" s="22" t="s">
        <v>431</v>
      </c>
      <c r="F15" s="30" t="n">
        <v>0.0603</v>
      </c>
      <c r="G15" s="34" t="n">
        <v>8</v>
      </c>
      <c r="H15" s="32" t="s">
        <v>671</v>
      </c>
      <c r="I15" s="29" t="s">
        <v>416</v>
      </c>
      <c r="J15" s="33" t="s">
        <v>1900</v>
      </c>
      <c r="K15" s="22" t="s">
        <v>407</v>
      </c>
      <c r="L15" s="1" t="n">
        <v>0.1</v>
      </c>
      <c r="M15" s="7" t="s">
        <v>449</v>
      </c>
      <c r="N15" s="7" t="s">
        <v>409</v>
      </c>
    </row>
    <row r="16" customFormat="false" ht="14.25" hidden="false" customHeight="true" outlineLevel="0" collapsed="false">
      <c r="A16" s="29" t="s">
        <v>1901</v>
      </c>
      <c r="B16" s="22" t="s">
        <v>1882</v>
      </c>
      <c r="C16" s="29" t="s">
        <v>664</v>
      </c>
      <c r="D16" s="29" t="s">
        <v>402</v>
      </c>
      <c r="E16" s="22" t="s">
        <v>431</v>
      </c>
      <c r="F16" s="30" t="n">
        <v>0.0483</v>
      </c>
      <c r="G16" s="34" t="n">
        <v>8</v>
      </c>
      <c r="H16" s="32" t="s">
        <v>1902</v>
      </c>
      <c r="I16" s="29" t="s">
        <v>672</v>
      </c>
      <c r="J16" s="33" t="s">
        <v>1903</v>
      </c>
      <c r="K16" s="22" t="s">
        <v>407</v>
      </c>
      <c r="L16" s="1" t="n">
        <v>0.08</v>
      </c>
      <c r="M16" s="7" t="s">
        <v>449</v>
      </c>
      <c r="N16" s="7" t="s">
        <v>589</v>
      </c>
    </row>
    <row r="17" customFormat="false" ht="28.5" hidden="false" customHeight="true" outlineLevel="0" collapsed="false">
      <c r="A17" s="29" t="s">
        <v>1904</v>
      </c>
      <c r="B17" s="22" t="s">
        <v>1882</v>
      </c>
      <c r="C17" s="29" t="s">
        <v>622</v>
      </c>
      <c r="D17" s="29" t="s">
        <v>402</v>
      </c>
      <c r="E17" s="22" t="s">
        <v>431</v>
      </c>
      <c r="F17" s="30" t="n">
        <v>0.0483</v>
      </c>
      <c r="G17" s="34" t="n">
        <v>8</v>
      </c>
      <c r="H17" s="32" t="s">
        <v>886</v>
      </c>
      <c r="I17" s="29" t="s">
        <v>532</v>
      </c>
      <c r="J17" s="33" t="s">
        <v>1905</v>
      </c>
      <c r="K17" s="22" t="s">
        <v>407</v>
      </c>
      <c r="L17" s="1" t="n">
        <v>0.08</v>
      </c>
      <c r="M17" s="7" t="s">
        <v>449</v>
      </c>
      <c r="N17" s="7" t="s">
        <v>589</v>
      </c>
    </row>
    <row r="18" customFormat="false" ht="28.5" hidden="false" customHeight="true" outlineLevel="0" collapsed="false">
      <c r="A18" s="29" t="s">
        <v>1906</v>
      </c>
      <c r="B18" s="22" t="s">
        <v>1882</v>
      </c>
      <c r="C18" s="29" t="s">
        <v>1775</v>
      </c>
      <c r="D18" s="29" t="s">
        <v>402</v>
      </c>
      <c r="E18" s="22" t="s">
        <v>431</v>
      </c>
      <c r="F18" s="30" t="n">
        <v>0.0422</v>
      </c>
      <c r="G18" s="34" t="n">
        <v>8</v>
      </c>
      <c r="H18" s="32" t="s">
        <v>886</v>
      </c>
      <c r="I18" s="29" t="s">
        <v>672</v>
      </c>
      <c r="J18" s="33" t="s">
        <v>1907</v>
      </c>
      <c r="K18" s="22" t="s">
        <v>407</v>
      </c>
      <c r="L18" s="1" t="n">
        <v>0.07</v>
      </c>
      <c r="M18" s="7" t="s">
        <v>449</v>
      </c>
      <c r="N18" s="7" t="s">
        <v>589</v>
      </c>
    </row>
    <row r="19" customFormat="false" ht="13.5" hidden="false" customHeight="true" outlineLevel="0" collapsed="false">
      <c r="A19" s="28" t="s">
        <v>468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customFormat="false" ht="28.5" hidden="false" customHeight="true" outlineLevel="0" collapsed="false">
      <c r="A20" s="29" t="s">
        <v>1908</v>
      </c>
      <c r="B20" s="22" t="s">
        <v>470</v>
      </c>
      <c r="C20" s="29" t="s">
        <v>1909</v>
      </c>
      <c r="D20" s="29" t="s">
        <v>472</v>
      </c>
      <c r="E20" s="22" t="s">
        <v>431</v>
      </c>
      <c r="F20" s="30" t="n">
        <v>0.0455</v>
      </c>
      <c r="G20" s="31" t="n">
        <v>6</v>
      </c>
      <c r="H20" s="32" t="s">
        <v>785</v>
      </c>
      <c r="I20" s="29" t="s">
        <v>439</v>
      </c>
      <c r="J20" s="32" t="s">
        <v>1910</v>
      </c>
      <c r="K20" s="22" t="s">
        <v>475</v>
      </c>
      <c r="L20" s="1" t="n">
        <v>0.1</v>
      </c>
      <c r="M20" s="7" t="s">
        <v>476</v>
      </c>
      <c r="N20" s="7" t="s">
        <v>419</v>
      </c>
    </row>
    <row r="21" customFormat="false" ht="28.5" hidden="false" customHeight="true" outlineLevel="0" collapsed="false">
      <c r="A21" s="29" t="s">
        <v>1911</v>
      </c>
      <c r="B21" s="22" t="s">
        <v>470</v>
      </c>
      <c r="C21" s="29" t="s">
        <v>987</v>
      </c>
      <c r="D21" s="22" t="s">
        <v>592</v>
      </c>
      <c r="E21" s="22" t="s">
        <v>431</v>
      </c>
      <c r="F21" s="30" t="n">
        <v>0.0364</v>
      </c>
      <c r="G21" s="31" t="n">
        <v>6</v>
      </c>
      <c r="H21" s="32" t="s">
        <v>1033</v>
      </c>
      <c r="I21" s="29" t="s">
        <v>433</v>
      </c>
      <c r="J21" s="32" t="s">
        <v>1912</v>
      </c>
      <c r="K21" s="22" t="s">
        <v>475</v>
      </c>
      <c r="L21" s="1" t="n">
        <v>0.08</v>
      </c>
      <c r="M21" s="7" t="s">
        <v>476</v>
      </c>
      <c r="N21" s="7" t="s">
        <v>477</v>
      </c>
    </row>
    <row r="22" customFormat="false" ht="28.5" hidden="false" customHeight="true" outlineLevel="0" collapsed="false">
      <c r="A22" s="29" t="s">
        <v>1913</v>
      </c>
      <c r="B22" s="22" t="s">
        <v>1882</v>
      </c>
      <c r="C22" s="29" t="s">
        <v>831</v>
      </c>
      <c r="D22" s="29" t="s">
        <v>472</v>
      </c>
      <c r="E22" s="22" t="s">
        <v>424</v>
      </c>
      <c r="F22" s="30" t="n">
        <v>0.0364</v>
      </c>
      <c r="G22" s="38" t="n">
        <v>4</v>
      </c>
      <c r="H22" s="32" t="s">
        <v>1914</v>
      </c>
      <c r="I22" s="29" t="s">
        <v>483</v>
      </c>
      <c r="J22" s="33" t="s">
        <v>1739</v>
      </c>
      <c r="K22" s="22" t="s">
        <v>475</v>
      </c>
      <c r="L22" s="1" t="n">
        <v>0.08</v>
      </c>
      <c r="M22" s="7" t="s">
        <v>476</v>
      </c>
      <c r="N22" s="7" t="s">
        <v>477</v>
      </c>
    </row>
    <row r="23" customFormat="false" ht="28.5" hidden="false" customHeight="true" outlineLevel="0" collapsed="false">
      <c r="A23" s="29" t="s">
        <v>1915</v>
      </c>
      <c r="B23" s="22" t="s">
        <v>470</v>
      </c>
      <c r="C23" s="29" t="s">
        <v>551</v>
      </c>
      <c r="D23" s="22" t="s">
        <v>525</v>
      </c>
      <c r="E23" s="22" t="s">
        <v>424</v>
      </c>
      <c r="F23" s="30" t="n">
        <v>0.0318</v>
      </c>
      <c r="G23" s="31" t="n">
        <v>6</v>
      </c>
      <c r="H23" s="32" t="s">
        <v>1202</v>
      </c>
      <c r="I23" s="29" t="s">
        <v>433</v>
      </c>
      <c r="J23" s="33" t="s">
        <v>1660</v>
      </c>
      <c r="K23" s="22" t="s">
        <v>475</v>
      </c>
      <c r="L23" s="1" t="n">
        <v>0.07</v>
      </c>
      <c r="M23" s="7" t="s">
        <v>476</v>
      </c>
      <c r="N23" s="7" t="s">
        <v>529</v>
      </c>
    </row>
    <row r="24" customFormat="false" ht="17.25" hidden="false" customHeight="true" outlineLevel="0" collapsed="false">
      <c r="A24" s="35" t="s">
        <v>485</v>
      </c>
      <c r="B24" s="35"/>
      <c r="C24" s="35"/>
      <c r="D24" s="35"/>
      <c r="E24" s="35"/>
      <c r="F24" s="35"/>
      <c r="G24" s="36" t="n">
        <f aca="false">ROUND(SUMPRODUCT(F5:F23,G5:G23),1)</f>
        <v>7.5</v>
      </c>
      <c r="H24" s="37" t="s">
        <v>486</v>
      </c>
      <c r="I24" s="37"/>
      <c r="J24" s="37"/>
      <c r="K24" s="37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1916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1917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ROUND(SUMPRODUCT(F5:F11,G5:G11)/SUM(F5:F11),1)</f>
        <v>7.7</v>
      </c>
    </row>
    <row r="5" customFormat="false" ht="28.5" hidden="false" customHeight="true" outlineLevel="0" collapsed="false">
      <c r="A5" s="29" t="s">
        <v>1918</v>
      </c>
      <c r="B5" s="22" t="s">
        <v>1213</v>
      </c>
      <c r="C5" s="29" t="s">
        <v>747</v>
      </c>
      <c r="D5" s="22" t="s">
        <v>1214</v>
      </c>
      <c r="E5" s="22" t="s">
        <v>424</v>
      </c>
      <c r="F5" s="30" t="n">
        <v>0.1103</v>
      </c>
      <c r="G5" s="34" t="n">
        <v>8</v>
      </c>
      <c r="H5" s="32" t="s">
        <v>1919</v>
      </c>
      <c r="I5" s="29" t="s">
        <v>999</v>
      </c>
      <c r="J5" s="33" t="s">
        <v>1920</v>
      </c>
      <c r="K5" s="22" t="s">
        <v>418</v>
      </c>
      <c r="L5" s="1" t="n">
        <v>0.15</v>
      </c>
      <c r="M5" s="7" t="s">
        <v>408</v>
      </c>
      <c r="N5" s="7" t="s">
        <v>419</v>
      </c>
      <c r="O5" s="1" t="s">
        <v>410</v>
      </c>
      <c r="P5" s="1" t="n">
        <f aca="false">ROUND(SUMPRODUCT(F13:F18,G13:G18)/SUM(F13:F18),1)</f>
        <v>7.5</v>
      </c>
    </row>
    <row r="6" customFormat="false" ht="14.25" hidden="false" customHeight="true" outlineLevel="0" collapsed="false">
      <c r="A6" s="29" t="s">
        <v>1921</v>
      </c>
      <c r="B6" s="29" t="s">
        <v>1207</v>
      </c>
      <c r="C6" s="29" t="s">
        <v>1485</v>
      </c>
      <c r="D6" s="22" t="s">
        <v>1922</v>
      </c>
      <c r="E6" s="22" t="s">
        <v>424</v>
      </c>
      <c r="F6" s="30" t="n">
        <v>0.0735</v>
      </c>
      <c r="G6" s="31" t="n">
        <v>6</v>
      </c>
      <c r="H6" s="32" t="s">
        <v>1923</v>
      </c>
      <c r="I6" s="29" t="s">
        <v>718</v>
      </c>
      <c r="J6" s="33" t="s">
        <v>1924</v>
      </c>
      <c r="K6" s="22" t="s">
        <v>418</v>
      </c>
      <c r="L6" s="1" t="n">
        <v>0.1</v>
      </c>
      <c r="M6" s="7" t="s">
        <v>408</v>
      </c>
      <c r="N6" s="7" t="s">
        <v>419</v>
      </c>
      <c r="O6" s="1" t="s">
        <v>420</v>
      </c>
      <c r="P6" s="1" t="n">
        <f aca="false">ROUND(SUMPRODUCT(F20:F23,G20:G23)/SUM(F20:F23),1)</f>
        <v>4.4</v>
      </c>
    </row>
    <row r="7" customFormat="false" ht="28.5" hidden="false" customHeight="true" outlineLevel="0" collapsed="false">
      <c r="A7" s="29" t="s">
        <v>1925</v>
      </c>
      <c r="B7" s="29" t="s">
        <v>1207</v>
      </c>
      <c r="C7" s="29" t="s">
        <v>1208</v>
      </c>
      <c r="D7" s="22" t="s">
        <v>1209</v>
      </c>
      <c r="E7" s="22" t="s">
        <v>424</v>
      </c>
      <c r="F7" s="30" t="n">
        <v>0.0882</v>
      </c>
      <c r="G7" s="34" t="n">
        <v>8</v>
      </c>
      <c r="H7" s="32" t="s">
        <v>1926</v>
      </c>
      <c r="I7" s="29" t="s">
        <v>999</v>
      </c>
      <c r="J7" s="33" t="s">
        <v>1927</v>
      </c>
      <c r="K7" s="22" t="s">
        <v>418</v>
      </c>
      <c r="L7" s="1" t="n">
        <v>0.12</v>
      </c>
      <c r="M7" s="7" t="s">
        <v>408</v>
      </c>
      <c r="N7" s="7" t="s">
        <v>419</v>
      </c>
    </row>
    <row r="8" customFormat="false" ht="28.5" hidden="false" customHeight="true" outlineLevel="0" collapsed="false">
      <c r="A8" s="29" t="s">
        <v>1928</v>
      </c>
      <c r="B8" s="22" t="s">
        <v>1213</v>
      </c>
      <c r="C8" s="29" t="s">
        <v>901</v>
      </c>
      <c r="D8" s="22" t="s">
        <v>1551</v>
      </c>
      <c r="E8" s="22" t="s">
        <v>510</v>
      </c>
      <c r="F8" s="30" t="n">
        <v>0.0588</v>
      </c>
      <c r="G8" s="34" t="n">
        <v>8</v>
      </c>
      <c r="H8" s="32" t="s">
        <v>1929</v>
      </c>
      <c r="I8" s="29" t="s">
        <v>426</v>
      </c>
      <c r="J8" s="33" t="s">
        <v>512</v>
      </c>
      <c r="K8" s="22" t="s">
        <v>475</v>
      </c>
      <c r="L8" s="1" t="n">
        <v>0.08</v>
      </c>
      <c r="M8" s="7" t="s">
        <v>408</v>
      </c>
      <c r="N8" s="7" t="s">
        <v>409</v>
      </c>
    </row>
    <row r="9" customFormat="false" ht="28.5" hidden="false" customHeight="true" outlineLevel="0" collapsed="false">
      <c r="A9" s="29" t="s">
        <v>1930</v>
      </c>
      <c r="B9" s="22" t="s">
        <v>503</v>
      </c>
      <c r="C9" s="29" t="s">
        <v>1931</v>
      </c>
      <c r="D9" s="22" t="s">
        <v>1932</v>
      </c>
      <c r="E9" s="22" t="s">
        <v>424</v>
      </c>
      <c r="F9" s="30" t="n">
        <v>0.0588</v>
      </c>
      <c r="G9" s="34" t="n">
        <v>8</v>
      </c>
      <c r="H9" s="32" t="s">
        <v>1933</v>
      </c>
      <c r="I9" s="29" t="s">
        <v>909</v>
      </c>
      <c r="J9" s="33" t="s">
        <v>1934</v>
      </c>
      <c r="K9" s="22" t="s">
        <v>418</v>
      </c>
      <c r="L9" s="1" t="n">
        <v>0.08</v>
      </c>
      <c r="M9" s="7" t="s">
        <v>408</v>
      </c>
      <c r="N9" s="7" t="s">
        <v>419</v>
      </c>
    </row>
    <row r="10" customFormat="false" ht="28.5" hidden="false" customHeight="true" outlineLevel="0" collapsed="false">
      <c r="A10" s="29" t="s">
        <v>1935</v>
      </c>
      <c r="B10" s="22" t="s">
        <v>503</v>
      </c>
      <c r="C10" s="29" t="s">
        <v>1936</v>
      </c>
      <c r="D10" s="22" t="s">
        <v>1932</v>
      </c>
      <c r="E10" s="22" t="s">
        <v>424</v>
      </c>
      <c r="F10" s="30" t="n">
        <v>0.0515</v>
      </c>
      <c r="G10" s="34" t="n">
        <v>8</v>
      </c>
      <c r="H10" s="32" t="s">
        <v>1937</v>
      </c>
      <c r="I10" s="29" t="s">
        <v>500</v>
      </c>
      <c r="J10" s="33" t="s">
        <v>1938</v>
      </c>
      <c r="K10" s="22" t="s">
        <v>418</v>
      </c>
      <c r="L10" s="1" t="n">
        <v>0.07</v>
      </c>
      <c r="M10" s="7" t="s">
        <v>408</v>
      </c>
      <c r="N10" s="7" t="s">
        <v>419</v>
      </c>
    </row>
    <row r="11" customFormat="false" ht="28.5" hidden="false" customHeight="true" outlineLevel="0" collapsed="false">
      <c r="A11" s="29" t="s">
        <v>1939</v>
      </c>
      <c r="B11" s="29" t="s">
        <v>1207</v>
      </c>
      <c r="C11" s="29" t="s">
        <v>709</v>
      </c>
      <c r="D11" s="29" t="s">
        <v>567</v>
      </c>
      <c r="E11" s="22" t="s">
        <v>431</v>
      </c>
      <c r="F11" s="30" t="n">
        <v>0.0588</v>
      </c>
      <c r="G11" s="34" t="n">
        <v>8</v>
      </c>
      <c r="H11" s="32" t="s">
        <v>1465</v>
      </c>
      <c r="I11" s="29" t="s">
        <v>454</v>
      </c>
      <c r="J11" s="33" t="s">
        <v>1940</v>
      </c>
      <c r="K11" s="22" t="s">
        <v>407</v>
      </c>
      <c r="L11" s="1" t="n">
        <v>0.08</v>
      </c>
      <c r="M11" s="7" t="s">
        <v>408</v>
      </c>
      <c r="N11" s="7" t="s">
        <v>409</v>
      </c>
    </row>
    <row r="12" customFormat="false" ht="13.5" hidden="false" customHeight="true" outlineLevel="0" collapsed="false">
      <c r="A12" s="28" t="s">
        <v>442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28.5" hidden="false" customHeight="true" outlineLevel="0" collapsed="false">
      <c r="A13" s="29" t="s">
        <v>1941</v>
      </c>
      <c r="B13" s="22" t="s">
        <v>922</v>
      </c>
      <c r="C13" s="29" t="s">
        <v>1231</v>
      </c>
      <c r="D13" s="29" t="s">
        <v>1232</v>
      </c>
      <c r="E13" s="22" t="s">
        <v>431</v>
      </c>
      <c r="F13" s="30" t="n">
        <v>0.0905</v>
      </c>
      <c r="G13" s="31" t="n">
        <v>6</v>
      </c>
      <c r="H13" s="32" t="s">
        <v>1233</v>
      </c>
      <c r="I13" s="29" t="s">
        <v>447</v>
      </c>
      <c r="J13" s="33" t="s">
        <v>1942</v>
      </c>
      <c r="K13" s="22" t="s">
        <v>407</v>
      </c>
      <c r="L13" s="1" t="n">
        <v>0.15</v>
      </c>
      <c r="M13" s="7" t="s">
        <v>449</v>
      </c>
      <c r="N13" s="7" t="s">
        <v>589</v>
      </c>
    </row>
    <row r="14" customFormat="false" ht="28.5" hidden="false" customHeight="true" outlineLevel="0" collapsed="false">
      <c r="A14" s="29" t="s">
        <v>1943</v>
      </c>
      <c r="B14" s="29" t="s">
        <v>1207</v>
      </c>
      <c r="C14" s="29" t="s">
        <v>676</v>
      </c>
      <c r="D14" s="29" t="s">
        <v>402</v>
      </c>
      <c r="E14" s="22" t="s">
        <v>431</v>
      </c>
      <c r="F14" s="30" t="n">
        <v>0.0603</v>
      </c>
      <c r="G14" s="34" t="n">
        <v>8</v>
      </c>
      <c r="H14" s="32" t="s">
        <v>671</v>
      </c>
      <c r="I14" s="29" t="s">
        <v>672</v>
      </c>
      <c r="J14" s="33" t="s">
        <v>1944</v>
      </c>
      <c r="K14" s="22" t="s">
        <v>407</v>
      </c>
      <c r="L14" s="1" t="n">
        <v>0.1</v>
      </c>
      <c r="M14" s="7" t="s">
        <v>449</v>
      </c>
      <c r="N14" s="7" t="s">
        <v>589</v>
      </c>
    </row>
    <row r="15" customFormat="false" ht="28.5" hidden="false" customHeight="true" outlineLevel="0" collapsed="false">
      <c r="A15" s="29" t="s">
        <v>1945</v>
      </c>
      <c r="B15" s="29" t="s">
        <v>1207</v>
      </c>
      <c r="C15" s="29" t="s">
        <v>664</v>
      </c>
      <c r="D15" s="29" t="s">
        <v>402</v>
      </c>
      <c r="E15" s="22" t="s">
        <v>431</v>
      </c>
      <c r="F15" s="30" t="n">
        <v>0.0483</v>
      </c>
      <c r="G15" s="34" t="n">
        <v>8</v>
      </c>
      <c r="H15" s="32" t="s">
        <v>1902</v>
      </c>
      <c r="I15" s="29" t="s">
        <v>532</v>
      </c>
      <c r="J15" s="33" t="s">
        <v>1946</v>
      </c>
      <c r="K15" s="22" t="s">
        <v>407</v>
      </c>
      <c r="L15" s="1" t="n">
        <v>0.08</v>
      </c>
      <c r="M15" s="7" t="s">
        <v>449</v>
      </c>
      <c r="N15" s="7" t="s">
        <v>589</v>
      </c>
    </row>
    <row r="16" customFormat="false" ht="28.5" hidden="false" customHeight="true" outlineLevel="0" collapsed="false">
      <c r="A16" s="29" t="s">
        <v>1947</v>
      </c>
      <c r="B16" s="22" t="s">
        <v>429</v>
      </c>
      <c r="C16" s="29" t="s">
        <v>622</v>
      </c>
      <c r="D16" s="29" t="s">
        <v>402</v>
      </c>
      <c r="E16" s="22" t="s">
        <v>431</v>
      </c>
      <c r="F16" s="30" t="n">
        <v>0.0603</v>
      </c>
      <c r="G16" s="34" t="n">
        <v>8</v>
      </c>
      <c r="H16" s="32" t="s">
        <v>886</v>
      </c>
      <c r="I16" s="29" t="s">
        <v>532</v>
      </c>
      <c r="J16" s="33" t="s">
        <v>1948</v>
      </c>
      <c r="K16" s="22" t="s">
        <v>407</v>
      </c>
      <c r="L16" s="1" t="n">
        <v>0.1</v>
      </c>
      <c r="M16" s="7" t="s">
        <v>449</v>
      </c>
      <c r="N16" s="7" t="s">
        <v>409</v>
      </c>
    </row>
    <row r="17" customFormat="false" ht="28.5" hidden="false" customHeight="true" outlineLevel="0" collapsed="false">
      <c r="A17" s="29" t="s">
        <v>1949</v>
      </c>
      <c r="B17" s="22" t="s">
        <v>922</v>
      </c>
      <c r="C17" s="29" t="s">
        <v>945</v>
      </c>
      <c r="D17" s="29" t="s">
        <v>472</v>
      </c>
      <c r="E17" s="22" t="s">
        <v>431</v>
      </c>
      <c r="F17" s="30" t="n">
        <v>0.0422</v>
      </c>
      <c r="G17" s="34" t="n">
        <v>8</v>
      </c>
      <c r="H17" s="32" t="s">
        <v>898</v>
      </c>
      <c r="I17" s="29" t="s">
        <v>646</v>
      </c>
      <c r="J17" s="33" t="s">
        <v>1950</v>
      </c>
      <c r="K17" s="22" t="s">
        <v>407</v>
      </c>
      <c r="L17" s="1" t="n">
        <v>0.07</v>
      </c>
      <c r="M17" s="7" t="s">
        <v>449</v>
      </c>
      <c r="N17" s="7" t="s">
        <v>589</v>
      </c>
    </row>
    <row r="18" customFormat="false" ht="28.5" hidden="false" customHeight="true" outlineLevel="0" collapsed="false">
      <c r="A18" s="29" t="s">
        <v>1951</v>
      </c>
      <c r="B18" s="29" t="s">
        <v>621</v>
      </c>
      <c r="C18" s="29" t="s">
        <v>1899</v>
      </c>
      <c r="D18" s="29" t="s">
        <v>402</v>
      </c>
      <c r="E18" s="22" t="s">
        <v>431</v>
      </c>
      <c r="F18" s="30" t="n">
        <v>0.0483</v>
      </c>
      <c r="G18" s="34" t="n">
        <v>8</v>
      </c>
      <c r="H18" s="32" t="s">
        <v>671</v>
      </c>
      <c r="I18" s="29" t="s">
        <v>739</v>
      </c>
      <c r="J18" s="33" t="s">
        <v>1952</v>
      </c>
      <c r="K18" s="22" t="s">
        <v>475</v>
      </c>
      <c r="L18" s="1" t="n">
        <v>0.08</v>
      </c>
      <c r="M18" s="7" t="s">
        <v>449</v>
      </c>
      <c r="N18" s="7" t="s">
        <v>589</v>
      </c>
    </row>
    <row r="19" customFormat="false" ht="13.5" hidden="false" customHeight="true" outlineLevel="0" collapsed="false">
      <c r="A19" s="28" t="s">
        <v>468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customFormat="false" ht="28.5" hidden="false" customHeight="true" outlineLevel="0" collapsed="false">
      <c r="A20" s="29" t="s">
        <v>1953</v>
      </c>
      <c r="B20" s="22" t="s">
        <v>470</v>
      </c>
      <c r="C20" s="29" t="s">
        <v>1954</v>
      </c>
      <c r="D20" s="29" t="s">
        <v>472</v>
      </c>
      <c r="E20" s="22" t="s">
        <v>424</v>
      </c>
      <c r="F20" s="30" t="n">
        <v>0.0455</v>
      </c>
      <c r="G20" s="38" t="n">
        <v>4</v>
      </c>
      <c r="H20" s="32" t="s">
        <v>785</v>
      </c>
      <c r="I20" s="29" t="s">
        <v>850</v>
      </c>
      <c r="J20" s="32" t="s">
        <v>1955</v>
      </c>
      <c r="K20" s="22" t="s">
        <v>475</v>
      </c>
      <c r="L20" s="1" t="n">
        <v>0.1</v>
      </c>
      <c r="M20" s="7" t="s">
        <v>476</v>
      </c>
      <c r="N20" s="7" t="s">
        <v>419</v>
      </c>
    </row>
    <row r="21" customFormat="false" ht="28.5" hidden="false" customHeight="true" outlineLevel="0" collapsed="false">
      <c r="A21" s="29" t="s">
        <v>1956</v>
      </c>
      <c r="B21" s="22" t="s">
        <v>470</v>
      </c>
      <c r="C21" s="29" t="s">
        <v>611</v>
      </c>
      <c r="D21" s="22" t="s">
        <v>592</v>
      </c>
      <c r="E21" s="22" t="s">
        <v>424</v>
      </c>
      <c r="F21" s="30" t="n">
        <v>0.0364</v>
      </c>
      <c r="G21" s="38" t="n">
        <v>4</v>
      </c>
      <c r="H21" s="32" t="s">
        <v>1247</v>
      </c>
      <c r="I21" s="29" t="s">
        <v>909</v>
      </c>
      <c r="J21" s="32" t="s">
        <v>1162</v>
      </c>
      <c r="K21" s="22" t="s">
        <v>475</v>
      </c>
      <c r="L21" s="1" t="n">
        <v>0.08</v>
      </c>
      <c r="M21" s="7" t="s">
        <v>476</v>
      </c>
      <c r="N21" s="7" t="s">
        <v>477</v>
      </c>
    </row>
    <row r="22" customFormat="false" ht="28.5" hidden="false" customHeight="true" outlineLevel="0" collapsed="false">
      <c r="A22" s="29" t="s">
        <v>1957</v>
      </c>
      <c r="B22" s="29" t="s">
        <v>1207</v>
      </c>
      <c r="C22" s="29" t="s">
        <v>831</v>
      </c>
      <c r="D22" s="29" t="s">
        <v>472</v>
      </c>
      <c r="E22" s="22" t="s">
        <v>424</v>
      </c>
      <c r="F22" s="30" t="n">
        <v>0.0364</v>
      </c>
      <c r="G22" s="38" t="n">
        <v>4</v>
      </c>
      <c r="H22" s="32" t="s">
        <v>1914</v>
      </c>
      <c r="I22" s="29" t="s">
        <v>483</v>
      </c>
      <c r="J22" s="33" t="s">
        <v>1958</v>
      </c>
      <c r="K22" s="22" t="s">
        <v>475</v>
      </c>
      <c r="L22" s="1" t="n">
        <v>0.08</v>
      </c>
      <c r="M22" s="7" t="s">
        <v>476</v>
      </c>
      <c r="N22" s="7" t="s">
        <v>477</v>
      </c>
    </row>
    <row r="23" customFormat="false" ht="28.5" hidden="false" customHeight="true" outlineLevel="0" collapsed="false">
      <c r="A23" s="29" t="s">
        <v>1959</v>
      </c>
      <c r="B23" s="22" t="s">
        <v>470</v>
      </c>
      <c r="C23" s="29" t="s">
        <v>945</v>
      </c>
      <c r="D23" s="29" t="s">
        <v>472</v>
      </c>
      <c r="E23" s="22" t="s">
        <v>431</v>
      </c>
      <c r="F23" s="30" t="n">
        <v>0.0318</v>
      </c>
      <c r="G23" s="31" t="n">
        <v>6</v>
      </c>
      <c r="H23" s="32" t="s">
        <v>990</v>
      </c>
      <c r="I23" s="29" t="s">
        <v>460</v>
      </c>
      <c r="J23" s="33" t="s">
        <v>1960</v>
      </c>
      <c r="K23" s="22" t="s">
        <v>475</v>
      </c>
      <c r="L23" s="1" t="n">
        <v>0.07</v>
      </c>
      <c r="M23" s="7" t="s">
        <v>476</v>
      </c>
      <c r="N23" s="7" t="s">
        <v>529</v>
      </c>
    </row>
    <row r="24" customFormat="false" ht="17.25" hidden="false" customHeight="true" outlineLevel="0" collapsed="false">
      <c r="A24" s="35" t="s">
        <v>485</v>
      </c>
      <c r="B24" s="35"/>
      <c r="C24" s="35"/>
      <c r="D24" s="35"/>
      <c r="E24" s="35"/>
      <c r="F24" s="35"/>
      <c r="G24" s="36" t="n">
        <f aca="false">ROUND(SUMPRODUCT(F5:F23,G5:G23),1)</f>
        <v>7.1</v>
      </c>
      <c r="H24" s="37" t="s">
        <v>486</v>
      </c>
      <c r="I24" s="37"/>
      <c r="J24" s="37"/>
      <c r="K24" s="37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1961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1962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ROUND(SUMPRODUCT(F5:F11,G5:G11)/SUM(F5:F11),1)</f>
        <v>9.1</v>
      </c>
    </row>
    <row r="5" customFormat="false" ht="28.5" hidden="false" customHeight="true" outlineLevel="0" collapsed="false">
      <c r="A5" s="29" t="s">
        <v>1963</v>
      </c>
      <c r="B5" s="22" t="s">
        <v>1223</v>
      </c>
      <c r="C5" s="29" t="s">
        <v>987</v>
      </c>
      <c r="D5" s="29" t="s">
        <v>924</v>
      </c>
      <c r="E5" s="22" t="s">
        <v>925</v>
      </c>
      <c r="F5" s="30" t="n">
        <v>0.0964</v>
      </c>
      <c r="G5" s="34" t="n">
        <v>10</v>
      </c>
      <c r="H5" s="32" t="s">
        <v>612</v>
      </c>
      <c r="I5" s="29" t="s">
        <v>666</v>
      </c>
      <c r="J5" s="33" t="s">
        <v>1224</v>
      </c>
      <c r="K5" s="22" t="s">
        <v>475</v>
      </c>
      <c r="L5" s="1" t="n">
        <v>0.15</v>
      </c>
      <c r="M5" s="7" t="s">
        <v>608</v>
      </c>
      <c r="N5" s="7" t="s">
        <v>679</v>
      </c>
      <c r="O5" s="1" t="s">
        <v>410</v>
      </c>
      <c r="P5" s="1" t="n">
        <f aca="false">ROUND(SUMPRODUCT(F13:F18,G13:G18)/SUM(F13:F18),1)</f>
        <v>7.2</v>
      </c>
    </row>
    <row r="6" customFormat="false" ht="28.5" hidden="false" customHeight="true" outlineLevel="0" collapsed="false">
      <c r="A6" s="29" t="s">
        <v>1964</v>
      </c>
      <c r="B6" s="22" t="s">
        <v>1965</v>
      </c>
      <c r="C6" s="29" t="s">
        <v>1966</v>
      </c>
      <c r="D6" s="22" t="s">
        <v>1967</v>
      </c>
      <c r="E6" s="22" t="s">
        <v>424</v>
      </c>
      <c r="F6" s="30" t="n">
        <v>0.0771</v>
      </c>
      <c r="G6" s="34" t="n">
        <v>10</v>
      </c>
      <c r="H6" s="32" t="s">
        <v>1968</v>
      </c>
      <c r="I6" s="29" t="s">
        <v>850</v>
      </c>
      <c r="J6" s="33" t="s">
        <v>1969</v>
      </c>
      <c r="K6" s="22" t="s">
        <v>407</v>
      </c>
      <c r="L6" s="1" t="n">
        <v>0.12</v>
      </c>
      <c r="M6" s="7" t="s">
        <v>608</v>
      </c>
      <c r="N6" s="7" t="s">
        <v>419</v>
      </c>
      <c r="O6" s="1" t="s">
        <v>420</v>
      </c>
      <c r="P6" s="1" t="n">
        <f aca="false">ROUND(SUMPRODUCT(F20:F23,G20:G23)/SUM(F20:F23),1)</f>
        <v>6.6</v>
      </c>
    </row>
    <row r="7" customFormat="false" ht="28.5" hidden="false" customHeight="true" outlineLevel="0" collapsed="false">
      <c r="A7" s="29" t="s">
        <v>1970</v>
      </c>
      <c r="B7" s="22" t="s">
        <v>572</v>
      </c>
      <c r="C7" s="29" t="s">
        <v>717</v>
      </c>
      <c r="D7" s="29" t="s">
        <v>402</v>
      </c>
      <c r="E7" s="22" t="s">
        <v>424</v>
      </c>
      <c r="F7" s="30" t="n">
        <v>0.0643</v>
      </c>
      <c r="G7" s="34" t="n">
        <v>8</v>
      </c>
      <c r="H7" s="32" t="s">
        <v>425</v>
      </c>
      <c r="I7" s="29" t="s">
        <v>569</v>
      </c>
      <c r="J7" s="33" t="s">
        <v>1971</v>
      </c>
      <c r="K7" s="22" t="s">
        <v>418</v>
      </c>
      <c r="L7" s="1" t="n">
        <v>0.1</v>
      </c>
      <c r="M7" s="7" t="s">
        <v>608</v>
      </c>
      <c r="N7" s="7" t="s">
        <v>419</v>
      </c>
    </row>
    <row r="8" customFormat="false" ht="28.5" hidden="false" customHeight="true" outlineLevel="0" collapsed="false">
      <c r="A8" s="29" t="s">
        <v>1972</v>
      </c>
      <c r="B8" s="22" t="s">
        <v>1973</v>
      </c>
      <c r="C8" s="29" t="s">
        <v>581</v>
      </c>
      <c r="D8" s="29" t="s">
        <v>924</v>
      </c>
      <c r="E8" s="22" t="s">
        <v>925</v>
      </c>
      <c r="F8" s="30" t="n">
        <v>0.0643</v>
      </c>
      <c r="G8" s="34" t="n">
        <v>10</v>
      </c>
      <c r="H8" s="32" t="s">
        <v>1094</v>
      </c>
      <c r="I8" s="29" t="s">
        <v>627</v>
      </c>
      <c r="J8" s="33" t="s">
        <v>1974</v>
      </c>
      <c r="K8" s="22" t="s">
        <v>441</v>
      </c>
      <c r="L8" s="1" t="n">
        <v>0.1</v>
      </c>
      <c r="M8" s="7" t="s">
        <v>608</v>
      </c>
      <c r="N8" s="7" t="s">
        <v>679</v>
      </c>
    </row>
    <row r="9" customFormat="false" ht="14.25" hidden="false" customHeight="true" outlineLevel="0" collapsed="false">
      <c r="A9" s="29" t="s">
        <v>1975</v>
      </c>
      <c r="B9" s="22" t="s">
        <v>922</v>
      </c>
      <c r="C9" s="29" t="s">
        <v>877</v>
      </c>
      <c r="D9" s="29" t="s">
        <v>924</v>
      </c>
      <c r="E9" s="22" t="s">
        <v>925</v>
      </c>
      <c r="F9" s="30" t="n">
        <v>0.0514</v>
      </c>
      <c r="G9" s="34" t="n">
        <v>8</v>
      </c>
      <c r="H9" s="32" t="s">
        <v>1976</v>
      </c>
      <c r="I9" s="29" t="s">
        <v>653</v>
      </c>
      <c r="J9" s="33" t="s">
        <v>1977</v>
      </c>
      <c r="K9" s="22" t="s">
        <v>475</v>
      </c>
      <c r="L9" s="1" t="n">
        <v>0.08</v>
      </c>
      <c r="M9" s="7" t="s">
        <v>608</v>
      </c>
      <c r="N9" s="7" t="s">
        <v>679</v>
      </c>
    </row>
    <row r="10" customFormat="false" ht="28.5" hidden="false" customHeight="true" outlineLevel="0" collapsed="false">
      <c r="A10" s="29" t="s">
        <v>1978</v>
      </c>
      <c r="B10" s="22" t="s">
        <v>1262</v>
      </c>
      <c r="C10" s="29" t="s">
        <v>413</v>
      </c>
      <c r="D10" s="29" t="s">
        <v>402</v>
      </c>
      <c r="E10" s="22" t="s">
        <v>431</v>
      </c>
      <c r="F10" s="30" t="n">
        <v>0.0514</v>
      </c>
      <c r="G10" s="34" t="n">
        <v>8</v>
      </c>
      <c r="H10" s="32" t="s">
        <v>1281</v>
      </c>
      <c r="I10" s="29" t="s">
        <v>646</v>
      </c>
      <c r="J10" s="33" t="s">
        <v>1979</v>
      </c>
      <c r="K10" s="22" t="s">
        <v>475</v>
      </c>
      <c r="L10" s="1" t="n">
        <v>0.08</v>
      </c>
      <c r="M10" s="7" t="s">
        <v>608</v>
      </c>
      <c r="N10" s="7" t="s">
        <v>679</v>
      </c>
    </row>
    <row r="11" customFormat="false" ht="28.5" hidden="false" customHeight="true" outlineLevel="0" collapsed="false">
      <c r="A11" s="29" t="s">
        <v>1980</v>
      </c>
      <c r="B11" s="22" t="s">
        <v>1702</v>
      </c>
      <c r="C11" s="29" t="s">
        <v>712</v>
      </c>
      <c r="D11" s="29" t="s">
        <v>567</v>
      </c>
      <c r="E11" s="22" t="s">
        <v>431</v>
      </c>
      <c r="F11" s="30" t="n">
        <v>0.045</v>
      </c>
      <c r="G11" s="34" t="n">
        <v>8</v>
      </c>
      <c r="H11" s="32" t="s">
        <v>1465</v>
      </c>
      <c r="I11" s="29" t="s">
        <v>672</v>
      </c>
      <c r="J11" s="33" t="s">
        <v>1981</v>
      </c>
      <c r="K11" s="22" t="s">
        <v>407</v>
      </c>
      <c r="L11" s="1" t="n">
        <v>0.07</v>
      </c>
      <c r="M11" s="7" t="s">
        <v>608</v>
      </c>
      <c r="N11" s="7" t="s">
        <v>409</v>
      </c>
    </row>
    <row r="12" customFormat="false" ht="13.5" hidden="false" customHeight="true" outlineLevel="0" collapsed="false">
      <c r="A12" s="28" t="s">
        <v>442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28.5" hidden="false" customHeight="true" outlineLevel="0" collapsed="false">
      <c r="A13" s="29" t="s">
        <v>1982</v>
      </c>
      <c r="B13" s="22" t="s">
        <v>922</v>
      </c>
      <c r="C13" s="29" t="s">
        <v>705</v>
      </c>
      <c r="D13" s="29" t="s">
        <v>1232</v>
      </c>
      <c r="E13" s="22" t="s">
        <v>431</v>
      </c>
      <c r="F13" s="30" t="n">
        <v>0.0905</v>
      </c>
      <c r="G13" s="31" t="n">
        <v>6</v>
      </c>
      <c r="H13" s="32" t="s">
        <v>1236</v>
      </c>
      <c r="I13" s="29" t="s">
        <v>433</v>
      </c>
      <c r="J13" s="33" t="s">
        <v>1983</v>
      </c>
      <c r="K13" s="22" t="s">
        <v>407</v>
      </c>
      <c r="L13" s="1" t="n">
        <v>0.15</v>
      </c>
      <c r="M13" s="7" t="s">
        <v>449</v>
      </c>
      <c r="N13" s="7" t="s">
        <v>589</v>
      </c>
    </row>
    <row r="14" customFormat="false" ht="28.5" hidden="false" customHeight="true" outlineLevel="0" collapsed="false">
      <c r="A14" s="29" t="s">
        <v>1984</v>
      </c>
      <c r="B14" s="22" t="s">
        <v>1985</v>
      </c>
      <c r="C14" s="29" t="s">
        <v>664</v>
      </c>
      <c r="D14" s="29" t="s">
        <v>402</v>
      </c>
      <c r="E14" s="22" t="s">
        <v>431</v>
      </c>
      <c r="F14" s="30" t="n">
        <v>0.0603</v>
      </c>
      <c r="G14" s="34" t="n">
        <v>8</v>
      </c>
      <c r="H14" s="32" t="s">
        <v>1902</v>
      </c>
      <c r="I14" s="29" t="s">
        <v>532</v>
      </c>
      <c r="J14" s="33" t="s">
        <v>1986</v>
      </c>
      <c r="K14" s="22" t="s">
        <v>475</v>
      </c>
      <c r="L14" s="1" t="n">
        <v>0.1</v>
      </c>
      <c r="M14" s="7" t="s">
        <v>449</v>
      </c>
      <c r="N14" s="7" t="s">
        <v>589</v>
      </c>
    </row>
    <row r="15" customFormat="false" ht="28.5" hidden="false" customHeight="true" outlineLevel="0" collapsed="false">
      <c r="A15" s="29" t="s">
        <v>1987</v>
      </c>
      <c r="B15" s="22" t="s">
        <v>922</v>
      </c>
      <c r="C15" s="29" t="s">
        <v>622</v>
      </c>
      <c r="D15" s="29" t="s">
        <v>402</v>
      </c>
      <c r="E15" s="22" t="s">
        <v>431</v>
      </c>
      <c r="F15" s="30" t="n">
        <v>0.0603</v>
      </c>
      <c r="G15" s="34" t="n">
        <v>8</v>
      </c>
      <c r="H15" s="32" t="s">
        <v>785</v>
      </c>
      <c r="I15" s="29" t="s">
        <v>672</v>
      </c>
      <c r="J15" s="33" t="s">
        <v>1988</v>
      </c>
      <c r="K15" s="22" t="s">
        <v>407</v>
      </c>
      <c r="L15" s="1" t="n">
        <v>0.1</v>
      </c>
      <c r="M15" s="7" t="s">
        <v>449</v>
      </c>
      <c r="N15" s="7" t="s">
        <v>409</v>
      </c>
    </row>
    <row r="16" customFormat="false" ht="28.5" hidden="false" customHeight="true" outlineLevel="0" collapsed="false">
      <c r="A16" s="29" t="s">
        <v>1989</v>
      </c>
      <c r="B16" s="22" t="s">
        <v>922</v>
      </c>
      <c r="C16" s="29" t="s">
        <v>1990</v>
      </c>
      <c r="D16" s="29" t="s">
        <v>472</v>
      </c>
      <c r="E16" s="22" t="s">
        <v>431</v>
      </c>
      <c r="F16" s="30" t="n">
        <v>0.0483</v>
      </c>
      <c r="G16" s="34" t="n">
        <v>8</v>
      </c>
      <c r="H16" s="32" t="s">
        <v>1991</v>
      </c>
      <c r="I16" s="29" t="s">
        <v>532</v>
      </c>
      <c r="J16" s="33" t="s">
        <v>1992</v>
      </c>
      <c r="K16" s="22" t="s">
        <v>407</v>
      </c>
      <c r="L16" s="1" t="n">
        <v>0.08</v>
      </c>
      <c r="M16" s="7" t="s">
        <v>449</v>
      </c>
      <c r="N16" s="7" t="s">
        <v>477</v>
      </c>
    </row>
    <row r="17" customFormat="false" ht="14.25" hidden="false" customHeight="true" outlineLevel="0" collapsed="false">
      <c r="A17" s="29" t="s">
        <v>1993</v>
      </c>
      <c r="B17" s="22" t="s">
        <v>922</v>
      </c>
      <c r="C17" s="29" t="s">
        <v>742</v>
      </c>
      <c r="D17" s="29" t="s">
        <v>1232</v>
      </c>
      <c r="E17" s="22" t="s">
        <v>431</v>
      </c>
      <c r="F17" s="30" t="n">
        <v>0.0483</v>
      </c>
      <c r="G17" s="31" t="n">
        <v>6</v>
      </c>
      <c r="H17" s="32" t="s">
        <v>1994</v>
      </c>
      <c r="I17" s="29" t="s">
        <v>447</v>
      </c>
      <c r="J17" s="33" t="s">
        <v>1995</v>
      </c>
      <c r="K17" s="22" t="s">
        <v>407</v>
      </c>
      <c r="L17" s="1" t="n">
        <v>0.08</v>
      </c>
      <c r="M17" s="7" t="s">
        <v>449</v>
      </c>
      <c r="N17" s="7" t="s">
        <v>589</v>
      </c>
    </row>
    <row r="18" customFormat="false" ht="28.5" hidden="false" customHeight="true" outlineLevel="0" collapsed="false">
      <c r="A18" s="29" t="s">
        <v>1996</v>
      </c>
      <c r="B18" s="22" t="s">
        <v>429</v>
      </c>
      <c r="C18" s="29" t="s">
        <v>1087</v>
      </c>
      <c r="D18" s="29" t="s">
        <v>402</v>
      </c>
      <c r="E18" s="22" t="s">
        <v>431</v>
      </c>
      <c r="F18" s="30" t="n">
        <v>0.0422</v>
      </c>
      <c r="G18" s="34" t="n">
        <v>8</v>
      </c>
      <c r="H18" s="32" t="s">
        <v>671</v>
      </c>
      <c r="I18" s="29" t="s">
        <v>672</v>
      </c>
      <c r="J18" s="33" t="s">
        <v>1997</v>
      </c>
      <c r="K18" s="22" t="s">
        <v>407</v>
      </c>
      <c r="L18" s="1" t="n">
        <v>0.07</v>
      </c>
      <c r="M18" s="7" t="s">
        <v>449</v>
      </c>
      <c r="N18" s="7" t="s">
        <v>409</v>
      </c>
    </row>
    <row r="19" customFormat="false" ht="13.5" hidden="false" customHeight="true" outlineLevel="0" collapsed="false">
      <c r="A19" s="28" t="s">
        <v>468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customFormat="false" ht="28.5" hidden="false" customHeight="true" outlineLevel="0" collapsed="false">
      <c r="A20" s="29" t="s">
        <v>1998</v>
      </c>
      <c r="B20" s="22" t="s">
        <v>470</v>
      </c>
      <c r="C20" s="29" t="s">
        <v>1999</v>
      </c>
      <c r="D20" s="29" t="s">
        <v>472</v>
      </c>
      <c r="E20" s="22" t="s">
        <v>431</v>
      </c>
      <c r="F20" s="30" t="n">
        <v>0.0606</v>
      </c>
      <c r="G20" s="34" t="n">
        <v>8</v>
      </c>
      <c r="H20" s="32" t="s">
        <v>785</v>
      </c>
      <c r="I20" s="29" t="s">
        <v>447</v>
      </c>
      <c r="J20" s="32" t="s">
        <v>1910</v>
      </c>
      <c r="K20" s="22" t="s">
        <v>475</v>
      </c>
      <c r="L20" s="1" t="n">
        <v>0.1</v>
      </c>
      <c r="M20" s="7" t="s">
        <v>745</v>
      </c>
      <c r="N20" s="7" t="s">
        <v>419</v>
      </c>
    </row>
    <row r="21" customFormat="false" ht="28.5" hidden="false" customHeight="true" outlineLevel="0" collapsed="false">
      <c r="A21" s="29" t="s">
        <v>2000</v>
      </c>
      <c r="B21" s="22" t="s">
        <v>470</v>
      </c>
      <c r="C21" s="29" t="s">
        <v>591</v>
      </c>
      <c r="D21" s="22" t="s">
        <v>592</v>
      </c>
      <c r="E21" s="22" t="s">
        <v>431</v>
      </c>
      <c r="F21" s="30" t="n">
        <v>0.0485</v>
      </c>
      <c r="G21" s="31" t="n">
        <v>6</v>
      </c>
      <c r="H21" s="32" t="s">
        <v>593</v>
      </c>
      <c r="I21" s="29" t="s">
        <v>433</v>
      </c>
      <c r="J21" s="32" t="s">
        <v>2001</v>
      </c>
      <c r="K21" s="22" t="s">
        <v>475</v>
      </c>
      <c r="L21" s="1" t="n">
        <v>0.08</v>
      </c>
      <c r="M21" s="7" t="s">
        <v>745</v>
      </c>
      <c r="N21" s="7" t="s">
        <v>477</v>
      </c>
    </row>
    <row r="22" customFormat="false" ht="28.5" hidden="false" customHeight="true" outlineLevel="0" collapsed="false">
      <c r="A22" s="29" t="s">
        <v>2002</v>
      </c>
      <c r="B22" s="22" t="s">
        <v>470</v>
      </c>
      <c r="C22" s="29" t="s">
        <v>1399</v>
      </c>
      <c r="D22" s="22" t="s">
        <v>525</v>
      </c>
      <c r="E22" s="22" t="s">
        <v>424</v>
      </c>
      <c r="F22" s="30" t="n">
        <v>0.0485</v>
      </c>
      <c r="G22" s="31" t="n">
        <v>6</v>
      </c>
      <c r="H22" s="32" t="s">
        <v>1659</v>
      </c>
      <c r="I22" s="29" t="s">
        <v>433</v>
      </c>
      <c r="J22" s="33" t="s">
        <v>2003</v>
      </c>
      <c r="K22" s="22" t="s">
        <v>475</v>
      </c>
      <c r="L22" s="1" t="n">
        <v>0.08</v>
      </c>
      <c r="M22" s="7" t="s">
        <v>745</v>
      </c>
      <c r="N22" s="7" t="s">
        <v>529</v>
      </c>
    </row>
    <row r="23" customFormat="false" ht="28.5" hidden="false" customHeight="true" outlineLevel="0" collapsed="false">
      <c r="A23" s="29" t="s">
        <v>2004</v>
      </c>
      <c r="B23" s="22" t="s">
        <v>470</v>
      </c>
      <c r="C23" s="29" t="s">
        <v>945</v>
      </c>
      <c r="D23" s="29" t="s">
        <v>472</v>
      </c>
      <c r="E23" s="22" t="s">
        <v>424</v>
      </c>
      <c r="F23" s="30" t="n">
        <v>0.0424</v>
      </c>
      <c r="G23" s="31" t="n">
        <v>6</v>
      </c>
      <c r="H23" s="32" t="s">
        <v>2005</v>
      </c>
      <c r="I23" s="29" t="s">
        <v>439</v>
      </c>
      <c r="J23" s="33" t="s">
        <v>2006</v>
      </c>
      <c r="K23" s="22" t="s">
        <v>475</v>
      </c>
      <c r="L23" s="1" t="n">
        <v>0.07</v>
      </c>
      <c r="M23" s="7" t="s">
        <v>745</v>
      </c>
      <c r="N23" s="7" t="s">
        <v>529</v>
      </c>
    </row>
    <row r="24" customFormat="false" ht="17.25" hidden="false" customHeight="true" outlineLevel="0" collapsed="false">
      <c r="A24" s="35" t="s">
        <v>485</v>
      </c>
      <c r="B24" s="35"/>
      <c r="C24" s="35"/>
      <c r="D24" s="35"/>
      <c r="E24" s="35"/>
      <c r="F24" s="35"/>
      <c r="G24" s="36" t="n">
        <f aca="false">ROUND(SUMPRODUCT(F5:F23,G5:G23),1)</f>
        <v>7.9</v>
      </c>
      <c r="H24" s="37" t="s">
        <v>486</v>
      </c>
      <c r="I24" s="37"/>
      <c r="J24" s="37"/>
      <c r="K24" s="37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2007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2008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397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ROUND(SUMPRODUCT(F5:F11,G5:G11)/SUM(F5:F11),1)</f>
        <v>9.2</v>
      </c>
    </row>
    <row r="5" customFormat="false" ht="28.5" hidden="false" customHeight="true" outlineLevel="0" collapsed="false">
      <c r="A5" s="29" t="s">
        <v>2009</v>
      </c>
      <c r="B5" s="29" t="s">
        <v>2010</v>
      </c>
      <c r="C5" s="29" t="s">
        <v>831</v>
      </c>
      <c r="D5" s="29" t="s">
        <v>1725</v>
      </c>
      <c r="E5" s="22" t="s">
        <v>925</v>
      </c>
      <c r="F5" s="30" t="n">
        <v>0.0925</v>
      </c>
      <c r="G5" s="34" t="n">
        <v>10</v>
      </c>
      <c r="H5" s="32" t="s">
        <v>2011</v>
      </c>
      <c r="I5" s="29" t="s">
        <v>666</v>
      </c>
      <c r="J5" s="33" t="s">
        <v>2012</v>
      </c>
      <c r="K5" s="22" t="s">
        <v>475</v>
      </c>
      <c r="L5" s="1" t="n">
        <v>0.15</v>
      </c>
      <c r="M5" s="7" t="s">
        <v>608</v>
      </c>
      <c r="N5" s="7" t="s">
        <v>679</v>
      </c>
      <c r="O5" s="1" t="s">
        <v>410</v>
      </c>
      <c r="P5" s="1" t="n">
        <f aca="false">ROUND(SUMPRODUCT(F13:F18,G13:G18)/SUM(F13:F18),1)</f>
        <v>7.1</v>
      </c>
    </row>
    <row r="6" customFormat="false" ht="28.5" hidden="false" customHeight="true" outlineLevel="0" collapsed="false">
      <c r="A6" s="29" t="s">
        <v>2013</v>
      </c>
      <c r="B6" s="29" t="s">
        <v>1239</v>
      </c>
      <c r="C6" s="29" t="s">
        <v>2014</v>
      </c>
      <c r="D6" s="22" t="s">
        <v>1219</v>
      </c>
      <c r="E6" s="22" t="s">
        <v>424</v>
      </c>
      <c r="F6" s="30" t="n">
        <v>0.074</v>
      </c>
      <c r="G6" s="34" t="n">
        <v>10</v>
      </c>
      <c r="H6" s="32" t="s">
        <v>1220</v>
      </c>
      <c r="I6" s="29" t="s">
        <v>999</v>
      </c>
      <c r="J6" s="33" t="s">
        <v>2015</v>
      </c>
      <c r="K6" s="22" t="s">
        <v>407</v>
      </c>
      <c r="L6" s="1" t="n">
        <v>0.12</v>
      </c>
      <c r="M6" s="7" t="s">
        <v>608</v>
      </c>
      <c r="N6" s="7" t="s">
        <v>419</v>
      </c>
      <c r="O6" s="1" t="s">
        <v>420</v>
      </c>
      <c r="P6" s="1" t="n">
        <f aca="false">ROUND(SUMPRODUCT(F20:F23,G20:G23)/SUM(F20:F23),1)</f>
        <v>7.1</v>
      </c>
    </row>
    <row r="7" customFormat="false" ht="28.5" hidden="false" customHeight="true" outlineLevel="0" collapsed="false">
      <c r="A7" s="29" t="s">
        <v>1217</v>
      </c>
      <c r="B7" s="29" t="s">
        <v>610</v>
      </c>
      <c r="C7" s="29" t="s">
        <v>1218</v>
      </c>
      <c r="D7" s="22" t="s">
        <v>1219</v>
      </c>
      <c r="E7" s="22" t="s">
        <v>424</v>
      </c>
      <c r="F7" s="30" t="n">
        <v>0.0616</v>
      </c>
      <c r="G7" s="34" t="n">
        <v>8</v>
      </c>
      <c r="H7" s="32" t="s">
        <v>1220</v>
      </c>
      <c r="I7" s="29" t="s">
        <v>909</v>
      </c>
      <c r="J7" s="33" t="s">
        <v>2016</v>
      </c>
      <c r="K7" s="22" t="s">
        <v>418</v>
      </c>
      <c r="L7" s="1" t="n">
        <v>0.1</v>
      </c>
      <c r="M7" s="7" t="s">
        <v>608</v>
      </c>
      <c r="N7" s="7" t="s">
        <v>419</v>
      </c>
    </row>
    <row r="8" customFormat="false" ht="28.5" hidden="false" customHeight="true" outlineLevel="0" collapsed="false">
      <c r="A8" s="29" t="s">
        <v>2017</v>
      </c>
      <c r="B8" s="22" t="s">
        <v>922</v>
      </c>
      <c r="C8" s="29" t="s">
        <v>581</v>
      </c>
      <c r="D8" s="29" t="s">
        <v>924</v>
      </c>
      <c r="E8" s="22" t="s">
        <v>925</v>
      </c>
      <c r="F8" s="30" t="n">
        <v>0.0616</v>
      </c>
      <c r="G8" s="34" t="n">
        <v>10</v>
      </c>
      <c r="H8" s="32" t="s">
        <v>1094</v>
      </c>
      <c r="I8" s="29" t="s">
        <v>666</v>
      </c>
      <c r="J8" s="33" t="s">
        <v>2018</v>
      </c>
      <c r="K8" s="22" t="s">
        <v>441</v>
      </c>
      <c r="L8" s="1" t="n">
        <v>0.1</v>
      </c>
      <c r="M8" s="7" t="s">
        <v>608</v>
      </c>
      <c r="N8" s="7" t="s">
        <v>679</v>
      </c>
    </row>
    <row r="9" customFormat="false" ht="28.5" hidden="false" customHeight="true" outlineLevel="0" collapsed="false">
      <c r="A9" s="29" t="s">
        <v>2019</v>
      </c>
      <c r="B9" s="22" t="s">
        <v>2020</v>
      </c>
      <c r="C9" s="29" t="s">
        <v>1152</v>
      </c>
      <c r="D9" s="22" t="s">
        <v>1638</v>
      </c>
      <c r="E9" s="22" t="s">
        <v>925</v>
      </c>
      <c r="F9" s="30" t="n">
        <v>0.0493</v>
      </c>
      <c r="G9" s="34" t="n">
        <v>10</v>
      </c>
      <c r="H9" s="32" t="s">
        <v>1173</v>
      </c>
      <c r="I9" s="29" t="s">
        <v>416</v>
      </c>
      <c r="J9" s="33" t="s">
        <v>2021</v>
      </c>
      <c r="K9" s="22" t="s">
        <v>441</v>
      </c>
      <c r="L9" s="1" t="n">
        <v>0.08</v>
      </c>
      <c r="M9" s="7" t="s">
        <v>608</v>
      </c>
      <c r="N9" s="7" t="s">
        <v>679</v>
      </c>
    </row>
    <row r="10" customFormat="false" ht="28.5" hidden="false" customHeight="true" outlineLevel="0" collapsed="false">
      <c r="A10" s="29" t="s">
        <v>2022</v>
      </c>
      <c r="B10" s="22" t="s">
        <v>1702</v>
      </c>
      <c r="C10" s="29" t="s">
        <v>1954</v>
      </c>
      <c r="D10" s="29" t="s">
        <v>472</v>
      </c>
      <c r="E10" s="22" t="s">
        <v>431</v>
      </c>
      <c r="F10" s="30" t="n">
        <v>0.0616</v>
      </c>
      <c r="G10" s="34" t="n">
        <v>8</v>
      </c>
      <c r="H10" s="32" t="s">
        <v>2023</v>
      </c>
      <c r="I10" s="29" t="s">
        <v>672</v>
      </c>
      <c r="J10" s="33" t="s">
        <v>2024</v>
      </c>
      <c r="K10" s="22" t="s">
        <v>475</v>
      </c>
      <c r="L10" s="1" t="n">
        <v>0.1</v>
      </c>
      <c r="M10" s="7" t="s">
        <v>608</v>
      </c>
      <c r="N10" s="7" t="s">
        <v>477</v>
      </c>
    </row>
    <row r="11" customFormat="false" ht="28.5" hidden="false" customHeight="true" outlineLevel="0" collapsed="false">
      <c r="A11" s="29" t="s">
        <v>2025</v>
      </c>
      <c r="B11" s="22" t="s">
        <v>2026</v>
      </c>
      <c r="C11" s="29" t="s">
        <v>1307</v>
      </c>
      <c r="D11" s="29" t="s">
        <v>402</v>
      </c>
      <c r="E11" s="22" t="s">
        <v>431</v>
      </c>
      <c r="F11" s="30" t="n">
        <v>0.0493</v>
      </c>
      <c r="G11" s="34" t="n">
        <v>8</v>
      </c>
      <c r="H11" s="32" t="s">
        <v>1308</v>
      </c>
      <c r="I11" s="29" t="s">
        <v>416</v>
      </c>
      <c r="J11" s="32" t="s">
        <v>2027</v>
      </c>
      <c r="K11" s="22" t="s">
        <v>475</v>
      </c>
      <c r="L11" s="1" t="n">
        <v>0.08</v>
      </c>
      <c r="M11" s="7" t="s">
        <v>608</v>
      </c>
      <c r="N11" s="7" t="s">
        <v>679</v>
      </c>
    </row>
    <row r="12" customFormat="false" ht="13.5" hidden="false" customHeight="true" outlineLevel="0" collapsed="false">
      <c r="A12" s="28" t="s">
        <v>442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14.25" hidden="false" customHeight="true" outlineLevel="0" collapsed="false">
      <c r="A13" s="29" t="s">
        <v>2028</v>
      </c>
      <c r="B13" s="29" t="s">
        <v>1239</v>
      </c>
      <c r="C13" s="29" t="s">
        <v>524</v>
      </c>
      <c r="D13" s="29" t="s">
        <v>1240</v>
      </c>
      <c r="E13" s="22" t="s">
        <v>431</v>
      </c>
      <c r="F13" s="30" t="n">
        <v>0.0905</v>
      </c>
      <c r="G13" s="31" t="n">
        <v>6</v>
      </c>
      <c r="H13" s="32" t="s">
        <v>1241</v>
      </c>
      <c r="I13" s="29" t="s">
        <v>447</v>
      </c>
      <c r="J13" s="33" t="s">
        <v>2029</v>
      </c>
      <c r="K13" s="22" t="s">
        <v>475</v>
      </c>
      <c r="L13" s="1" t="n">
        <v>0.15</v>
      </c>
      <c r="M13" s="7" t="s">
        <v>449</v>
      </c>
      <c r="N13" s="7" t="s">
        <v>589</v>
      </c>
    </row>
    <row r="14" customFormat="false" ht="28.5" hidden="false" customHeight="true" outlineLevel="0" collapsed="false">
      <c r="A14" s="29" t="s">
        <v>2030</v>
      </c>
      <c r="B14" s="22" t="s">
        <v>922</v>
      </c>
      <c r="C14" s="29" t="s">
        <v>1097</v>
      </c>
      <c r="D14" s="29" t="s">
        <v>1240</v>
      </c>
      <c r="E14" s="22" t="s">
        <v>431</v>
      </c>
      <c r="F14" s="30" t="n">
        <v>0.0603</v>
      </c>
      <c r="G14" s="31" t="n">
        <v>6</v>
      </c>
      <c r="H14" s="32" t="s">
        <v>2031</v>
      </c>
      <c r="I14" s="29" t="s">
        <v>433</v>
      </c>
      <c r="J14" s="33" t="s">
        <v>2032</v>
      </c>
      <c r="K14" s="22" t="s">
        <v>475</v>
      </c>
      <c r="L14" s="1" t="n">
        <v>0.1</v>
      </c>
      <c r="M14" s="7" t="s">
        <v>449</v>
      </c>
      <c r="N14" s="7" t="s">
        <v>409</v>
      </c>
    </row>
    <row r="15" customFormat="false" ht="28.5" hidden="false" customHeight="true" outlineLevel="0" collapsed="false">
      <c r="A15" s="29" t="s">
        <v>2033</v>
      </c>
      <c r="B15" s="22" t="s">
        <v>1702</v>
      </c>
      <c r="C15" s="29" t="s">
        <v>742</v>
      </c>
      <c r="D15" s="29" t="s">
        <v>472</v>
      </c>
      <c r="E15" s="22" t="s">
        <v>431</v>
      </c>
      <c r="F15" s="30" t="n">
        <v>0.0603</v>
      </c>
      <c r="G15" s="31" t="n">
        <v>6</v>
      </c>
      <c r="H15" s="32" t="s">
        <v>1293</v>
      </c>
      <c r="I15" s="29" t="s">
        <v>460</v>
      </c>
      <c r="J15" s="33" t="s">
        <v>2034</v>
      </c>
      <c r="K15" s="22" t="s">
        <v>475</v>
      </c>
      <c r="L15" s="1" t="n">
        <v>0.1</v>
      </c>
      <c r="M15" s="7" t="s">
        <v>449</v>
      </c>
      <c r="N15" s="7" t="s">
        <v>409</v>
      </c>
    </row>
    <row r="16" customFormat="false" ht="28.5" hidden="false" customHeight="true" outlineLevel="0" collapsed="false">
      <c r="A16" s="29" t="s">
        <v>2035</v>
      </c>
      <c r="B16" s="22" t="s">
        <v>429</v>
      </c>
      <c r="C16" s="29" t="s">
        <v>1307</v>
      </c>
      <c r="D16" s="29" t="s">
        <v>402</v>
      </c>
      <c r="E16" s="22" t="s">
        <v>431</v>
      </c>
      <c r="F16" s="30" t="n">
        <v>0.0483</v>
      </c>
      <c r="G16" s="34" t="n">
        <v>10</v>
      </c>
      <c r="H16" s="32" t="s">
        <v>1308</v>
      </c>
      <c r="I16" s="29" t="s">
        <v>666</v>
      </c>
      <c r="J16" s="33" t="s">
        <v>2036</v>
      </c>
      <c r="K16" s="22" t="s">
        <v>407</v>
      </c>
      <c r="L16" s="1" t="n">
        <v>0.08</v>
      </c>
      <c r="M16" s="7" t="s">
        <v>449</v>
      </c>
      <c r="N16" s="7" t="s">
        <v>409</v>
      </c>
    </row>
    <row r="17" customFormat="false" ht="28.5" hidden="false" customHeight="true" outlineLevel="0" collapsed="false">
      <c r="A17" s="29" t="s">
        <v>2037</v>
      </c>
      <c r="B17" s="22" t="s">
        <v>922</v>
      </c>
      <c r="C17" s="29" t="s">
        <v>1760</v>
      </c>
      <c r="D17" s="29" t="s">
        <v>472</v>
      </c>
      <c r="E17" s="22" t="s">
        <v>431</v>
      </c>
      <c r="F17" s="30" t="n">
        <v>0.0483</v>
      </c>
      <c r="G17" s="34" t="n">
        <v>8</v>
      </c>
      <c r="H17" s="32" t="s">
        <v>2038</v>
      </c>
      <c r="I17" s="29" t="s">
        <v>454</v>
      </c>
      <c r="J17" s="33" t="s">
        <v>2039</v>
      </c>
      <c r="K17" s="22" t="s">
        <v>441</v>
      </c>
      <c r="L17" s="1" t="n">
        <v>0.08</v>
      </c>
      <c r="M17" s="7" t="s">
        <v>449</v>
      </c>
      <c r="N17" s="7" t="s">
        <v>409</v>
      </c>
    </row>
    <row r="18" customFormat="false" ht="28.5" hidden="false" customHeight="true" outlineLevel="0" collapsed="false">
      <c r="A18" s="29" t="s">
        <v>2040</v>
      </c>
      <c r="B18" s="29" t="s">
        <v>1239</v>
      </c>
      <c r="C18" s="29" t="s">
        <v>1685</v>
      </c>
      <c r="D18" s="29" t="s">
        <v>1725</v>
      </c>
      <c r="E18" s="22" t="s">
        <v>431</v>
      </c>
      <c r="F18" s="30" t="n">
        <v>0.0422</v>
      </c>
      <c r="G18" s="34" t="n">
        <v>8</v>
      </c>
      <c r="H18" s="32" t="s">
        <v>1771</v>
      </c>
      <c r="I18" s="29" t="s">
        <v>646</v>
      </c>
      <c r="J18" s="32" t="s">
        <v>2041</v>
      </c>
      <c r="K18" s="22" t="s">
        <v>475</v>
      </c>
      <c r="L18" s="1" t="n">
        <v>0.07</v>
      </c>
      <c r="M18" s="7" t="s">
        <v>449</v>
      </c>
      <c r="N18" s="7" t="s">
        <v>409</v>
      </c>
    </row>
    <row r="19" customFormat="false" ht="13.5" hidden="false" customHeight="true" outlineLevel="0" collapsed="false">
      <c r="A19" s="28" t="s">
        <v>468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customFormat="false" ht="28.5" hidden="false" customHeight="true" outlineLevel="0" collapsed="false">
      <c r="A20" s="29" t="s">
        <v>2042</v>
      </c>
      <c r="B20" s="22" t="s">
        <v>470</v>
      </c>
      <c r="C20" s="29" t="s">
        <v>1152</v>
      </c>
      <c r="D20" s="29" t="s">
        <v>472</v>
      </c>
      <c r="E20" s="22" t="s">
        <v>431</v>
      </c>
      <c r="F20" s="30" t="n">
        <v>0.0606</v>
      </c>
      <c r="G20" s="34" t="n">
        <v>8</v>
      </c>
      <c r="H20" s="32" t="s">
        <v>1250</v>
      </c>
      <c r="I20" s="29" t="s">
        <v>460</v>
      </c>
      <c r="J20" s="32" t="s">
        <v>2043</v>
      </c>
      <c r="K20" s="22" t="s">
        <v>475</v>
      </c>
      <c r="L20" s="1" t="n">
        <v>0.1</v>
      </c>
      <c r="M20" s="7" t="s">
        <v>745</v>
      </c>
      <c r="N20" s="7" t="s">
        <v>419</v>
      </c>
    </row>
    <row r="21" customFormat="false" ht="28.5" hidden="false" customHeight="true" outlineLevel="0" collapsed="false">
      <c r="A21" s="29" t="s">
        <v>2044</v>
      </c>
      <c r="B21" s="22" t="s">
        <v>470</v>
      </c>
      <c r="C21" s="29" t="s">
        <v>524</v>
      </c>
      <c r="D21" s="22" t="s">
        <v>592</v>
      </c>
      <c r="E21" s="22" t="s">
        <v>431</v>
      </c>
      <c r="F21" s="30" t="n">
        <v>0.0485</v>
      </c>
      <c r="G21" s="31" t="n">
        <v>6</v>
      </c>
      <c r="H21" s="32" t="s">
        <v>1361</v>
      </c>
      <c r="I21" s="29" t="s">
        <v>433</v>
      </c>
      <c r="J21" s="32" t="s">
        <v>2045</v>
      </c>
      <c r="K21" s="22" t="s">
        <v>475</v>
      </c>
      <c r="L21" s="1" t="n">
        <v>0.08</v>
      </c>
      <c r="M21" s="7" t="s">
        <v>745</v>
      </c>
      <c r="N21" s="7" t="s">
        <v>477</v>
      </c>
    </row>
    <row r="22" customFormat="false" ht="28.5" hidden="false" customHeight="true" outlineLevel="0" collapsed="false">
      <c r="A22" s="29" t="s">
        <v>2046</v>
      </c>
      <c r="B22" s="22" t="s">
        <v>1702</v>
      </c>
      <c r="C22" s="29" t="s">
        <v>1391</v>
      </c>
      <c r="D22" s="29" t="s">
        <v>472</v>
      </c>
      <c r="E22" s="22" t="s">
        <v>431</v>
      </c>
      <c r="F22" s="30" t="n">
        <v>0.0485</v>
      </c>
      <c r="G22" s="34" t="n">
        <v>8</v>
      </c>
      <c r="H22" s="32" t="s">
        <v>2047</v>
      </c>
      <c r="I22" s="29" t="s">
        <v>454</v>
      </c>
      <c r="J22" s="33" t="s">
        <v>2048</v>
      </c>
      <c r="K22" s="22" t="s">
        <v>441</v>
      </c>
      <c r="L22" s="1" t="n">
        <v>0.08</v>
      </c>
      <c r="M22" s="7" t="s">
        <v>745</v>
      </c>
      <c r="N22" s="7" t="s">
        <v>477</v>
      </c>
    </row>
    <row r="23" customFormat="false" ht="28.5" hidden="false" customHeight="true" outlineLevel="0" collapsed="false">
      <c r="A23" s="29" t="s">
        <v>2049</v>
      </c>
      <c r="B23" s="29" t="s">
        <v>1239</v>
      </c>
      <c r="C23" s="29" t="s">
        <v>491</v>
      </c>
      <c r="D23" s="29" t="s">
        <v>472</v>
      </c>
      <c r="E23" s="22" t="s">
        <v>424</v>
      </c>
      <c r="F23" s="30" t="n">
        <v>0.0424</v>
      </c>
      <c r="G23" s="31" t="n">
        <v>6</v>
      </c>
      <c r="H23" s="32" t="s">
        <v>2050</v>
      </c>
      <c r="I23" s="29" t="s">
        <v>439</v>
      </c>
      <c r="J23" s="33" t="s">
        <v>2051</v>
      </c>
      <c r="K23" s="22" t="s">
        <v>475</v>
      </c>
      <c r="L23" s="1" t="n">
        <v>0.07</v>
      </c>
      <c r="M23" s="7" t="s">
        <v>745</v>
      </c>
      <c r="N23" s="7" t="s">
        <v>477</v>
      </c>
    </row>
    <row r="24" customFormat="false" ht="17.25" hidden="false" customHeight="true" outlineLevel="0" collapsed="false">
      <c r="A24" s="35" t="s">
        <v>485</v>
      </c>
      <c r="B24" s="35"/>
      <c r="C24" s="35"/>
      <c r="D24" s="35"/>
      <c r="E24" s="35"/>
      <c r="F24" s="35"/>
      <c r="G24" s="36" t="n">
        <f aca="false">ROUND(SUMPRODUCT(F5:F23,G5:G23),1)</f>
        <v>8</v>
      </c>
      <c r="H24" s="37" t="s">
        <v>486</v>
      </c>
      <c r="I24" s="37"/>
      <c r="J24" s="37"/>
      <c r="K24" s="37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8.75" hidden="false" customHeight="true" outlineLevel="0" collapsed="false">
      <c r="A1" s="24" t="s">
        <v>2052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2053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2054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ROUND(SUMPRODUCT(F5:F11,G5:G11)/SUM(F5:F11),1)</f>
        <v>7.8</v>
      </c>
    </row>
    <row r="5" customFormat="false" ht="42.75" hidden="false" customHeight="true" outlineLevel="0" collapsed="false">
      <c r="A5" s="29" t="s">
        <v>2055</v>
      </c>
      <c r="B5" s="29" t="s">
        <v>885</v>
      </c>
      <c r="C5" s="29" t="s">
        <v>622</v>
      </c>
      <c r="D5" s="29" t="s">
        <v>402</v>
      </c>
      <c r="E5" s="22" t="s">
        <v>431</v>
      </c>
      <c r="F5" s="30" t="n">
        <v>0.1086</v>
      </c>
      <c r="G5" s="34" t="n">
        <v>8</v>
      </c>
      <c r="H5" s="32" t="s">
        <v>886</v>
      </c>
      <c r="I5" s="29" t="s">
        <v>454</v>
      </c>
      <c r="J5" s="33" t="s">
        <v>2056</v>
      </c>
      <c r="K5" s="22" t="s">
        <v>475</v>
      </c>
      <c r="L5" s="1" t="n">
        <v>0.15</v>
      </c>
      <c r="M5" s="7" t="s">
        <v>1793</v>
      </c>
      <c r="N5" s="7" t="s">
        <v>679</v>
      </c>
      <c r="O5" s="1" t="s">
        <v>410</v>
      </c>
      <c r="P5" s="1" t="n">
        <f aca="false">ROUND(SUMPRODUCT(F13:F18,G13:G18)/SUM(F13:F18),1)</f>
        <v>7.4</v>
      </c>
    </row>
    <row r="6" customFormat="false" ht="42.75" hidden="false" customHeight="true" outlineLevel="0" collapsed="false">
      <c r="A6" s="29" t="s">
        <v>2057</v>
      </c>
      <c r="B6" s="29" t="s">
        <v>2058</v>
      </c>
      <c r="C6" s="29" t="s">
        <v>705</v>
      </c>
      <c r="D6" s="22" t="s">
        <v>1752</v>
      </c>
      <c r="E6" s="22" t="s">
        <v>431</v>
      </c>
      <c r="F6" s="30" t="n">
        <v>0.0724</v>
      </c>
      <c r="G6" s="34" t="n">
        <v>8</v>
      </c>
      <c r="H6" s="32" t="s">
        <v>2059</v>
      </c>
      <c r="I6" s="29" t="s">
        <v>460</v>
      </c>
      <c r="J6" s="32" t="s">
        <v>2060</v>
      </c>
      <c r="K6" s="22" t="s">
        <v>407</v>
      </c>
      <c r="L6" s="1" t="n">
        <v>0.1</v>
      </c>
      <c r="M6" s="7" t="s">
        <v>1793</v>
      </c>
      <c r="N6" s="7" t="s">
        <v>679</v>
      </c>
      <c r="O6" s="1" t="s">
        <v>420</v>
      </c>
      <c r="P6" s="1" t="n">
        <f aca="false">ROUND(SUMPRODUCT(F20:F23,G20:G23)/SUM(F20:F23),1)</f>
        <v>7.1</v>
      </c>
    </row>
    <row r="7" customFormat="false" ht="42.75" hidden="false" customHeight="true" outlineLevel="0" collapsed="false">
      <c r="A7" s="29" t="s">
        <v>2061</v>
      </c>
      <c r="B7" s="22" t="s">
        <v>2062</v>
      </c>
      <c r="C7" s="29" t="s">
        <v>664</v>
      </c>
      <c r="D7" s="29" t="s">
        <v>402</v>
      </c>
      <c r="E7" s="22" t="s">
        <v>431</v>
      </c>
      <c r="F7" s="30" t="n">
        <v>0.1086</v>
      </c>
      <c r="G7" s="34" t="n">
        <v>8</v>
      </c>
      <c r="H7" s="32" t="s">
        <v>1902</v>
      </c>
      <c r="I7" s="29" t="s">
        <v>672</v>
      </c>
      <c r="J7" s="33" t="s">
        <v>2063</v>
      </c>
      <c r="K7" s="22" t="s">
        <v>475</v>
      </c>
      <c r="L7" s="1" t="n">
        <v>0.15</v>
      </c>
      <c r="M7" s="7" t="s">
        <v>1793</v>
      </c>
      <c r="N7" s="7" t="s">
        <v>679</v>
      </c>
    </row>
    <row r="8" customFormat="false" ht="28.5" hidden="false" customHeight="true" outlineLevel="0" collapsed="false">
      <c r="A8" s="29" t="s">
        <v>2064</v>
      </c>
      <c r="B8" s="29" t="s">
        <v>2065</v>
      </c>
      <c r="C8" s="29" t="s">
        <v>709</v>
      </c>
      <c r="D8" s="29" t="s">
        <v>402</v>
      </c>
      <c r="E8" s="22" t="s">
        <v>431</v>
      </c>
      <c r="F8" s="30" t="n">
        <v>0.0724</v>
      </c>
      <c r="G8" s="34" t="n">
        <v>8</v>
      </c>
      <c r="H8" s="32" t="s">
        <v>977</v>
      </c>
      <c r="I8" s="29" t="s">
        <v>454</v>
      </c>
      <c r="J8" s="33" t="s">
        <v>2066</v>
      </c>
      <c r="K8" s="22" t="s">
        <v>441</v>
      </c>
      <c r="L8" s="1" t="n">
        <v>0.1</v>
      </c>
      <c r="M8" s="7" t="s">
        <v>1793</v>
      </c>
      <c r="N8" s="7" t="s">
        <v>679</v>
      </c>
    </row>
    <row r="9" customFormat="false" ht="28.5" hidden="false" customHeight="true" outlineLevel="0" collapsed="false">
      <c r="A9" s="29" t="s">
        <v>2067</v>
      </c>
      <c r="B9" s="29" t="s">
        <v>870</v>
      </c>
      <c r="C9" s="29" t="s">
        <v>871</v>
      </c>
      <c r="D9" s="22" t="s">
        <v>872</v>
      </c>
      <c r="E9" s="22" t="s">
        <v>431</v>
      </c>
      <c r="F9" s="30" t="n">
        <v>0.0724</v>
      </c>
      <c r="G9" s="34" t="n">
        <v>8</v>
      </c>
      <c r="H9" s="32" t="s">
        <v>873</v>
      </c>
      <c r="I9" s="29" t="s">
        <v>646</v>
      </c>
      <c r="J9" s="33" t="s">
        <v>2068</v>
      </c>
      <c r="K9" s="22" t="s">
        <v>407</v>
      </c>
      <c r="L9" s="1" t="n">
        <v>0.1</v>
      </c>
      <c r="M9" s="7" t="s">
        <v>1793</v>
      </c>
      <c r="N9" s="7" t="s">
        <v>409</v>
      </c>
    </row>
    <row r="10" customFormat="false" ht="28.5" hidden="false" customHeight="true" outlineLevel="0" collapsed="false">
      <c r="A10" s="29" t="s">
        <v>2069</v>
      </c>
      <c r="B10" s="22" t="s">
        <v>1287</v>
      </c>
      <c r="C10" s="22" t="s">
        <v>2070</v>
      </c>
      <c r="D10" s="22"/>
      <c r="E10" s="22" t="s">
        <v>431</v>
      </c>
      <c r="F10" s="30" t="n">
        <v>0.0579</v>
      </c>
      <c r="G10" s="34" t="n">
        <v>8</v>
      </c>
      <c r="H10" s="33" t="s">
        <v>2071</v>
      </c>
      <c r="I10" s="29" t="s">
        <v>653</v>
      </c>
      <c r="J10" s="32" t="s">
        <v>2072</v>
      </c>
      <c r="K10" s="22" t="s">
        <v>475</v>
      </c>
      <c r="L10" s="1" t="n">
        <v>0.08</v>
      </c>
      <c r="M10" s="7" t="s">
        <v>1793</v>
      </c>
      <c r="N10" s="7" t="s">
        <v>409</v>
      </c>
    </row>
    <row r="11" customFormat="false" ht="42.75" hidden="false" customHeight="true" outlineLevel="0" collapsed="false">
      <c r="A11" s="29" t="s">
        <v>2073</v>
      </c>
      <c r="B11" s="22" t="s">
        <v>1273</v>
      </c>
      <c r="C11" s="29" t="s">
        <v>1231</v>
      </c>
      <c r="D11" s="22" t="s">
        <v>458</v>
      </c>
      <c r="E11" s="22" t="s">
        <v>2074</v>
      </c>
      <c r="F11" s="30" t="n">
        <v>0.0579</v>
      </c>
      <c r="G11" s="31" t="n">
        <v>6</v>
      </c>
      <c r="H11" s="32" t="s">
        <v>1215</v>
      </c>
      <c r="I11" s="29" t="s">
        <v>447</v>
      </c>
      <c r="J11" s="33" t="s">
        <v>2075</v>
      </c>
      <c r="K11" s="22" t="s">
        <v>407</v>
      </c>
      <c r="L11" s="1" t="n">
        <v>0.08</v>
      </c>
      <c r="M11" s="7" t="s">
        <v>1793</v>
      </c>
      <c r="N11" s="7" t="s">
        <v>409</v>
      </c>
    </row>
    <row r="12" customFormat="false" ht="13.5" hidden="false" customHeight="true" outlineLevel="0" collapsed="false">
      <c r="A12" s="28" t="s">
        <v>2076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28.5" hidden="false" customHeight="true" outlineLevel="0" collapsed="false">
      <c r="A13" s="29" t="s">
        <v>2077</v>
      </c>
      <c r="B13" s="22" t="s">
        <v>470</v>
      </c>
      <c r="C13" s="29" t="s">
        <v>976</v>
      </c>
      <c r="D13" s="29" t="s">
        <v>402</v>
      </c>
      <c r="E13" s="22" t="s">
        <v>431</v>
      </c>
      <c r="F13" s="30" t="n">
        <v>0.075</v>
      </c>
      <c r="G13" s="34" t="n">
        <v>8</v>
      </c>
      <c r="H13" s="32" t="s">
        <v>660</v>
      </c>
      <c r="I13" s="29" t="s">
        <v>532</v>
      </c>
      <c r="J13" s="33" t="s">
        <v>2078</v>
      </c>
      <c r="K13" s="22" t="s">
        <v>475</v>
      </c>
      <c r="L13" s="1" t="n">
        <v>0.15</v>
      </c>
      <c r="M13" s="7" t="s">
        <v>758</v>
      </c>
      <c r="N13" s="7" t="s">
        <v>589</v>
      </c>
    </row>
    <row r="14" customFormat="false" ht="28.5" hidden="false" customHeight="true" outlineLevel="0" collapsed="false">
      <c r="A14" s="29" t="s">
        <v>2079</v>
      </c>
      <c r="B14" s="22" t="s">
        <v>1702</v>
      </c>
      <c r="C14" s="29" t="s">
        <v>825</v>
      </c>
      <c r="D14" s="29" t="s">
        <v>472</v>
      </c>
      <c r="E14" s="22" t="s">
        <v>431</v>
      </c>
      <c r="F14" s="30" t="n">
        <v>0.05</v>
      </c>
      <c r="G14" s="31" t="n">
        <v>6</v>
      </c>
      <c r="H14" s="32" t="s">
        <v>1713</v>
      </c>
      <c r="I14" s="29" t="s">
        <v>460</v>
      </c>
      <c r="J14" s="33" t="s">
        <v>2080</v>
      </c>
      <c r="K14" s="22" t="s">
        <v>475</v>
      </c>
      <c r="L14" s="1" t="n">
        <v>0.1</v>
      </c>
      <c r="M14" s="7" t="s">
        <v>758</v>
      </c>
      <c r="N14" s="7" t="s">
        <v>477</v>
      </c>
    </row>
    <row r="15" customFormat="false" ht="28.5" hidden="false" customHeight="true" outlineLevel="0" collapsed="false">
      <c r="A15" s="29" t="s">
        <v>2081</v>
      </c>
      <c r="B15" s="22" t="s">
        <v>2082</v>
      </c>
      <c r="C15" s="29" t="s">
        <v>622</v>
      </c>
      <c r="D15" s="29" t="s">
        <v>402</v>
      </c>
      <c r="E15" s="22" t="s">
        <v>431</v>
      </c>
      <c r="F15" s="30" t="n">
        <v>0.05</v>
      </c>
      <c r="G15" s="34" t="n">
        <v>8</v>
      </c>
      <c r="H15" s="32" t="s">
        <v>660</v>
      </c>
      <c r="I15" s="29" t="s">
        <v>672</v>
      </c>
      <c r="J15" s="33" t="s">
        <v>2083</v>
      </c>
      <c r="K15" s="22" t="s">
        <v>475</v>
      </c>
      <c r="L15" s="1" t="n">
        <v>0.1</v>
      </c>
      <c r="M15" s="7" t="s">
        <v>758</v>
      </c>
      <c r="N15" s="7" t="s">
        <v>589</v>
      </c>
    </row>
    <row r="16" customFormat="false" ht="28.5" hidden="false" customHeight="true" outlineLevel="0" collapsed="false">
      <c r="A16" s="29" t="s">
        <v>2084</v>
      </c>
      <c r="B16" s="22" t="s">
        <v>2085</v>
      </c>
      <c r="C16" s="29" t="s">
        <v>712</v>
      </c>
      <c r="D16" s="29" t="s">
        <v>402</v>
      </c>
      <c r="E16" s="22" t="s">
        <v>431</v>
      </c>
      <c r="F16" s="30" t="n">
        <v>0.04</v>
      </c>
      <c r="G16" s="34" t="n">
        <v>8</v>
      </c>
      <c r="H16" s="32" t="s">
        <v>660</v>
      </c>
      <c r="I16" s="29" t="s">
        <v>454</v>
      </c>
      <c r="J16" s="33" t="s">
        <v>2086</v>
      </c>
      <c r="K16" s="22" t="s">
        <v>475</v>
      </c>
      <c r="L16" s="1" t="n">
        <v>0.08</v>
      </c>
      <c r="M16" s="7" t="s">
        <v>758</v>
      </c>
      <c r="N16" s="7" t="s">
        <v>409</v>
      </c>
    </row>
    <row r="17" customFormat="false" ht="28.5" hidden="false" customHeight="true" outlineLevel="0" collapsed="false">
      <c r="A17" s="29" t="s">
        <v>2087</v>
      </c>
      <c r="B17" s="22" t="s">
        <v>470</v>
      </c>
      <c r="C17" s="29" t="s">
        <v>676</v>
      </c>
      <c r="D17" s="29" t="s">
        <v>402</v>
      </c>
      <c r="E17" s="22" t="s">
        <v>431</v>
      </c>
      <c r="F17" s="30" t="n">
        <v>0.05</v>
      </c>
      <c r="G17" s="34" t="n">
        <v>8</v>
      </c>
      <c r="H17" s="32" t="s">
        <v>1281</v>
      </c>
      <c r="I17" s="29" t="s">
        <v>672</v>
      </c>
      <c r="J17" s="33" t="s">
        <v>2088</v>
      </c>
      <c r="K17" s="22" t="s">
        <v>475</v>
      </c>
      <c r="L17" s="1" t="n">
        <v>0.1</v>
      </c>
      <c r="M17" s="7" t="s">
        <v>758</v>
      </c>
      <c r="N17" s="7" t="s">
        <v>679</v>
      </c>
    </row>
    <row r="18" customFormat="false" ht="28.5" hidden="false" customHeight="true" outlineLevel="0" collapsed="false">
      <c r="A18" s="29" t="s">
        <v>2089</v>
      </c>
      <c r="B18" s="22" t="s">
        <v>470</v>
      </c>
      <c r="C18" s="29" t="s">
        <v>825</v>
      </c>
      <c r="D18" s="29" t="s">
        <v>472</v>
      </c>
      <c r="E18" s="22" t="s">
        <v>403</v>
      </c>
      <c r="F18" s="30" t="n">
        <v>0.035</v>
      </c>
      <c r="G18" s="31" t="n">
        <v>6</v>
      </c>
      <c r="H18" s="32" t="s">
        <v>1914</v>
      </c>
      <c r="I18" s="29" t="s">
        <v>532</v>
      </c>
      <c r="J18" s="33" t="s">
        <v>2090</v>
      </c>
      <c r="K18" s="22" t="s">
        <v>475</v>
      </c>
      <c r="L18" s="1" t="n">
        <v>0.07</v>
      </c>
      <c r="M18" s="7" t="s">
        <v>758</v>
      </c>
      <c r="N18" s="7" t="s">
        <v>589</v>
      </c>
    </row>
    <row r="19" customFormat="false" ht="13.5" hidden="false" customHeight="true" outlineLevel="0" collapsed="false">
      <c r="A19" s="28" t="s">
        <v>2091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customFormat="false" ht="28.5" hidden="false" customHeight="true" outlineLevel="0" collapsed="false">
      <c r="A20" s="29" t="s">
        <v>2092</v>
      </c>
      <c r="B20" s="22" t="s">
        <v>470</v>
      </c>
      <c r="C20" s="29" t="s">
        <v>2093</v>
      </c>
      <c r="D20" s="29" t="s">
        <v>472</v>
      </c>
      <c r="E20" s="22" t="s">
        <v>431</v>
      </c>
      <c r="F20" s="30" t="n">
        <v>0.0429</v>
      </c>
      <c r="G20" s="34" t="n">
        <v>8</v>
      </c>
      <c r="H20" s="32" t="s">
        <v>1328</v>
      </c>
      <c r="I20" s="29" t="s">
        <v>460</v>
      </c>
      <c r="J20" s="32" t="s">
        <v>2094</v>
      </c>
      <c r="K20" s="22" t="s">
        <v>475</v>
      </c>
      <c r="L20" s="1" t="n">
        <v>0.1</v>
      </c>
      <c r="M20" s="7" t="s">
        <v>476</v>
      </c>
      <c r="N20" s="7" t="s">
        <v>419</v>
      </c>
    </row>
    <row r="21" customFormat="false" ht="28.5" hidden="false" customHeight="true" outlineLevel="0" collapsed="false">
      <c r="A21" s="29" t="s">
        <v>2095</v>
      </c>
      <c r="B21" s="22" t="s">
        <v>470</v>
      </c>
      <c r="C21" s="29" t="s">
        <v>664</v>
      </c>
      <c r="D21" s="29" t="s">
        <v>402</v>
      </c>
      <c r="E21" s="22" t="s">
        <v>431</v>
      </c>
      <c r="F21" s="30" t="n">
        <v>0.0429</v>
      </c>
      <c r="G21" s="34" t="n">
        <v>8</v>
      </c>
      <c r="H21" s="32" t="s">
        <v>1902</v>
      </c>
      <c r="I21" s="29" t="s">
        <v>532</v>
      </c>
      <c r="J21" s="32" t="s">
        <v>2096</v>
      </c>
      <c r="K21" s="22" t="s">
        <v>475</v>
      </c>
      <c r="L21" s="1" t="n">
        <v>0.1</v>
      </c>
      <c r="M21" s="7" t="s">
        <v>476</v>
      </c>
      <c r="N21" s="7" t="s">
        <v>477</v>
      </c>
    </row>
    <row r="22" customFormat="false" ht="28.5" hidden="false" customHeight="true" outlineLevel="0" collapsed="false">
      <c r="A22" s="29" t="s">
        <v>2097</v>
      </c>
      <c r="B22" s="22" t="s">
        <v>470</v>
      </c>
      <c r="C22" s="29" t="s">
        <v>1231</v>
      </c>
      <c r="D22" s="22" t="s">
        <v>1366</v>
      </c>
      <c r="E22" s="22" t="s">
        <v>431</v>
      </c>
      <c r="F22" s="30" t="n">
        <v>0.0343</v>
      </c>
      <c r="G22" s="31" t="n">
        <v>6</v>
      </c>
      <c r="H22" s="32" t="s">
        <v>2098</v>
      </c>
      <c r="I22" s="29" t="s">
        <v>447</v>
      </c>
      <c r="J22" s="33" t="s">
        <v>2099</v>
      </c>
      <c r="K22" s="22" t="s">
        <v>441</v>
      </c>
      <c r="L22" s="1" t="n">
        <v>0.08</v>
      </c>
      <c r="M22" s="7" t="s">
        <v>476</v>
      </c>
      <c r="N22" s="7" t="s">
        <v>409</v>
      </c>
    </row>
    <row r="23" customFormat="false" ht="28.5" hidden="false" customHeight="true" outlineLevel="0" collapsed="false">
      <c r="A23" s="29" t="s">
        <v>2100</v>
      </c>
      <c r="B23" s="22" t="s">
        <v>1262</v>
      </c>
      <c r="C23" s="29" t="s">
        <v>712</v>
      </c>
      <c r="D23" s="29" t="s">
        <v>402</v>
      </c>
      <c r="E23" s="22" t="s">
        <v>510</v>
      </c>
      <c r="F23" s="30" t="n">
        <v>0.03</v>
      </c>
      <c r="G23" s="31" t="n">
        <v>6</v>
      </c>
      <c r="H23" s="32" t="s">
        <v>1902</v>
      </c>
      <c r="I23" s="29" t="s">
        <v>433</v>
      </c>
      <c r="J23" s="33" t="s">
        <v>2101</v>
      </c>
      <c r="K23" s="22" t="s">
        <v>441</v>
      </c>
      <c r="L23" s="1" t="n">
        <v>0.07</v>
      </c>
      <c r="M23" s="7" t="s">
        <v>476</v>
      </c>
      <c r="N23" s="7" t="s">
        <v>409</v>
      </c>
    </row>
    <row r="24" customFormat="false" ht="17.25" hidden="false" customHeight="true" outlineLevel="0" collapsed="false">
      <c r="A24" s="35" t="s">
        <v>485</v>
      </c>
      <c r="B24" s="35"/>
      <c r="C24" s="35"/>
      <c r="D24" s="35"/>
      <c r="E24" s="35"/>
      <c r="F24" s="35"/>
      <c r="G24" s="36" t="n">
        <f aca="false">ROUND(SUMPRODUCT(F5:F23,G5:G23),1)</f>
        <v>7.6</v>
      </c>
      <c r="H24" s="37" t="s">
        <v>486</v>
      </c>
      <c r="I24" s="37"/>
      <c r="J24" s="37"/>
      <c r="K24" s="37"/>
    </row>
  </sheetData>
  <mergeCells count="7">
    <mergeCell ref="A1:K1"/>
    <mergeCell ref="A2:K2"/>
    <mergeCell ref="A4:K4"/>
    <mergeCell ref="A12:K12"/>
    <mergeCell ref="A19:K19"/>
    <mergeCell ref="A24:F24"/>
    <mergeCell ref="H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7" min="6" style="1" width="7"/>
    <col collapsed="false" customWidth="true" hidden="false" outlineLevel="0" max="8" min="8" style="1" width="42"/>
    <col collapsed="false" customWidth="true" hidden="false" outlineLevel="0" max="9" min="9" style="1" width="9"/>
    <col collapsed="false" customWidth="true" hidden="false" outlineLevel="0" max="10" min="10" style="1" width="18"/>
    <col collapsed="false" customWidth="true" hidden="false" outlineLevel="0" max="11" min="11" style="1" width="9"/>
    <col collapsed="false" customWidth="true" hidden="false" outlineLevel="0" max="12" min="12" style="1" width="10"/>
    <col collapsed="false" customWidth="true" hidden="false" outlineLevel="0" max="13" min="13" style="1" width="34"/>
    <col collapsed="false" customWidth="true" hidden="false" outlineLevel="0" max="14" min="14" style="1" width="48"/>
    <col collapsed="false" customWidth="true" hidden="false" outlineLevel="0" max="16" min="15" style="1" width="12"/>
  </cols>
  <sheetData>
    <row r="1" customFormat="false" ht="17.25" hidden="false" customHeight="true" outlineLevel="0" collapsed="false">
      <c r="A1" s="24" t="s">
        <v>2102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48" hidden="false" customHeight="true" outlineLevel="0" collapsed="false">
      <c r="A2" s="25" t="s">
        <v>2103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customFormat="false" ht="33" hidden="false" customHeight="true" outlineLevel="0" collapsed="false">
      <c r="A3" s="26" t="s">
        <v>381</v>
      </c>
      <c r="B3" s="26" t="s">
        <v>382</v>
      </c>
      <c r="C3" s="26" t="s">
        <v>383</v>
      </c>
      <c r="D3" s="26" t="s">
        <v>384</v>
      </c>
      <c r="E3" s="26" t="s">
        <v>385</v>
      </c>
      <c r="F3" s="26" t="s">
        <v>386</v>
      </c>
      <c r="G3" s="26" t="s">
        <v>387</v>
      </c>
      <c r="H3" s="26" t="s">
        <v>388</v>
      </c>
      <c r="I3" s="26" t="s">
        <v>389</v>
      </c>
      <c r="J3" s="26" t="s">
        <v>390</v>
      </c>
      <c r="K3" s="26" t="s">
        <v>391</v>
      </c>
      <c r="L3" s="27" t="s">
        <v>392</v>
      </c>
      <c r="M3" s="27" t="s">
        <v>393</v>
      </c>
      <c r="N3" s="27" t="s">
        <v>394</v>
      </c>
      <c r="O3" s="27" t="s">
        <v>395</v>
      </c>
      <c r="P3" s="27" t="s">
        <v>396</v>
      </c>
    </row>
    <row r="4" customFormat="false" ht="13.5" hidden="false" customHeight="true" outlineLevel="0" collapsed="false">
      <c r="A4" s="28" t="s">
        <v>2054</v>
      </c>
      <c r="B4" s="28"/>
      <c r="C4" s="28"/>
      <c r="D4" s="28"/>
      <c r="E4" s="28"/>
      <c r="F4" s="28"/>
      <c r="G4" s="28"/>
      <c r="H4" s="28"/>
      <c r="I4" s="28"/>
      <c r="J4" s="28"/>
      <c r="K4" s="28"/>
      <c r="O4" s="1" t="s">
        <v>398</v>
      </c>
      <c r="P4" s="1" t="n">
        <f aca="false">ROUND(SUMPRODUCT(F5:F11,G5:G11)/SUM(F5:F11),1)</f>
        <v>8</v>
      </c>
    </row>
    <row r="5" customFormat="false" ht="42.75" hidden="false" customHeight="true" outlineLevel="0" collapsed="false">
      <c r="A5" s="29" t="s">
        <v>2055</v>
      </c>
      <c r="B5" s="29" t="s">
        <v>885</v>
      </c>
      <c r="C5" s="29" t="s">
        <v>622</v>
      </c>
      <c r="D5" s="29" t="s">
        <v>402</v>
      </c>
      <c r="E5" s="22" t="s">
        <v>431</v>
      </c>
      <c r="F5" s="30" t="n">
        <v>0.1058</v>
      </c>
      <c r="G5" s="34" t="n">
        <v>8</v>
      </c>
      <c r="H5" s="32" t="s">
        <v>886</v>
      </c>
      <c r="I5" s="29" t="s">
        <v>454</v>
      </c>
      <c r="J5" s="33" t="s">
        <v>2104</v>
      </c>
      <c r="K5" s="22" t="s">
        <v>475</v>
      </c>
      <c r="L5" s="1" t="n">
        <v>0.15</v>
      </c>
      <c r="M5" s="7" t="s">
        <v>1793</v>
      </c>
      <c r="N5" s="7" t="s">
        <v>679</v>
      </c>
      <c r="O5" s="1" t="s">
        <v>410</v>
      </c>
      <c r="P5" s="1" t="n">
        <f aca="false">ROUND(SUMPRODUCT(F13:F18,G13:G18)/SUM(F13:F18),1)</f>
        <v>8</v>
      </c>
    </row>
    <row r="6" customFormat="false" ht="42.75" hidden="false" customHeight="true" outlineLevel="0" collapsed="false">
      <c r="A6" s="29" t="s">
        <v>2105</v>
      </c>
      <c r="B6" s="29" t="s">
        <v>870</v>
      </c>
      <c r="C6" s="29" t="s">
        <v>871</v>
      </c>
      <c r="D6" s="22" t="s">
        <v>872</v>
      </c>
      <c r="E6" s="22" t="s">
        <v>431</v>
      </c>
      <c r="F6" s="30" t="n">
        <v>0.1058</v>
      </c>
      <c r="G6" s="34" t="n">
        <v>8</v>
      </c>
      <c r="H6" s="32" t="s">
        <v>873</v>
      </c>
      <c r="I6" s="29" t="s">
        <v>646</v>
      </c>
      <c r="J6" s="32" t="s">
        <v>2106</v>
      </c>
      <c r="K6" s="22" t="s">
        <v>407</v>
      </c>
      <c r="L6" s="1" t="n">
        <v>0.15</v>
      </c>
      <c r="M6" s="7" t="s">
        <v>1793</v>
      </c>
      <c r="N6" s="7" t="s">
        <v>409</v>
      </c>
      <c r="O6" s="1" t="s">
        <v>420</v>
      </c>
      <c r="P6" s="1" t="n">
        <f aca="false">ROUND(SUMPRODUCT(F20:F24,G20:G24)/SUM(F20:F24),1)</f>
        <v>8.1</v>
      </c>
    </row>
    <row r="7" customFormat="false" ht="28.5" hidden="false" customHeight="true" outlineLevel="0" collapsed="false">
      <c r="A7" s="29" t="s">
        <v>2107</v>
      </c>
      <c r="B7" s="29" t="s">
        <v>870</v>
      </c>
      <c r="C7" s="29" t="s">
        <v>747</v>
      </c>
      <c r="D7" s="22" t="s">
        <v>872</v>
      </c>
      <c r="E7" s="22" t="s">
        <v>431</v>
      </c>
      <c r="F7" s="30" t="n">
        <v>0.0705</v>
      </c>
      <c r="G7" s="34" t="n">
        <v>8</v>
      </c>
      <c r="H7" s="32" t="s">
        <v>1094</v>
      </c>
      <c r="I7" s="29" t="s">
        <v>532</v>
      </c>
      <c r="J7" s="33" t="s">
        <v>2108</v>
      </c>
      <c r="K7" s="22" t="s">
        <v>407</v>
      </c>
      <c r="L7" s="1" t="n">
        <v>0.1</v>
      </c>
      <c r="M7" s="7" t="s">
        <v>1793</v>
      </c>
      <c r="N7" s="7" t="s">
        <v>409</v>
      </c>
    </row>
    <row r="8" customFormat="false" ht="42.75" hidden="false" customHeight="true" outlineLevel="0" collapsed="false">
      <c r="A8" s="29" t="s">
        <v>2109</v>
      </c>
      <c r="B8" s="29" t="s">
        <v>2110</v>
      </c>
      <c r="C8" s="29" t="s">
        <v>712</v>
      </c>
      <c r="D8" s="29" t="s">
        <v>402</v>
      </c>
      <c r="E8" s="22" t="s">
        <v>431</v>
      </c>
      <c r="F8" s="30" t="n">
        <v>0.0705</v>
      </c>
      <c r="G8" s="34" t="n">
        <v>8</v>
      </c>
      <c r="H8" s="32" t="s">
        <v>660</v>
      </c>
      <c r="I8" s="29" t="s">
        <v>454</v>
      </c>
      <c r="J8" s="33" t="s">
        <v>2111</v>
      </c>
      <c r="K8" s="22" t="s">
        <v>441</v>
      </c>
      <c r="L8" s="1" t="n">
        <v>0.1</v>
      </c>
      <c r="M8" s="7" t="s">
        <v>1793</v>
      </c>
      <c r="N8" s="7" t="s">
        <v>679</v>
      </c>
    </row>
    <row r="9" customFormat="false" ht="42.75" hidden="false" customHeight="true" outlineLevel="0" collapsed="false">
      <c r="A9" s="29" t="s">
        <v>2112</v>
      </c>
      <c r="B9" s="22" t="s">
        <v>2113</v>
      </c>
      <c r="C9" s="29" t="s">
        <v>413</v>
      </c>
      <c r="D9" s="29" t="s">
        <v>402</v>
      </c>
      <c r="E9" s="22" t="s">
        <v>431</v>
      </c>
      <c r="F9" s="30" t="n">
        <v>0.0846</v>
      </c>
      <c r="G9" s="34" t="n">
        <v>8</v>
      </c>
      <c r="H9" s="32" t="s">
        <v>671</v>
      </c>
      <c r="I9" s="29" t="s">
        <v>653</v>
      </c>
      <c r="J9" s="32" t="s">
        <v>2114</v>
      </c>
      <c r="K9" s="22" t="s">
        <v>475</v>
      </c>
      <c r="L9" s="1" t="n">
        <v>0.12</v>
      </c>
      <c r="M9" s="7" t="s">
        <v>1793</v>
      </c>
      <c r="N9" s="7" t="s">
        <v>409</v>
      </c>
    </row>
    <row r="10" customFormat="false" ht="42.75" hidden="false" customHeight="true" outlineLevel="0" collapsed="false">
      <c r="A10" s="29" t="s">
        <v>2115</v>
      </c>
      <c r="B10" s="22" t="s">
        <v>876</v>
      </c>
      <c r="C10" s="29" t="s">
        <v>877</v>
      </c>
      <c r="D10" s="29" t="s">
        <v>472</v>
      </c>
      <c r="E10" s="22" t="s">
        <v>878</v>
      </c>
      <c r="F10" s="30" t="n">
        <v>0.0564</v>
      </c>
      <c r="G10" s="34" t="n">
        <v>8</v>
      </c>
      <c r="H10" s="32" t="s">
        <v>879</v>
      </c>
      <c r="I10" s="29" t="s">
        <v>447</v>
      </c>
      <c r="J10" s="33" t="s">
        <v>2116</v>
      </c>
      <c r="K10" s="22" t="s">
        <v>441</v>
      </c>
      <c r="L10" s="1" t="n">
        <v>0.08</v>
      </c>
      <c r="M10" s="7" t="s">
        <v>1793</v>
      </c>
      <c r="N10" s="7" t="s">
        <v>409</v>
      </c>
    </row>
    <row r="11" customFormat="false" ht="42.75" hidden="false" customHeight="true" outlineLevel="0" collapsed="false">
      <c r="A11" s="29" t="s">
        <v>2117</v>
      </c>
      <c r="B11" s="22" t="s">
        <v>470</v>
      </c>
      <c r="C11" s="29" t="s">
        <v>664</v>
      </c>
      <c r="D11" s="29" t="s">
        <v>402</v>
      </c>
      <c r="E11" s="22" t="s">
        <v>431</v>
      </c>
      <c r="F11" s="30" t="n">
        <v>0.0564</v>
      </c>
      <c r="G11" s="34" t="n">
        <v>8</v>
      </c>
      <c r="H11" s="32" t="s">
        <v>1902</v>
      </c>
      <c r="I11" s="29" t="s">
        <v>672</v>
      </c>
      <c r="J11" s="33" t="s">
        <v>2118</v>
      </c>
      <c r="K11" s="22" t="s">
        <v>475</v>
      </c>
      <c r="L11" s="1" t="n">
        <v>0.08</v>
      </c>
      <c r="M11" s="7" t="s">
        <v>1793</v>
      </c>
      <c r="N11" s="7" t="s">
        <v>409</v>
      </c>
    </row>
    <row r="12" customFormat="false" ht="13.5" hidden="false" customHeight="true" outlineLevel="0" collapsed="false">
      <c r="A12" s="28" t="s">
        <v>2076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28.5" hidden="false" customHeight="true" outlineLevel="0" collapsed="false">
      <c r="A13" s="29" t="s">
        <v>2119</v>
      </c>
      <c r="B13" s="29" t="s">
        <v>1743</v>
      </c>
      <c r="C13" s="29" t="s">
        <v>705</v>
      </c>
      <c r="D13" s="22" t="s">
        <v>1752</v>
      </c>
      <c r="E13" s="22" t="s">
        <v>431</v>
      </c>
      <c r="F13" s="30" t="n">
        <v>0.0726</v>
      </c>
      <c r="G13" s="34" t="n">
        <v>8</v>
      </c>
      <c r="H13" s="32" t="s">
        <v>2059</v>
      </c>
      <c r="I13" s="29" t="s">
        <v>672</v>
      </c>
      <c r="J13" s="33" t="s">
        <v>2120</v>
      </c>
      <c r="K13" s="22" t="s">
        <v>407</v>
      </c>
      <c r="L13" s="1" t="n">
        <v>0.15</v>
      </c>
      <c r="M13" s="7" t="s">
        <v>758</v>
      </c>
      <c r="N13" s="7" t="s">
        <v>409</v>
      </c>
    </row>
    <row r="14" customFormat="false" ht="28.5" hidden="false" customHeight="true" outlineLevel="0" collapsed="false">
      <c r="A14" s="29" t="s">
        <v>2121</v>
      </c>
      <c r="B14" s="29" t="s">
        <v>2122</v>
      </c>
      <c r="C14" s="29" t="s">
        <v>1087</v>
      </c>
      <c r="D14" s="29" t="s">
        <v>402</v>
      </c>
      <c r="E14" s="22" t="s">
        <v>431</v>
      </c>
      <c r="F14" s="30" t="n">
        <v>0.0581</v>
      </c>
      <c r="G14" s="34" t="n">
        <v>8</v>
      </c>
      <c r="H14" s="32" t="s">
        <v>671</v>
      </c>
      <c r="I14" s="29" t="s">
        <v>646</v>
      </c>
      <c r="J14" s="33" t="s">
        <v>2123</v>
      </c>
      <c r="K14" s="22" t="s">
        <v>475</v>
      </c>
      <c r="L14" s="1" t="n">
        <v>0.12</v>
      </c>
      <c r="M14" s="7" t="s">
        <v>758</v>
      </c>
      <c r="N14" s="7" t="s">
        <v>409</v>
      </c>
    </row>
    <row r="15" customFormat="false" ht="28.5" hidden="false" customHeight="true" outlineLevel="0" collapsed="false">
      <c r="A15" s="29" t="s">
        <v>2124</v>
      </c>
      <c r="B15" s="22" t="s">
        <v>1702</v>
      </c>
      <c r="C15" s="29" t="s">
        <v>622</v>
      </c>
      <c r="D15" s="29" t="s">
        <v>402</v>
      </c>
      <c r="E15" s="22" t="s">
        <v>431</v>
      </c>
      <c r="F15" s="30" t="n">
        <v>0.0484</v>
      </c>
      <c r="G15" s="34" t="n">
        <v>8</v>
      </c>
      <c r="H15" s="32" t="s">
        <v>660</v>
      </c>
      <c r="I15" s="29" t="s">
        <v>532</v>
      </c>
      <c r="J15" s="33" t="s">
        <v>2125</v>
      </c>
      <c r="K15" s="22" t="s">
        <v>475</v>
      </c>
      <c r="L15" s="1" t="n">
        <v>0.1</v>
      </c>
      <c r="M15" s="7" t="s">
        <v>758</v>
      </c>
      <c r="N15" s="7" t="s">
        <v>409</v>
      </c>
    </row>
    <row r="16" customFormat="false" ht="28.5" hidden="false" customHeight="true" outlineLevel="0" collapsed="false">
      <c r="A16" s="29" t="s">
        <v>2126</v>
      </c>
      <c r="B16" s="29" t="s">
        <v>2127</v>
      </c>
      <c r="C16" s="29" t="s">
        <v>664</v>
      </c>
      <c r="D16" s="29" t="s">
        <v>402</v>
      </c>
      <c r="E16" s="22" t="s">
        <v>431</v>
      </c>
      <c r="F16" s="30" t="n">
        <v>0.0484</v>
      </c>
      <c r="G16" s="34" t="n">
        <v>8</v>
      </c>
      <c r="H16" s="32" t="s">
        <v>1902</v>
      </c>
      <c r="I16" s="29" t="s">
        <v>672</v>
      </c>
      <c r="J16" s="33" t="s">
        <v>2128</v>
      </c>
      <c r="K16" s="22" t="s">
        <v>475</v>
      </c>
      <c r="L16" s="1" t="n">
        <v>0.1</v>
      </c>
      <c r="M16" s="7" t="s">
        <v>758</v>
      </c>
      <c r="N16" s="7" t="s">
        <v>409</v>
      </c>
    </row>
    <row r="17" customFormat="false" ht="28.5" hidden="false" customHeight="true" outlineLevel="0" collapsed="false">
      <c r="A17" s="29" t="s">
        <v>2129</v>
      </c>
      <c r="B17" s="22" t="s">
        <v>429</v>
      </c>
      <c r="C17" s="29" t="s">
        <v>1382</v>
      </c>
      <c r="D17" s="29" t="s">
        <v>402</v>
      </c>
      <c r="E17" s="22" t="s">
        <v>431</v>
      </c>
      <c r="F17" s="30" t="n">
        <v>0.0387</v>
      </c>
      <c r="G17" s="34" t="n">
        <v>10</v>
      </c>
      <c r="H17" s="32" t="s">
        <v>1101</v>
      </c>
      <c r="I17" s="29" t="s">
        <v>416</v>
      </c>
      <c r="J17" s="33" t="s">
        <v>2130</v>
      </c>
      <c r="K17" s="22" t="s">
        <v>407</v>
      </c>
      <c r="L17" s="1" t="n">
        <v>0.08</v>
      </c>
      <c r="M17" s="7" t="s">
        <v>758</v>
      </c>
      <c r="N17" s="7" t="s">
        <v>409</v>
      </c>
    </row>
    <row r="18" customFormat="false" ht="28.5" hidden="false" customHeight="true" outlineLevel="0" collapsed="false">
      <c r="A18" s="29" t="s">
        <v>2131</v>
      </c>
      <c r="B18" s="29" t="s">
        <v>1743</v>
      </c>
      <c r="C18" s="29" t="s">
        <v>1161</v>
      </c>
      <c r="D18" s="22" t="s">
        <v>1752</v>
      </c>
      <c r="E18" s="22" t="s">
        <v>431</v>
      </c>
      <c r="F18" s="30" t="n">
        <v>0.0339</v>
      </c>
      <c r="G18" s="31" t="n">
        <v>6</v>
      </c>
      <c r="H18" s="32" t="s">
        <v>1728</v>
      </c>
      <c r="I18" s="29" t="s">
        <v>447</v>
      </c>
      <c r="J18" s="33" t="s">
        <v>2132</v>
      </c>
      <c r="K18" s="22" t="s">
        <v>441</v>
      </c>
      <c r="L18" s="1" t="n">
        <v>0.07</v>
      </c>
      <c r="M18" s="7" t="s">
        <v>758</v>
      </c>
      <c r="N18" s="7" t="s">
        <v>409</v>
      </c>
    </row>
    <row r="19" customFormat="false" ht="13.5" hidden="false" customHeight="true" outlineLevel="0" collapsed="false">
      <c r="A19" s="28" t="s">
        <v>2091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customFormat="false" ht="28.5" hidden="false" customHeight="true" outlineLevel="0" collapsed="false">
      <c r="A20" s="29" t="s">
        <v>2133</v>
      </c>
      <c r="B20" s="22" t="s">
        <v>470</v>
      </c>
      <c r="C20" s="29" t="s">
        <v>562</v>
      </c>
      <c r="D20" s="29" t="s">
        <v>472</v>
      </c>
      <c r="E20" s="22" t="s">
        <v>431</v>
      </c>
      <c r="F20" s="30" t="n">
        <v>0.0349</v>
      </c>
      <c r="G20" s="34" t="n">
        <v>10</v>
      </c>
      <c r="H20" s="32" t="s">
        <v>1914</v>
      </c>
      <c r="I20" s="29" t="s">
        <v>627</v>
      </c>
      <c r="J20" s="33" t="s">
        <v>2134</v>
      </c>
      <c r="K20" s="22" t="s">
        <v>475</v>
      </c>
      <c r="L20" s="1" t="n">
        <v>0.1</v>
      </c>
      <c r="M20" s="7" t="s">
        <v>476</v>
      </c>
      <c r="N20" s="7" t="s">
        <v>419</v>
      </c>
    </row>
    <row r="21" customFormat="false" ht="28.5" hidden="false" customHeight="true" outlineLevel="0" collapsed="false">
      <c r="A21" s="29" t="s">
        <v>2135</v>
      </c>
      <c r="B21" s="22" t="s">
        <v>470</v>
      </c>
      <c r="C21" s="29" t="s">
        <v>413</v>
      </c>
      <c r="D21" s="29" t="s">
        <v>402</v>
      </c>
      <c r="E21" s="22" t="s">
        <v>431</v>
      </c>
      <c r="F21" s="30" t="n">
        <v>0.0349</v>
      </c>
      <c r="G21" s="34" t="n">
        <v>8</v>
      </c>
      <c r="H21" s="32" t="s">
        <v>2136</v>
      </c>
      <c r="I21" s="29" t="s">
        <v>646</v>
      </c>
      <c r="J21" s="32" t="s">
        <v>2137</v>
      </c>
      <c r="K21" s="22" t="s">
        <v>475</v>
      </c>
      <c r="L21" s="1" t="n">
        <v>0.1</v>
      </c>
      <c r="M21" s="7" t="s">
        <v>476</v>
      </c>
      <c r="N21" s="7" t="s">
        <v>477</v>
      </c>
    </row>
    <row r="22" customFormat="false" ht="28.5" hidden="false" customHeight="true" outlineLevel="0" collapsed="false">
      <c r="A22" s="29" t="s">
        <v>2138</v>
      </c>
      <c r="B22" s="22" t="s">
        <v>470</v>
      </c>
      <c r="C22" s="29" t="s">
        <v>705</v>
      </c>
      <c r="D22" s="29" t="s">
        <v>472</v>
      </c>
      <c r="E22" s="22" t="s">
        <v>431</v>
      </c>
      <c r="F22" s="30" t="n">
        <v>0.0279</v>
      </c>
      <c r="G22" s="31" t="n">
        <v>6</v>
      </c>
      <c r="H22" s="32" t="s">
        <v>706</v>
      </c>
      <c r="I22" s="29" t="s">
        <v>532</v>
      </c>
      <c r="J22" s="33" t="s">
        <v>2139</v>
      </c>
      <c r="K22" s="22" t="s">
        <v>475</v>
      </c>
      <c r="L22" s="1" t="n">
        <v>0.08</v>
      </c>
      <c r="M22" s="7" t="s">
        <v>476</v>
      </c>
      <c r="N22" s="7" t="s">
        <v>409</v>
      </c>
    </row>
    <row r="23" customFormat="false" ht="28.5" hidden="false" customHeight="true" outlineLevel="0" collapsed="false">
      <c r="A23" s="29" t="s">
        <v>2140</v>
      </c>
      <c r="B23" s="22" t="s">
        <v>470</v>
      </c>
      <c r="C23" s="29" t="s">
        <v>649</v>
      </c>
      <c r="D23" s="29" t="s">
        <v>472</v>
      </c>
      <c r="E23" s="22" t="s">
        <v>424</v>
      </c>
      <c r="F23" s="30" t="n">
        <v>0.0244</v>
      </c>
      <c r="G23" s="34" t="n">
        <v>8</v>
      </c>
      <c r="H23" s="32" t="s">
        <v>2141</v>
      </c>
      <c r="I23" s="29" t="s">
        <v>460</v>
      </c>
      <c r="J23" s="33" t="s">
        <v>2142</v>
      </c>
      <c r="K23" s="22" t="s">
        <v>475</v>
      </c>
      <c r="L23" s="1" t="n">
        <v>0.07</v>
      </c>
      <c r="M23" s="7" t="s">
        <v>476</v>
      </c>
      <c r="N23" s="7" t="s">
        <v>409</v>
      </c>
    </row>
    <row r="24" customFormat="false" ht="28.5" hidden="false" customHeight="true" outlineLevel="0" collapsed="false">
      <c r="A24" s="29" t="s">
        <v>2143</v>
      </c>
      <c r="B24" s="22" t="s">
        <v>470</v>
      </c>
      <c r="C24" s="29" t="s">
        <v>676</v>
      </c>
      <c r="D24" s="29" t="s">
        <v>402</v>
      </c>
      <c r="E24" s="22" t="s">
        <v>431</v>
      </c>
      <c r="F24" s="30" t="n">
        <v>0.0279</v>
      </c>
      <c r="G24" s="34" t="n">
        <v>8</v>
      </c>
      <c r="H24" s="32" t="s">
        <v>2136</v>
      </c>
      <c r="I24" s="29" t="s">
        <v>672</v>
      </c>
      <c r="J24" s="33" t="s">
        <v>2144</v>
      </c>
      <c r="K24" s="22" t="s">
        <v>475</v>
      </c>
      <c r="L24" s="1" t="n">
        <v>0.08</v>
      </c>
      <c r="M24" s="7" t="s">
        <v>476</v>
      </c>
      <c r="N24" s="7" t="s">
        <v>477</v>
      </c>
    </row>
    <row r="25" customFormat="false" ht="17.25" hidden="false" customHeight="true" outlineLevel="0" collapsed="false">
      <c r="A25" s="35" t="s">
        <v>485</v>
      </c>
      <c r="B25" s="35"/>
      <c r="C25" s="35"/>
      <c r="D25" s="35"/>
      <c r="E25" s="35"/>
      <c r="F25" s="35"/>
      <c r="G25" s="36" t="n">
        <f aca="false">ROUND(SUMPRODUCT(F5:F24,G5:G24),1)</f>
        <v>8</v>
      </c>
      <c r="H25" s="37" t="s">
        <v>486</v>
      </c>
      <c r="I25" s="37"/>
      <c r="J25" s="37"/>
      <c r="K25" s="37"/>
    </row>
  </sheetData>
  <mergeCells count="7">
    <mergeCell ref="A1:K1"/>
    <mergeCell ref="A2:K2"/>
    <mergeCell ref="A4:K4"/>
    <mergeCell ref="A12:K12"/>
    <mergeCell ref="A19:K19"/>
    <mergeCell ref="A25:F25"/>
    <mergeCell ref="H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2026-05-22T05:42:57Z</dcterms:created>
  <dc:creator>openpyxl</dc:creator>
  <dc:description/>
  <dc:language>zh-CN</dc:language>
  <cp:lastModifiedBy>User</cp:lastModifiedBy>
  <dcterms:modified xsi:type="dcterms:W3CDTF">2026-07-28T06:24:45Z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82D9E124-1910-4E91-8D1F-441B58D0EB26</vt:lpwstr>
  </property>
</Properties>
</file>