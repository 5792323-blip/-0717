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6.xml" ContentType="application/vnd.openxmlformats-officedocument.spreadsheetml.comments+xml"/>
  <Override PartName="/xl/comments52.xml" ContentType="application/vnd.openxmlformats-officedocument.spreadsheetml.comments+xml"/>
  <Override PartName="/xl/comments38.xml" ContentType="application/vnd.openxmlformats-officedocument.spreadsheetml.comments+xml"/>
  <Override PartName="/xl/comments13.xml" ContentType="application/vnd.openxmlformats-officedocument.spreadsheetml.comments+xml"/>
  <Override PartName="/xl/theme/theme1.xml" ContentType="application/vnd.openxmlformats-officedocument.theme+xml"/>
  <Override PartName="/xl/comments31.xml" ContentType="application/vnd.openxmlformats-officedocument.spreadsheetml.comments+xml"/>
  <Override PartName="/xl/comments16.xml" ContentType="application/vnd.openxmlformats-officedocument.spreadsheetml.comments+xml"/>
  <Override PartName="/xl/comments20.xml" ContentType="application/vnd.openxmlformats-officedocument.spreadsheetml.comments+xml"/>
  <Override PartName="/xl/comments42.xml" ContentType="application/vnd.openxmlformats-officedocument.spreadsheetml.comments+xml"/>
  <Override PartName="/xl/comments12.xml" ContentType="application/vnd.openxmlformats-officedocument.spreadsheetml.comments+xml"/>
  <Override PartName="/xl/comments24.xml" ContentType="application/vnd.openxmlformats-officedocument.spreadsheetml.comments+xml"/>
  <Override PartName="/xl/sharedStrings.xml" ContentType="application/vnd.openxmlformats-officedocument.spreadsheetml.sharedStrings+xml"/>
  <Override PartName="/xl/comments21.xml" ContentType="application/vnd.openxmlformats-officedocument.spreadsheetml.comments+xml"/>
  <Override PartName="/xl/comments10.xml" ContentType="application/vnd.openxmlformats-officedocument.spreadsheetml.comments+xml"/>
  <Override PartName="/xl/comments15.xml" ContentType="application/vnd.openxmlformats-officedocument.spreadsheetml.comments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3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4.xml" ContentType="application/vnd.openxmlformats-officedocument.spreadsheetml.worksheet+xml"/>
  <Override PartName="/xl/worksheets/sheet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36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0.xml" ContentType="application/vnd.openxmlformats-officedocument.spreadsheetml.worksheet+xml"/>
  <Override PartName="/xl/worksheets/sheet16.xml" ContentType="application/vnd.openxmlformats-officedocument.spreadsheetml.worksheet+xml"/>
  <Override PartName="/xl/worksheets/sheet4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5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2.xml" ContentType="application/vnd.openxmlformats-officedocument.spreadsheetml.worksheet+xml"/>
  <Override PartName="/xl/worksheets/sheet52.xml" ContentType="application/vnd.openxmlformats-officedocument.spreadsheetml.worksheet+xml"/>
  <Override PartName="/xl/comments18.xml" ContentType="application/vnd.openxmlformats-officedocument.spreadsheetml.comments+xml"/>
  <Override PartName="/xl/comments36.xml" ContentType="application/vnd.openxmlformats-officedocument.spreadsheetml.comments+xml"/>
  <Override PartName="/xl/comments41.xml" ContentType="application/vnd.openxmlformats-officedocument.spreadsheetml.comments+xml"/>
  <Override PartName="/xl/comments23.xml" ContentType="application/vnd.openxmlformats-officedocument.spreadsheetml.comments+xml"/>
  <Override PartName="/xl/comments48.xml" ContentType="application/vnd.openxmlformats-officedocument.spreadsheetml.comments+xml"/>
  <Override PartName="/xl/comments25.xml" ContentType="application/vnd.openxmlformats-officedocument.spreadsheetml.comments+xml"/>
  <Override PartName="/xl/comments50.xml" ContentType="application/vnd.openxmlformats-officedocument.spreadsheetml.comments+xml"/>
  <Override PartName="/xl/comments33.xml" ContentType="application/vnd.openxmlformats-officedocument.spreadsheetml.comments+xml"/>
  <Override PartName="/xl/comments32.xml" ContentType="application/vnd.openxmlformats-officedocument.spreadsheetml.comments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comments34.xml" ContentType="application/vnd.openxmlformats-officedocument.spreadsheetml.comments+xml"/>
  <Override PartName="/xl/comments28.xml" ContentType="application/vnd.openxmlformats-officedocument.spreadsheetml.comments+xml"/>
  <Override PartName="/xl/comments27.xml" ContentType="application/vnd.openxmlformats-officedocument.spreadsheetml.comments+xml"/>
  <Override PartName="/xl/comments35.xml" ContentType="application/vnd.openxmlformats-officedocument.spreadsheetml.comments+xml"/>
  <Override PartName="/xl/comments43.xml" ContentType="application/vnd.openxmlformats-officedocument.spreadsheetml.comments+xml"/>
  <Override PartName="/xl/drawings/vmlDrawing1.vml" ContentType="application/vnd.openxmlformats-officedocument.vmlDrawing"/>
  <Override PartName="/xl/drawings/vmlDrawing3.vml" ContentType="application/vnd.openxmlformats-officedocument.vmlDrawing"/>
  <Override PartName="/xl/drawings/vmlDrawing40.vml" ContentType="application/vnd.openxmlformats-officedocument.vmlDrawing"/>
  <Override PartName="/xl/drawings/vmlDrawing41.vml" ContentType="application/vnd.openxmlformats-officedocument.vmlDrawing"/>
  <Override PartName="/xl/drawings/vmlDrawing11.vml" ContentType="application/vnd.openxmlformats-officedocument.vmlDrawing"/>
  <Override PartName="/xl/drawings/vmlDrawing13.vml" ContentType="application/vnd.openxmlformats-officedocument.vmlDrawing"/>
  <Override PartName="/xl/drawings/vmlDrawing15.vml" ContentType="application/vnd.openxmlformats-officedocument.vmlDrawing"/>
  <Override PartName="/xl/drawings/vmlDrawing17.vml" ContentType="application/vnd.openxmlformats-officedocument.vmlDrawing"/>
  <Override PartName="/xl/drawings/vmlDrawing20.vml" ContentType="application/vnd.openxmlformats-officedocument.vmlDrawing"/>
  <Override PartName="/xl/drawings/vmlDrawing19.vml" ContentType="application/vnd.openxmlformats-officedocument.vmlDrawing"/>
  <Override PartName="/xl/drawings/vmlDrawing26.vml" ContentType="application/vnd.openxmlformats-officedocument.vmlDrawing"/>
  <Override PartName="/xl/drawings/vmlDrawing22.vml" ContentType="application/vnd.openxmlformats-officedocument.vmlDrawing"/>
  <Override PartName="/xl/drawings/drawing1.xml" ContentType="application/vnd.openxmlformats-officedocument.drawing+xml"/>
  <Override PartName="/xl/drawings/vmlDrawing35.vml" ContentType="application/vnd.openxmlformats-officedocument.vmlDrawing"/>
  <Override PartName="/xl/drawings/vmlDrawing23.vml" ContentType="application/vnd.openxmlformats-officedocument.vmlDrawing"/>
  <Override PartName="/xl/drawings/drawing3.xml" ContentType="application/vnd.openxmlformats-officedocument.drawing+xml"/>
  <Override PartName="/xl/drawings/vmlDrawing16.vml" ContentType="application/vnd.openxmlformats-officedocument.vmlDrawing"/>
  <Override PartName="/xl/drawings/vmlDrawing24.vml" ContentType="application/vnd.openxmlformats-officedocument.vmlDrawing"/>
  <Override PartName="/xl/drawings/vmlDrawing27.vml" ContentType="application/vnd.openxmlformats-officedocument.vmlDrawing"/>
  <Override PartName="/xl/drawings/drawing5.xml" ContentType="application/vnd.openxmlformats-officedocument.drawing+xml"/>
  <Override PartName="/xl/drawings/vmlDrawing42.vml" ContentType="application/vnd.openxmlformats-officedocument.vmlDrawing"/>
  <Override PartName="/xl/drawings/vmlDrawing18.vml" ContentType="application/vnd.openxmlformats-officedocument.vmlDrawing"/>
  <Override PartName="/xl/drawings/vmlDrawing31.vml" ContentType="application/vnd.openxmlformats-officedocument.vmlDrawing"/>
  <Override PartName="/xl/drawings/vmlDrawing33.vml" ContentType="application/vnd.openxmlformats-officedocument.vmlDrawing"/>
  <Override PartName="/xl/drawings/vmlDrawing6.vml" ContentType="application/vnd.openxmlformats-officedocument.vmlDrawing"/>
  <Override PartName="/xl/drawings/vmlDrawing2.vml" ContentType="application/vnd.openxmlformats-officedocument.vmlDrawing"/>
  <Override PartName="/xl/drawings/vmlDrawing10.vml" ContentType="application/vnd.openxmlformats-officedocument.vmlDrawing"/>
  <Override PartName="/xl/drawings/vmlDrawing5.vml" ContentType="application/vnd.openxmlformats-officedocument.vmlDrawing"/>
  <Override PartName="/xl/drawings/vmlDrawing32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38.vml" ContentType="application/vnd.openxmlformats-officedocument.vmlDrawing"/>
  <Override PartName="/xl/drawings/vmlDrawing39.vml" ContentType="application/vnd.openxmlformats-officedocument.vmlDrawing"/>
  <Override PartName="/xl/drawings/drawing2.xml" ContentType="application/vnd.openxmlformats-officedocument.drawing+xml"/>
  <Override PartName="/xl/drawings/vmlDrawing21.vml" ContentType="application/vnd.openxmlformats-officedocument.vmlDrawing"/>
  <Override PartName="/xl/drawings/vmlDrawing4.vml" ContentType="application/vnd.openxmlformats-officedocument.vmlDrawing"/>
  <Override PartName="/xl/drawings/vmlDrawing29.vml" ContentType="application/vnd.openxmlformats-officedocument.vmlDrawing"/>
  <Override PartName="/xl/drawings/vmlDrawing7.vml" ContentType="application/vnd.openxmlformats-officedocument.vmlDrawing"/>
  <Override PartName="/xl/drawings/vmlDrawing36.vml" ContentType="application/vnd.openxmlformats-officedocument.vmlDrawing"/>
  <Override PartName="/xl/drawings/drawing4.xml" ContentType="application/vnd.openxmlformats-officedocument.drawing+xml"/>
  <Override PartName="/xl/drawings/vmlDrawing25.vml" ContentType="application/vnd.openxmlformats-officedocument.vmlDrawing"/>
  <Override PartName="/xl/drawings/vmlDrawing30.vml" ContentType="application/vnd.openxmlformats-officedocument.vmlDrawing"/>
  <Override PartName="/xl/drawings/vmlDrawing12.vml" ContentType="application/vnd.openxmlformats-officedocument.vmlDrawing"/>
  <Override PartName="/xl/drawings/vmlDrawing37.vml" ContentType="application/vnd.openxmlformats-officedocument.vmlDrawing"/>
  <Override PartName="/xl/drawings/vmlDrawing34.vml" ContentType="application/vnd.openxmlformats-officedocument.vmlDrawing"/>
  <Override PartName="/xl/drawings/vmlDrawing28.vml" ContentType="application/vnd.openxmlformats-officedocument.vmlDrawing"/>
  <Override PartName="/xl/drawings/vmlDrawing14.vml" ContentType="application/vnd.openxmlformats-officedocument.vmlDrawing"/>
  <Override PartName="/xl/drawings/vmlDrawing43.vml" ContentType="application/vnd.openxmlformats-officedocument.vmlDrawing"/>
  <Override PartName="/xl/workbook.xml" ContentType="application/vnd.openxmlformats-officedocument.spreadsheetml.sheet.main+xml"/>
  <Override PartName="/xl/comments51.xml" ContentType="application/vnd.openxmlformats-officedocument.spreadsheetml.comments+xml"/>
  <Override PartName="/xl/comments45.xml" ContentType="application/vnd.openxmlformats-officedocument.spreadsheetml.comments+xml"/>
  <Override PartName="/xl/comments40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19.xml" ContentType="application/vnd.openxmlformats-officedocument.spreadsheetml.comments+xml"/>
  <Override PartName="/xl/comments14.xml" ContentType="application/vnd.openxmlformats-officedocument.spreadsheetml.comments+xml"/>
  <Override PartName="/xl/comments29.xml" ContentType="application/vnd.openxmlformats-officedocument.spreadsheetml.comments+xml"/>
  <Override PartName="/xl/comments22.xml" ContentType="application/vnd.openxmlformats-officedocument.spreadsheetml.comments+xml"/>
  <Override PartName="/xl/comments39.xml" ContentType="application/vnd.openxmlformats-officedocument.spreadsheetml.comments+xml"/>
  <Override PartName="/xl/comments49.xml" ContentType="application/vnd.openxmlformats-officedocument.spreadsheetml.comments+xml"/>
  <Override PartName="/xl/comments37.xml" ContentType="application/vnd.openxmlformats-officedocument.spreadsheetml.comments+xml"/>
  <Override PartName="/xl/comments44.xml" ContentType="application/vnd.openxmlformats-officedocument.spreadsheetml.comments+xml"/>
  <Override PartName="/xl/comments17.xml" ContentType="application/vnd.openxmlformats-officedocument.spreadsheetml.comments+xml"/>
  <Override PartName="/xl/comments3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3使用说明" sheetId="1" state="visible" r:id="rId3"/>
    <sheet name="跨行业因子库" sheetId="2" state="visible" r:id="rId4"/>
    <sheet name="指标更新台账_v3" sheetId="3" state="visible" r:id="rId5"/>
    <sheet name="行业监控面板_v3" sheetId="4" state="visible" r:id="rId6"/>
    <sheet name="事件覆盖层" sheetId="5" state="visible" r:id="rId7"/>
    <sheet name="参数优化说明" sheetId="6" state="visible" r:id="rId8"/>
    <sheet name="行业核心标准库" sheetId="7" state="visible" r:id="rId9"/>
    <sheet name="打分机制标准" sheetId="8" state="visible" r:id="rId10"/>
    <sheet name="全行业景气度总览" sheetId="9" state="visible" r:id="rId11"/>
    <sheet name="农林牧渔" sheetId="10" state="visible" r:id="rId12"/>
    <sheet name="基础化工" sheetId="11" state="visible" r:id="rId13"/>
    <sheet name="钢铁" sheetId="12" state="visible" r:id="rId14"/>
    <sheet name="有色金属" sheetId="13" state="visible" r:id="rId15"/>
    <sheet name="电子" sheetId="14" state="visible" r:id="rId16"/>
    <sheet name="家用电器" sheetId="15" state="visible" r:id="rId17"/>
    <sheet name="食品饮料" sheetId="16" state="visible" r:id="rId18"/>
    <sheet name="纺织服饰" sheetId="17" state="visible" r:id="rId19"/>
    <sheet name="轻工制造" sheetId="18" state="visible" r:id="rId20"/>
    <sheet name="医药生物" sheetId="19" state="visible" r:id="rId21"/>
    <sheet name="公用事业" sheetId="20" state="visible" r:id="rId22"/>
    <sheet name="交通运输" sheetId="21" state="visible" r:id="rId23"/>
    <sheet name="房地产" sheetId="22" state="visible" r:id="rId24"/>
    <sheet name="商贸零售" sheetId="23" state="visible" r:id="rId25"/>
    <sheet name="社会服务" sheetId="24" state="visible" r:id="rId26"/>
    <sheet name="综合" sheetId="25" state="visible" r:id="rId27"/>
    <sheet name="建筑材料" sheetId="26" state="visible" r:id="rId28"/>
    <sheet name="建筑装饰" sheetId="27" state="visible" r:id="rId29"/>
    <sheet name="电力设备" sheetId="28" state="visible" r:id="rId30"/>
    <sheet name="国防军工" sheetId="29" state="visible" r:id="rId31"/>
    <sheet name="计算机" sheetId="30" state="visible" r:id="rId32"/>
    <sheet name="传媒" sheetId="31" state="visible" r:id="rId33"/>
    <sheet name="通信" sheetId="32" state="visible" r:id="rId34"/>
    <sheet name="银行" sheetId="33" state="visible" r:id="rId35"/>
    <sheet name="非银金融" sheetId="34" state="visible" r:id="rId36"/>
    <sheet name="汽车" sheetId="35" state="visible" r:id="rId37"/>
    <sheet name="机械设备" sheetId="36" state="visible" r:id="rId38"/>
    <sheet name="煤炭" sheetId="37" state="visible" r:id="rId39"/>
    <sheet name="石油石化" sheetId="38" state="visible" r:id="rId40"/>
    <sheet name="环保" sheetId="39" state="visible" r:id="rId41"/>
    <sheet name="美容护理" sheetId="40" state="visible" r:id="rId42"/>
    <sheet name="半导体" sheetId="41" state="visible" r:id="rId43"/>
    <sheet name="新能源" sheetId="42" state="visible" r:id="rId44"/>
    <sheet name="医药医疗" sheetId="43" state="visible" r:id="rId45"/>
    <sheet name="高端制造" sheetId="44" state="visible" r:id="rId46"/>
    <sheet name="人形机器人" sheetId="45" state="visible" r:id="rId47"/>
    <sheet name="AI算力" sheetId="46" state="visible" r:id="rId48"/>
    <sheet name="锂电" sheetId="47" state="visible" r:id="rId49"/>
    <sheet name="光伏" sheetId="48" state="visible" r:id="rId50"/>
    <sheet name="风电" sheetId="49" state="visible" r:id="rId51"/>
    <sheet name="储能" sheetId="50" state="visible" r:id="rId52"/>
    <sheet name="CXO" sheetId="51" state="visible" r:id="rId53"/>
    <sheet name="创新药" sheetId="52" state="visible" r:id="rId54"/>
  </sheets>
  <definedNames>
    <definedName function="false" hidden="true" localSheetId="8" name="_xlnm._FilterDatabase" vbProcedure="false">全行业景气度总览!$A$3:$J$46</definedName>
    <definedName function="false" hidden="true" localSheetId="4" name="_xlnm._FilterDatabase" vbProcedure="false">事件覆盖层!$A$1:$M$101</definedName>
    <definedName function="false" hidden="true" localSheetId="6" name="_xlnm._FilterDatabase" vbProcedure="false">行业核心标准库!$A$1:$G$44</definedName>
    <definedName function="false" hidden="true" localSheetId="3" name="_xlnm._FilterDatabase" vbProcedure="false">行业监控面板_v3!$A$1:$K$44</definedName>
    <definedName function="false" hidden="true" localSheetId="2" name="_xlnm._FilterDatabase" vbProcedure="false">指标更新台账_v3!$A$1:$N$526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9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9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5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9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2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2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2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9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9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9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56</xdr:rowOff>
              </xdr:to>
            </anchor>
          </commentPr>
        </mc:Choice>
        <mc:Fallback/>
      </mc:AlternateContent>
    </comment>
  </commentList>
</comments>
</file>

<file path=xl/comments4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4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4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4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5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4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5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4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56</xdr:rowOff>
              </xdr:to>
            </anchor>
          </commentPr>
        </mc:Choice>
        <mc:Fallback/>
      </mc:AlternateContent>
    </comment>
  </commentList>
</comments>
</file>

<file path=xl/comments5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5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<sst xmlns="http://schemas.openxmlformats.org/spreadsheetml/2006/main" count="13710" uniqueCount="3448">
  <si>
    <r>
      <rPr>
        <b val="true"/>
        <sz val="16"/>
        <color rgb="FFFFFFFF"/>
        <rFont val="Linux Libertine G"/>
        <family val="2"/>
      </rPr>
      <t xml:space="preserve">全行业景气度量化跟踪体系 </t>
    </r>
    <r>
      <rPr>
        <b val="true"/>
        <sz val="16"/>
        <color rgb="FFFFFFFF"/>
        <rFont val="Cambria"/>
        <family val="0"/>
        <charset val="1"/>
      </rPr>
      <t xml:space="preserve">v3</t>
    </r>
    <r>
      <rPr>
        <b val="true"/>
        <sz val="16"/>
        <color rgb="FFFFFFFF"/>
        <rFont val="Linux Libertine G"/>
        <family val="2"/>
      </rPr>
      <t xml:space="preserve">｜核心驱动、事件与风险闭环</t>
    </r>
  </si>
  <si>
    <t xml:space="preserve">流程：更新指标台账 → 检查行业核心标准 → 验证事件 → 执行风险否决 → 在行业监控面板排序。行业景气不等于交易信号。</t>
  </si>
  <si>
    <t xml:space="preserve">更新</t>
  </si>
  <si>
    <t xml:space="preserve">台账维护最新值、发布日期、状态和评分，行业页自动使用台账评分。</t>
  </si>
  <si>
    <t xml:space="preserve">事件</t>
  </si>
  <si>
    <t xml:space="preserve">事件须至少两项证据、明确验证指标、且未过期，才进入最终行业分。</t>
  </si>
  <si>
    <t xml:space="preserve">风险</t>
  </si>
  <si>
    <t xml:space="preserve">库存、应收、现金流、价格战和政策降价等否决项可直接扣减分数。</t>
  </si>
  <si>
    <t xml:space="preserve">边界</t>
  </si>
  <si>
    <t xml:space="preserve">最终行业分用于基本面排序与研究优先级；估值、资金面、买卖时点另建交易层。</t>
  </si>
  <si>
    <t xml:space="preserve">跨行业因子</t>
  </si>
  <si>
    <t xml:space="preserve">核心标准</t>
  </si>
  <si>
    <t xml:space="preserve">主要影响行业</t>
  </si>
  <si>
    <t xml:space="preserve">评分限制</t>
  </si>
  <si>
    <t xml:space="preserve">建议口径</t>
  </si>
  <si>
    <r>
      <rPr>
        <sz val="11"/>
        <color theme="1"/>
        <rFont val="Linux Libertine G"/>
        <family val="2"/>
      </rPr>
      <t xml:space="preserve">需求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订单</t>
    </r>
  </si>
  <si>
    <t xml:space="preserve">需求、订单、客户预算同向改善</t>
  </si>
  <si>
    <r>
      <rPr>
        <sz val="11"/>
        <color theme="1"/>
        <rFont val="Linux Libertine G"/>
        <family val="2"/>
      </rPr>
      <t xml:space="preserve">消费、制造、医药、</t>
    </r>
    <r>
      <rPr>
        <sz val="11"/>
        <color theme="1"/>
        <rFont val="Linux Libertine G"/>
        <family val="2"/>
        <charset val="1"/>
      </rPr>
      <t xml:space="preserve">TMT</t>
    </r>
    <r>
      <rPr>
        <sz val="11"/>
        <color theme="1"/>
        <rFont val="Linux Libertine G"/>
        <family val="2"/>
      </rPr>
      <t xml:space="preserve">、服务</t>
    </r>
  </si>
  <si>
    <t xml:space="preserve">预期不能替代订单或销量</t>
  </si>
  <si>
    <r>
      <rPr>
        <sz val="11"/>
        <color theme="1"/>
        <rFont val="Linux Libertine G"/>
        <family val="2"/>
      </rPr>
      <t xml:space="preserve">季调同比</t>
    </r>
    <r>
      <rPr>
        <sz val="11"/>
        <color theme="1"/>
        <rFont val="Linux Libertine G"/>
        <family val="2"/>
        <charset val="1"/>
      </rPr>
      <t xml:space="preserve">+3</t>
    </r>
    <r>
      <rPr>
        <sz val="11"/>
        <color theme="1"/>
        <rFont val="Linux Libertine G"/>
        <family val="2"/>
      </rPr>
      <t xml:space="preserve">个月环比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订单覆盖率</t>
    </r>
  </si>
  <si>
    <r>
      <rPr>
        <sz val="11"/>
        <color theme="1"/>
        <rFont val="Linux Libertine G"/>
        <family val="2"/>
      </rPr>
      <t xml:space="preserve">供给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库存</t>
    </r>
  </si>
  <si>
    <t xml:space="preserve">去库、产能出清、竞争格局改善</t>
  </si>
  <si>
    <t xml:space="preserve">资源品、化工、光伏锂电、半导体</t>
  </si>
  <si>
    <t xml:space="preserve">供给缩减不等于需求恢复</t>
  </si>
  <si>
    <r>
      <rPr>
        <sz val="11"/>
        <color theme="1"/>
        <rFont val="Linux Libertine G"/>
        <family val="2"/>
      </rPr>
      <t xml:space="preserve">库存分位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产能增速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开工率</t>
    </r>
  </si>
  <si>
    <r>
      <rPr>
        <sz val="11"/>
        <color theme="1"/>
        <rFont val="Linux Libertine G"/>
        <family val="2"/>
      </rPr>
      <t xml:space="preserve">价格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价差</t>
    </r>
  </si>
  <si>
    <r>
      <rPr>
        <sz val="11"/>
        <color theme="1"/>
        <rFont val="Linux Libertine G"/>
        <family val="2"/>
      </rPr>
      <t xml:space="preserve">价差扩张并由库存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利润确认</t>
    </r>
  </si>
  <si>
    <t xml:space="preserve">资源品、化工、制造、运输</t>
  </si>
  <si>
    <t xml:space="preserve">价格单项不可给满分</t>
  </si>
  <si>
    <r>
      <rPr>
        <sz val="11"/>
        <color theme="1"/>
        <rFont val="Linux Libertine G"/>
        <family val="2"/>
        <charset val="1"/>
      </rPr>
      <t xml:space="preserve">5</t>
    </r>
    <r>
      <rPr>
        <sz val="11"/>
        <color theme="1"/>
        <rFont val="Linux Libertine G"/>
        <family val="2"/>
      </rPr>
      <t xml:space="preserve">年分位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动量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价差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库存</t>
    </r>
  </si>
  <si>
    <t xml:space="preserve">资本开支</t>
  </si>
  <si>
    <t xml:space="preserve">计划→招标→订单→交付逐级确认</t>
  </si>
  <si>
    <r>
      <rPr>
        <sz val="11"/>
        <color theme="1"/>
        <rFont val="Linux Libertine G"/>
        <family val="2"/>
      </rPr>
      <t xml:space="preserve">设备、通信、电网、</t>
    </r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、建筑</t>
    </r>
  </si>
  <si>
    <t xml:space="preserve">规划本身不创造收入</t>
  </si>
  <si>
    <r>
      <rPr>
        <sz val="11"/>
        <color theme="1"/>
        <rFont val="Linux Libertine G"/>
        <family val="2"/>
      </rPr>
      <t xml:space="preserve">滚动</t>
    </r>
    <r>
      <rPr>
        <sz val="11"/>
        <color theme="1"/>
        <rFont val="Linux Libertine G"/>
        <family val="2"/>
        <charset val="1"/>
      </rPr>
      <t xml:space="preserve">4</t>
    </r>
    <r>
      <rPr>
        <sz val="11"/>
        <color theme="1"/>
        <rFont val="Linux Libertine G"/>
        <family val="2"/>
      </rPr>
      <t xml:space="preserve">季同比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合同负债</t>
    </r>
  </si>
  <si>
    <r>
      <rPr>
        <sz val="11"/>
        <color theme="1"/>
        <rFont val="Linux Libertine G"/>
        <family val="2"/>
      </rPr>
      <t xml:space="preserve">现金流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信用</t>
    </r>
  </si>
  <si>
    <t xml:space="preserve">回款、现金流、应收质量改善</t>
  </si>
  <si>
    <t xml:space="preserve">地产、建筑、环保、设备、医疗</t>
  </si>
  <si>
    <t xml:space="preserve">收入不能替代回款</t>
  </si>
  <si>
    <r>
      <rPr>
        <sz val="11"/>
        <color theme="1"/>
        <rFont val="Linux Libertine G"/>
        <family val="2"/>
        <charset val="1"/>
      </rPr>
      <t xml:space="preserve">TTM</t>
    </r>
    <r>
      <rPr>
        <sz val="11"/>
        <color theme="1"/>
        <rFont val="Linux Libertine G"/>
        <family val="2"/>
      </rPr>
      <t xml:space="preserve">现金流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收入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应收周转</t>
    </r>
  </si>
  <si>
    <r>
      <rPr>
        <sz val="11"/>
        <color theme="1"/>
        <rFont val="Linux Libertine G"/>
        <family val="2"/>
      </rPr>
      <t xml:space="preserve">政策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支付</t>
    </r>
  </si>
  <si>
    <t xml:space="preserve">改变支付、准入、供给规则且有细则</t>
  </si>
  <si>
    <t xml:space="preserve">医药、新能源、公用、军工、金融</t>
  </si>
  <si>
    <r>
      <rPr>
        <sz val="11"/>
        <color theme="1"/>
        <rFont val="Linux Libertine G"/>
        <family val="2"/>
      </rPr>
      <t xml:space="preserve">政策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热度不直接计分</t>
    </r>
  </si>
  <si>
    <r>
      <rPr>
        <sz val="11"/>
        <color theme="1"/>
        <rFont val="Linux Libertine G"/>
        <family val="2"/>
      </rPr>
      <t xml:space="preserve">确认项，单项权重≤</t>
    </r>
    <r>
      <rPr>
        <sz val="11"/>
        <color theme="1"/>
        <rFont val="Linux Libertine G"/>
        <family val="2"/>
        <charset val="1"/>
      </rPr>
      <t xml:space="preserve">8%</t>
    </r>
  </si>
  <si>
    <r>
      <rPr>
        <sz val="11"/>
        <color theme="1"/>
        <rFont val="Linux Libertine G"/>
        <family val="2"/>
      </rPr>
      <t xml:space="preserve">技术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替代</t>
    </r>
  </si>
  <si>
    <t xml:space="preserve">技术转化为订单、利用率、毛利</t>
  </si>
  <si>
    <r>
      <rPr>
        <sz val="11"/>
        <color theme="1"/>
        <rFont val="Linux Libertine G"/>
        <family val="2"/>
      </rPr>
      <t xml:space="preserve">半导体、</t>
    </r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、机器人、创新药</t>
    </r>
  </si>
  <si>
    <t xml:space="preserve">技术热度不替代兑现</t>
  </si>
  <si>
    <r>
      <rPr>
        <sz val="11"/>
        <color theme="1"/>
        <rFont val="Linux Libertine G"/>
        <family val="2"/>
      </rPr>
      <t xml:space="preserve">里程碑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订单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利用率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毛利</t>
    </r>
  </si>
  <si>
    <r>
      <rPr>
        <sz val="11"/>
        <color theme="1"/>
        <rFont val="Linux Libertine G"/>
        <family val="2"/>
      </rPr>
      <t xml:space="preserve">外需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贸易</t>
    </r>
  </si>
  <si>
    <r>
      <rPr>
        <sz val="11"/>
        <color theme="1"/>
        <rFont val="Linux Libertine G"/>
        <family val="2"/>
      </rPr>
      <t xml:space="preserve">出口量价、海外</t>
    </r>
    <r>
      <rPr>
        <sz val="11"/>
        <color theme="1"/>
        <rFont val="Linux Libertine G"/>
        <family val="2"/>
        <charset val="1"/>
      </rPr>
      <t xml:space="preserve">CAPEX</t>
    </r>
    <r>
      <rPr>
        <sz val="11"/>
        <color theme="1"/>
        <rFont val="Linux Libertine G"/>
        <family val="2"/>
      </rPr>
      <t xml:space="preserve">、贸易限制</t>
    </r>
  </si>
  <si>
    <r>
      <rPr>
        <sz val="11"/>
        <color theme="1"/>
        <rFont val="Linux Libertine G"/>
        <family val="2"/>
      </rPr>
      <t xml:space="preserve">电子、家电、机械、光伏、汽车、</t>
    </r>
    <r>
      <rPr>
        <sz val="11"/>
        <color theme="1"/>
        <rFont val="Linux Libertine G"/>
        <family val="2"/>
        <charset val="1"/>
      </rPr>
      <t xml:space="preserve">CXO</t>
    </r>
  </si>
  <si>
    <t xml:space="preserve">汇率或出口额不可单看</t>
  </si>
  <si>
    <r>
      <rPr>
        <sz val="11"/>
        <color theme="1"/>
        <rFont val="Linux Libertine G"/>
        <family val="2"/>
      </rPr>
      <t xml:space="preserve">量价拆分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订单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汇率敏感性</t>
    </r>
  </si>
  <si>
    <t xml:space="preserve">运营效率</t>
  </si>
  <si>
    <t xml:space="preserve">利用率、周转、人效、费用率持续改善</t>
  </si>
  <si>
    <r>
      <rPr>
        <sz val="11"/>
        <color theme="1"/>
        <rFont val="Linux Libertine G"/>
        <family val="2"/>
      </rPr>
      <t xml:space="preserve">制造、</t>
    </r>
    <r>
      <rPr>
        <sz val="11"/>
        <color theme="1"/>
        <rFont val="Linux Libertine G"/>
        <family val="2"/>
        <charset val="1"/>
      </rPr>
      <t xml:space="preserve">CXO</t>
    </r>
    <r>
      <rPr>
        <sz val="11"/>
        <color theme="1"/>
        <rFont val="Linux Libertine G"/>
        <family val="2"/>
      </rPr>
      <t xml:space="preserve">、服务、零售</t>
    </r>
  </si>
  <si>
    <t xml:space="preserve">一次性改善不计</t>
  </si>
  <si>
    <r>
      <rPr>
        <sz val="11"/>
        <color theme="1"/>
        <rFont val="Linux Libertine G"/>
        <family val="2"/>
        <charset val="1"/>
      </rPr>
      <t xml:space="preserve">TTM</t>
    </r>
    <r>
      <rPr>
        <sz val="11"/>
        <color theme="1"/>
        <rFont val="Linux Libertine G"/>
        <family val="2"/>
      </rPr>
      <t xml:space="preserve">分位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连续两期验证</t>
    </r>
  </si>
  <si>
    <r>
      <rPr>
        <sz val="11"/>
        <color theme="1"/>
        <rFont val="Linux Libertine G"/>
        <family val="2"/>
      </rPr>
      <t xml:space="preserve">估值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资金面</t>
    </r>
  </si>
  <si>
    <t xml:space="preserve">仅用于交易层的预期回报与拥挤度</t>
  </si>
  <si>
    <t xml:space="preserve">全部行业</t>
  </si>
  <si>
    <t xml:space="preserve">不计基本面景气</t>
  </si>
  <si>
    <t xml:space="preserve">单独建模</t>
  </si>
  <si>
    <t xml:space="preserve">指标键</t>
  </si>
  <si>
    <t xml:space="preserve">行业</t>
  </si>
  <si>
    <t xml:space="preserve">层级</t>
  </si>
  <si>
    <t xml:space="preserve">指标名称</t>
  </si>
  <si>
    <t xml:space="preserve">数据来源</t>
  </si>
  <si>
    <t xml:space="preserve">当前值（原始）</t>
  </si>
  <si>
    <t xml:space="preserve">单位</t>
  </si>
  <si>
    <t xml:space="preserve">建议权重</t>
  </si>
  <si>
    <r>
      <rPr>
        <b val="true"/>
        <sz val="11"/>
        <color rgb="FFFFFFFF"/>
        <rFont val="Linux Libertine G"/>
        <family val="2"/>
      </rPr>
      <t xml:space="preserve">当前评分</t>
    </r>
    <r>
      <rPr>
        <b val="true"/>
        <sz val="11"/>
        <color rgb="FFFFFFFF"/>
        <rFont val="Cambria"/>
        <family val="0"/>
        <charset val="1"/>
      </rPr>
      <t xml:space="preserve">(1-10)</t>
    </r>
  </si>
  <si>
    <t xml:space="preserve">数据发布日期</t>
  </si>
  <si>
    <t xml:space="preserve">数据状态</t>
  </si>
  <si>
    <t xml:space="preserve">角色</t>
  </si>
  <si>
    <t xml:space="preserve">评分口径</t>
  </si>
  <si>
    <t xml:space="preserve">更新备注</t>
  </si>
  <si>
    <r>
      <rPr>
        <sz val="11"/>
        <color theme="1"/>
        <rFont val="Linux Libertine G"/>
        <family val="2"/>
      </rPr>
      <t xml:space="preserve">农林牧渔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能繁母猪存栏量变化</t>
    </r>
  </si>
  <si>
    <t xml:space="preserve">农林牧渔</t>
  </si>
  <si>
    <t xml:space="preserve">先行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</si>
  <si>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能繁母猪存栏量变化</t>
    </r>
  </si>
  <si>
    <t xml:space="preserve">农业农村部</t>
  </si>
  <si>
    <t xml:space="preserve">+1.2</t>
  </si>
  <si>
    <t xml:space="preserve">%YoY</t>
  </si>
  <si>
    <t xml:space="preserve">待更新</t>
  </si>
  <si>
    <t xml:space="preserve">核心先行</t>
  </si>
  <si>
    <r>
      <rPr>
        <sz val="11"/>
        <color theme="1"/>
        <rFont val="Linux Libertine G"/>
        <family val="2"/>
      </rPr>
      <t xml:space="preserve">采用</t>
    </r>
    <r>
      <rPr>
        <sz val="11"/>
        <color theme="1"/>
        <rFont val="Linux Libertine G"/>
        <family val="2"/>
        <charset val="1"/>
      </rPr>
      <t xml:space="preserve">5</t>
    </r>
    <r>
      <rPr>
        <sz val="11"/>
        <color theme="1"/>
        <rFont val="Linux Libertine G"/>
        <family val="2"/>
      </rPr>
      <t xml:space="preserve">年滚动分位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同比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环比双阈值；数据滞后超过一个频率周期时自动降权。</t>
    </r>
  </si>
  <si>
    <t xml:space="preserve">请按评分口径复核最新值、日期和评分。</t>
  </si>
  <si>
    <r>
      <rPr>
        <sz val="11"/>
        <color theme="1"/>
        <rFont val="Linux Libertine G"/>
        <family val="2"/>
      </rPr>
      <t xml:space="preserve">农林牧渔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仔猪价格变化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</si>
  <si>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仔猪价格变化</t>
    </r>
  </si>
  <si>
    <r>
      <rPr>
        <sz val="11"/>
        <color theme="1"/>
        <rFont val="Linux Libertine G"/>
        <family val="2"/>
      </rPr>
      <t xml:space="preserve">农业农村部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博亚和讯</t>
    </r>
  </si>
  <si>
    <t xml:space="preserve">+35</t>
  </si>
  <si>
    <r>
      <rPr>
        <sz val="11"/>
        <color theme="1"/>
        <rFont val="Linux Libertine G"/>
        <family val="2"/>
      </rPr>
      <t xml:space="preserve">改为</t>
    </r>
    <r>
      <rPr>
        <sz val="11"/>
        <color theme="1"/>
        <rFont val="Linux Libertine G"/>
        <family val="2"/>
        <charset val="1"/>
      </rPr>
      <t xml:space="preserve">5</t>
    </r>
    <r>
      <rPr>
        <sz val="11"/>
        <color theme="1"/>
        <rFont val="Linux Libertine G"/>
        <family val="2"/>
      </rPr>
      <t xml:space="preserve">年滚动分位</t>
    </r>
    <r>
      <rPr>
        <sz val="11"/>
        <color theme="1"/>
        <rFont val="Linux Libertine G"/>
        <family val="2"/>
        <charset val="1"/>
      </rPr>
      <t xml:space="preserve">(P20/P40/P60/P80)+3</t>
    </r>
    <r>
      <rPr>
        <sz val="11"/>
        <color theme="1"/>
        <rFont val="Linux Libertine G"/>
        <family val="2"/>
      </rPr>
      <t xml:space="preserve">个月动量；须与库存、价差或利润交叉确认。</t>
    </r>
  </si>
  <si>
    <r>
      <rPr>
        <sz val="11"/>
        <color theme="1"/>
        <rFont val="Linux Libertine G"/>
        <family val="2"/>
      </rPr>
      <t xml:space="preserve">农林牧渔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饲料价格变化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</si>
  <si>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饲料价格变化</t>
    </r>
  </si>
  <si>
    <t xml:space="preserve">中国饲料工业协会</t>
  </si>
  <si>
    <t xml:space="preserve">-3.5</t>
  </si>
  <si>
    <r>
      <rPr>
        <sz val="11"/>
        <color theme="1"/>
        <rFont val="Linux Libertine G"/>
        <family val="2"/>
      </rPr>
      <t xml:space="preserve">农林牧渔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农产品进口量增速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</si>
  <si>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农产品进口量增速</t>
    </r>
  </si>
  <si>
    <t xml:space="preserve">海关总署</t>
  </si>
  <si>
    <t xml:space="preserve">+2.1</t>
  </si>
  <si>
    <r>
      <rPr>
        <sz val="11"/>
        <color theme="1"/>
        <rFont val="Linux Libertine G"/>
        <family val="2"/>
      </rPr>
      <t xml:space="preserve">农林牧渔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种植面积变化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</si>
  <si>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种植面积变化</t>
    </r>
  </si>
  <si>
    <t xml:space="preserve">国家统计局</t>
  </si>
  <si>
    <t xml:space="preserve">+0.8</t>
  </si>
  <si>
    <r>
      <rPr>
        <sz val="11"/>
        <color theme="1"/>
        <rFont val="Linux Libertine G"/>
        <family val="2"/>
      </rPr>
      <t xml:space="preserve">农林牧渔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生猪出栏均价</t>
    </r>
  </si>
  <si>
    <t xml:space="preserve">同步</t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</si>
  <si>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生猪出栏均价</t>
    </r>
  </si>
  <si>
    <t xml:space="preserve">15.8</t>
  </si>
  <si>
    <r>
      <rPr>
        <sz val="11"/>
        <color theme="1"/>
        <rFont val="Linux Libertine G"/>
        <family val="2"/>
      </rPr>
      <t xml:space="preserve">元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公斤</t>
    </r>
  </si>
  <si>
    <t xml:space="preserve">同步确认</t>
  </si>
  <si>
    <r>
      <rPr>
        <sz val="11"/>
        <color theme="1"/>
        <rFont val="Linux Libertine G"/>
        <family val="2"/>
      </rPr>
      <t xml:space="preserve">农林牧渔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白羽肉鸡价格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</si>
  <si>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白羽肉鸡价格</t>
    </r>
  </si>
  <si>
    <t xml:space="preserve">博亚和讯</t>
  </si>
  <si>
    <t xml:space="preserve">8.2</t>
  </si>
  <si>
    <r>
      <rPr>
        <sz val="11"/>
        <color theme="1"/>
        <rFont val="Linux Libertine G"/>
        <family val="2"/>
      </rPr>
      <t xml:space="preserve">农林牧渔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水产批发价格指数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</si>
  <si>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水产批发价格指数</t>
    </r>
  </si>
  <si>
    <t xml:space="preserve">112</t>
  </si>
  <si>
    <t xml:space="preserve">点</t>
  </si>
  <si>
    <r>
      <rPr>
        <sz val="11"/>
        <color theme="1"/>
        <rFont val="Linux Libertine G"/>
        <family val="2"/>
      </rPr>
      <t xml:space="preserve">农林牧渔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农产品批发价格</t>
    </r>
    <r>
      <rPr>
        <sz val="11"/>
        <color theme="1"/>
        <rFont val="Linux Libertine G"/>
        <family val="2"/>
        <charset val="1"/>
      </rPr>
      <t xml:space="preserve">200</t>
    </r>
    <r>
      <rPr>
        <sz val="11"/>
        <color theme="1"/>
        <rFont val="Linux Libertine G"/>
        <family val="2"/>
      </rPr>
      <t xml:space="preserve">指数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</si>
  <si>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农产品批发价格</t>
    </r>
    <r>
      <rPr>
        <sz val="11"/>
        <color theme="1"/>
        <rFont val="Linux Libertine G"/>
        <family val="2"/>
        <charset val="1"/>
      </rPr>
      <t xml:space="preserve">200</t>
    </r>
    <r>
      <rPr>
        <sz val="11"/>
        <color theme="1"/>
        <rFont val="Linux Libertine G"/>
        <family val="2"/>
      </rPr>
      <t xml:space="preserve">指数</t>
    </r>
  </si>
  <si>
    <t xml:space="preserve">118</t>
  </si>
  <si>
    <r>
      <rPr>
        <sz val="11"/>
        <color theme="1"/>
        <rFont val="Linux Libertine G"/>
        <family val="2"/>
      </rPr>
      <t xml:space="preserve">农林牧渔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养殖企业季度净利润率</t>
    </r>
  </si>
  <si>
    <t xml:space="preserve">滞后</t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</si>
  <si>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养殖企业季度净利润率</t>
    </r>
  </si>
  <si>
    <t xml:space="preserve">上市公司财报</t>
  </si>
  <si>
    <t xml:space="preserve">6.5</t>
  </si>
  <si>
    <t xml:space="preserve">%</t>
  </si>
  <si>
    <t xml:space="preserve">质量验证</t>
  </si>
  <si>
    <r>
      <rPr>
        <sz val="11"/>
        <color theme="1"/>
        <rFont val="Linux Libertine G"/>
        <family val="2"/>
      </rPr>
      <t xml:space="preserve">采用</t>
    </r>
    <r>
      <rPr>
        <sz val="11"/>
        <color theme="1"/>
        <rFont val="Linux Libertine G"/>
        <family val="2"/>
        <charset val="1"/>
      </rPr>
      <t xml:space="preserve">TTM/</t>
    </r>
    <r>
      <rPr>
        <sz val="11"/>
        <color theme="1"/>
        <rFont val="Linux Libertine G"/>
        <family val="2"/>
      </rPr>
      <t xml:space="preserve">滚动</t>
    </r>
    <r>
      <rPr>
        <sz val="11"/>
        <color theme="1"/>
        <rFont val="Linux Libertine G"/>
        <family val="2"/>
        <charset val="1"/>
      </rPr>
      <t xml:space="preserve">4</t>
    </r>
    <r>
      <rPr>
        <sz val="11"/>
        <color theme="1"/>
        <rFont val="Linux Libertine G"/>
        <family val="2"/>
      </rPr>
      <t xml:space="preserve">季同比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历史分位；剔除一次性损益，</t>
    </r>
    <r>
      <rPr>
        <sz val="11"/>
        <color theme="1"/>
        <rFont val="Linux Libertine G"/>
        <family val="2"/>
        <charset val="1"/>
      </rPr>
      <t xml:space="preserve">IRR</t>
    </r>
    <r>
      <rPr>
        <sz val="11"/>
        <color theme="1"/>
        <rFont val="Linux Libertine G"/>
        <family val="2"/>
      </rPr>
      <t xml:space="preserve">按项目现金流复核。</t>
    </r>
  </si>
  <si>
    <r>
      <rPr>
        <sz val="11"/>
        <color theme="1"/>
        <rFont val="Linux Libertine G"/>
        <family val="2"/>
      </rPr>
      <t xml:space="preserve">农林牧渔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农林牧渔固定资产投资增速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</si>
  <si>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农林牧渔固定资产投资增速</t>
    </r>
  </si>
  <si>
    <t xml:space="preserve">+8.2</t>
  </si>
  <si>
    <r>
      <rPr>
        <sz val="11"/>
        <color theme="1"/>
        <rFont val="Linux Libertine G"/>
        <family val="2"/>
      </rPr>
      <t xml:space="preserve">农林牧渔</t>
    </r>
    <r>
      <rPr>
        <sz val="11"/>
        <color theme="1"/>
        <rFont val="Linux Libertine G"/>
        <family val="2"/>
        <charset val="1"/>
      </rPr>
      <t xml:space="preserve">|12-CPI</t>
    </r>
    <r>
      <rPr>
        <sz val="11"/>
        <color theme="1"/>
        <rFont val="Linux Libertine G"/>
        <family val="2"/>
      </rPr>
      <t xml:space="preserve">食品项同比</t>
    </r>
  </si>
  <si>
    <r>
      <rPr>
        <sz val="11"/>
        <color theme="1"/>
        <rFont val="Linux Libertine G"/>
        <family val="2"/>
        <charset val="1"/>
      </rPr>
      <t xml:space="preserve">12-CPI</t>
    </r>
    <r>
      <rPr>
        <sz val="11"/>
        <color theme="1"/>
        <rFont val="Linux Libertine G"/>
        <family val="2"/>
      </rPr>
      <t xml:space="preserve">食品项同比</t>
    </r>
  </si>
  <si>
    <r>
      <rPr>
        <sz val="11"/>
        <color theme="1"/>
        <rFont val="Linux Libertine G"/>
        <family val="2"/>
      </rPr>
      <t xml:space="preserve">基础化工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原油价格变化</t>
    </r>
  </si>
  <si>
    <t xml:space="preserve">基础化工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</si>
  <si>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原油价格变化</t>
    </r>
  </si>
  <si>
    <r>
      <rPr>
        <sz val="11"/>
        <color theme="1"/>
        <rFont val="Linux Libertine G"/>
        <family val="2"/>
        <charset val="1"/>
      </rPr>
      <t xml:space="preserve">WTI/</t>
    </r>
    <r>
      <rPr>
        <sz val="11"/>
        <color theme="1"/>
        <rFont val="Linux Libertine G"/>
        <family val="2"/>
      </rPr>
      <t xml:space="preserve">布伦特</t>
    </r>
  </si>
  <si>
    <t xml:space="preserve">72</t>
  </si>
  <si>
    <r>
      <rPr>
        <sz val="11"/>
        <color theme="1"/>
        <rFont val="Linux Libertine G"/>
        <family val="2"/>
      </rPr>
      <t xml:space="preserve">美元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桶</t>
    </r>
  </si>
  <si>
    <r>
      <rPr>
        <sz val="11"/>
        <color theme="1"/>
        <rFont val="Linux Libertine G"/>
        <family val="2"/>
      </rPr>
      <t xml:space="preserve">基础化工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煤化工原料煤价格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</si>
  <si>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煤化工原料煤价格</t>
    </r>
  </si>
  <si>
    <t xml:space="preserve">秦皇岛动力煤</t>
  </si>
  <si>
    <t xml:space="preserve">680</t>
  </si>
  <si>
    <r>
      <rPr>
        <sz val="11"/>
        <color theme="1"/>
        <rFont val="Linux Libertine G"/>
        <family val="2"/>
      </rPr>
      <t xml:space="preserve">元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吨</t>
    </r>
  </si>
  <si>
    <r>
      <rPr>
        <sz val="11"/>
        <color theme="1"/>
        <rFont val="Linux Libertine G"/>
        <family val="2"/>
      </rPr>
      <t xml:space="preserve">基础化工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化工品产能利用率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</si>
  <si>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化工品产能利用率</t>
    </r>
  </si>
  <si>
    <t xml:space="preserve">卓创资讯</t>
  </si>
  <si>
    <t xml:space="preserve">74</t>
  </si>
  <si>
    <r>
      <rPr>
        <sz val="11"/>
        <color theme="1"/>
        <rFont val="Linux Libertine G"/>
        <family val="2"/>
      </rPr>
      <t xml:space="preserve">基础化工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新增产能投放计划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</si>
  <si>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新增产能投放计划</t>
    </r>
  </si>
  <si>
    <r>
      <rPr>
        <sz val="11"/>
        <color theme="1"/>
        <rFont val="Linux Libertine G"/>
        <family val="2"/>
      </rPr>
      <t xml:space="preserve">公司公告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行业协会</t>
    </r>
  </si>
  <si>
    <t xml:space="preserve">+3.5</t>
  </si>
  <si>
    <r>
      <rPr>
        <sz val="11"/>
        <color theme="1"/>
        <rFont val="Linux Libertine G"/>
        <family val="2"/>
      </rPr>
      <t xml:space="preserve">基础化工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中国化工产品价格指数</t>
    </r>
    <r>
      <rPr>
        <sz val="11"/>
        <color theme="1"/>
        <rFont val="Linux Libertine G"/>
        <family val="2"/>
        <charset val="1"/>
      </rPr>
      <t xml:space="preserve">(CCPI)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</si>
  <si>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中国化工产品价格指数</t>
    </r>
    <r>
      <rPr>
        <sz val="11"/>
        <color theme="1"/>
        <rFont val="Linux Libertine G"/>
        <family val="2"/>
        <charset val="1"/>
      </rPr>
      <t xml:space="preserve">(CCPI)</t>
    </r>
  </si>
  <si>
    <t xml:space="preserve">4850</t>
  </si>
  <si>
    <r>
      <rPr>
        <sz val="11"/>
        <color theme="1"/>
        <rFont val="Linux Libertine G"/>
        <family val="2"/>
      </rPr>
      <t xml:space="preserve">基础化工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主要化工品价差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</si>
  <si>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主要化工品价差</t>
    </r>
  </si>
  <si>
    <t xml:space="preserve">百川盈孚</t>
  </si>
  <si>
    <t xml:space="preserve">+5</t>
  </si>
  <si>
    <r>
      <rPr>
        <sz val="11"/>
        <color theme="1"/>
        <rFont val="Linux Libertine G"/>
        <family val="2"/>
        <charset val="1"/>
      </rPr>
      <t xml:space="preserve">%vs</t>
    </r>
    <r>
      <rPr>
        <sz val="11"/>
        <color theme="1"/>
        <rFont val="Linux Libertine G"/>
        <family val="2"/>
      </rPr>
      <t xml:space="preserve">均值</t>
    </r>
  </si>
  <si>
    <r>
      <rPr>
        <sz val="11"/>
        <color theme="1"/>
        <rFont val="Linux Libertine G"/>
        <family val="2"/>
      </rPr>
      <t xml:space="preserve">基础化工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化工品库存天数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</si>
  <si>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化工品库存天数</t>
    </r>
  </si>
  <si>
    <t xml:space="preserve">18</t>
  </si>
  <si>
    <t xml:space="preserve">天</t>
  </si>
  <si>
    <r>
      <rPr>
        <sz val="11"/>
        <color theme="1"/>
        <rFont val="Linux Libertine G"/>
        <family val="2"/>
      </rPr>
      <t xml:space="preserve">采用同比、环比、历史分位三维评分；按去库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改善方向计分。</t>
    </r>
  </si>
  <si>
    <r>
      <rPr>
        <sz val="11"/>
        <color theme="1"/>
        <rFont val="Linux Libertine G"/>
        <family val="2"/>
      </rPr>
      <t xml:space="preserve">基础化工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化工品出口增速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</si>
  <si>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化工品出口增速</t>
    </r>
  </si>
  <si>
    <t xml:space="preserve">+12.5</t>
  </si>
  <si>
    <r>
      <rPr>
        <sz val="11"/>
        <color theme="1"/>
        <rFont val="Linux Libertine G"/>
        <family val="2"/>
      </rPr>
      <t xml:space="preserve">基础化工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化工企业季度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</si>
  <si>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化工企业季度</t>
    </r>
    <r>
      <rPr>
        <sz val="11"/>
        <color theme="1"/>
        <rFont val="Linux Libertine G"/>
        <family val="2"/>
        <charset val="1"/>
      </rPr>
      <t xml:space="preserve">ROE</t>
    </r>
  </si>
  <si>
    <t xml:space="preserve">7.5</t>
  </si>
  <si>
    <r>
      <rPr>
        <sz val="11"/>
        <color theme="1"/>
        <rFont val="Linux Libertine G"/>
        <family val="2"/>
      </rPr>
      <t xml:space="preserve">基础化工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化工行业固定资产投资增速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</si>
  <si>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化工行业固定资产投资增速</t>
    </r>
  </si>
  <si>
    <t xml:space="preserve">+8.5</t>
  </si>
  <si>
    <r>
      <rPr>
        <sz val="11"/>
        <color theme="1"/>
        <rFont val="Linux Libertine G"/>
        <family val="2"/>
      </rPr>
      <t xml:space="preserve">基础化工</t>
    </r>
    <r>
      <rPr>
        <sz val="11"/>
        <color theme="1"/>
        <rFont val="Linux Libertine G"/>
        <family val="2"/>
        <charset val="1"/>
      </rPr>
      <t xml:space="preserve">|11-PPI</t>
    </r>
    <r>
      <rPr>
        <sz val="11"/>
        <color theme="1"/>
        <rFont val="Linux Libertine G"/>
        <family val="2"/>
      </rPr>
      <t xml:space="preserve">化工原料同比</t>
    </r>
  </si>
  <si>
    <r>
      <rPr>
        <sz val="11"/>
        <color theme="1"/>
        <rFont val="Linux Libertine G"/>
        <family val="2"/>
        <charset val="1"/>
      </rPr>
      <t xml:space="preserve">11-PPI</t>
    </r>
    <r>
      <rPr>
        <sz val="11"/>
        <color theme="1"/>
        <rFont val="Linux Libertine G"/>
        <family val="2"/>
      </rPr>
      <t xml:space="preserve">化工原料同比</t>
    </r>
  </si>
  <si>
    <t xml:space="preserve">+2.5</t>
  </si>
  <si>
    <r>
      <rPr>
        <sz val="11"/>
        <color theme="1"/>
        <rFont val="Linux Libertine G"/>
        <family val="2"/>
      </rPr>
      <t xml:space="preserve">钢铁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铁矿石价格变化</t>
    </r>
  </si>
  <si>
    <t xml:space="preserve">钢铁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</si>
  <si>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铁矿石价格变化</t>
    </r>
  </si>
  <si>
    <r>
      <rPr>
        <sz val="11"/>
        <color theme="1"/>
        <rFont val="Linux Libertine G"/>
        <family val="2"/>
      </rPr>
      <t xml:space="preserve">普氏</t>
    </r>
    <r>
      <rPr>
        <sz val="11"/>
        <color theme="1"/>
        <rFont val="Linux Libertine G"/>
        <family val="2"/>
        <charset val="1"/>
      </rPr>
      <t xml:space="preserve">62%</t>
    </r>
    <r>
      <rPr>
        <sz val="11"/>
        <color theme="1"/>
        <rFont val="Linux Libertine G"/>
        <family val="2"/>
      </rPr>
      <t xml:space="preserve">指数</t>
    </r>
  </si>
  <si>
    <t xml:space="preserve">105</t>
  </si>
  <si>
    <r>
      <rPr>
        <sz val="11"/>
        <color theme="1"/>
        <rFont val="Linux Libertine G"/>
        <family val="2"/>
      </rPr>
      <t xml:space="preserve">美元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吨</t>
    </r>
  </si>
  <si>
    <r>
      <rPr>
        <sz val="11"/>
        <color theme="1"/>
        <rFont val="Linux Libertine G"/>
        <family val="2"/>
      </rPr>
      <t xml:space="preserve">钢铁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焦煤价格变化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</si>
  <si>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焦煤价格变化</t>
    </r>
  </si>
  <si>
    <r>
      <rPr>
        <sz val="11"/>
        <color theme="1"/>
        <rFont val="Linux Libertine G"/>
        <family val="2"/>
        <charset val="1"/>
      </rPr>
      <t xml:space="preserve">CCI</t>
    </r>
    <r>
      <rPr>
        <sz val="11"/>
        <color theme="1"/>
        <rFont val="Linux Libertine G"/>
        <family val="2"/>
      </rPr>
      <t xml:space="preserve">指数</t>
    </r>
  </si>
  <si>
    <t xml:space="preserve">1650</t>
  </si>
  <si>
    <r>
      <rPr>
        <sz val="11"/>
        <color theme="1"/>
        <rFont val="Linux Libertine G"/>
        <family val="2"/>
      </rPr>
      <t xml:space="preserve">钢铁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高炉开工率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</si>
  <si>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高炉开工率</t>
    </r>
  </si>
  <si>
    <t xml:space="preserve">Mysteel</t>
  </si>
  <si>
    <t xml:space="preserve">82</t>
  </si>
  <si>
    <r>
      <rPr>
        <sz val="11"/>
        <color theme="1"/>
        <rFont val="Linux Libertine G"/>
        <family val="2"/>
      </rPr>
      <t xml:space="preserve">钢铁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钢材社会库存变化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</si>
  <si>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钢材社会库存变化</t>
    </r>
  </si>
  <si>
    <t xml:space="preserve">-4.2</t>
  </si>
  <si>
    <t xml:space="preserve">%MoM</t>
  </si>
  <si>
    <r>
      <rPr>
        <sz val="11"/>
        <color theme="1"/>
        <rFont val="Linux Libertine G"/>
        <family val="2"/>
      </rPr>
      <t xml:space="preserve">钢铁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螺纹钢现货价格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</si>
  <si>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螺纹钢现货价格</t>
    </r>
  </si>
  <si>
    <t xml:space="preserve">上海钢联</t>
  </si>
  <si>
    <t xml:space="preserve">3450</t>
  </si>
  <si>
    <r>
      <rPr>
        <sz val="11"/>
        <color theme="1"/>
        <rFont val="Linux Libertine G"/>
        <family val="2"/>
      </rPr>
      <t xml:space="preserve">钢铁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热轧板卷价格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</si>
  <si>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热轧板卷价格</t>
    </r>
  </si>
  <si>
    <t xml:space="preserve">3650</t>
  </si>
  <si>
    <r>
      <rPr>
        <sz val="11"/>
        <color theme="1"/>
        <rFont val="Linux Libertine G"/>
        <family val="2"/>
      </rPr>
      <t xml:space="preserve">钢铁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钢厂盈利面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</si>
  <si>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钢厂盈利面</t>
    </r>
  </si>
  <si>
    <t xml:space="preserve">55</t>
  </si>
  <si>
    <r>
      <rPr>
        <sz val="11"/>
        <color theme="1"/>
        <rFont val="Linux Libertine G"/>
        <family val="2"/>
      </rPr>
      <t xml:space="preserve">钢铁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钢材表观消费量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</si>
  <si>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钢材表观消费量</t>
    </r>
  </si>
  <si>
    <t xml:space="preserve">1.05</t>
  </si>
  <si>
    <r>
      <rPr>
        <sz val="11"/>
        <color theme="1"/>
        <rFont val="Linux Libertine G"/>
        <family val="2"/>
      </rPr>
      <t xml:space="preserve">亿吨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年化</t>
    </r>
  </si>
  <si>
    <r>
      <rPr>
        <sz val="11"/>
        <color theme="1"/>
        <rFont val="Linux Libertine G"/>
        <family val="2"/>
      </rPr>
      <t xml:space="preserve">采用季调同比</t>
    </r>
    <r>
      <rPr>
        <sz val="11"/>
        <color theme="1"/>
        <rFont val="Linux Libertine G"/>
        <family val="2"/>
        <charset val="1"/>
      </rPr>
      <t xml:space="preserve">+3</t>
    </r>
    <r>
      <rPr>
        <sz val="11"/>
        <color theme="1"/>
        <rFont val="Linux Libertine G"/>
        <family val="2"/>
      </rPr>
      <t xml:space="preserve">个月环比；单月值用</t>
    </r>
    <r>
      <rPr>
        <sz val="11"/>
        <color theme="1"/>
        <rFont val="Linux Libertine G"/>
        <family val="2"/>
        <charset val="1"/>
      </rPr>
      <t xml:space="preserve">3</t>
    </r>
    <r>
      <rPr>
        <sz val="11"/>
        <color theme="1"/>
        <rFont val="Linux Libertine G"/>
        <family val="2"/>
      </rPr>
      <t xml:space="preserve">个月移动均值过滤。</t>
    </r>
  </si>
  <si>
    <r>
      <rPr>
        <sz val="11"/>
        <color theme="1"/>
        <rFont val="Linux Libertine G"/>
        <family val="2"/>
      </rPr>
      <t xml:space="preserve">钢铁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钢铁企业季度净利润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</si>
  <si>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钢铁企业季度净利润</t>
    </r>
  </si>
  <si>
    <t xml:space="preserve">35</t>
  </si>
  <si>
    <t xml:space="preserve">亿元</t>
  </si>
  <si>
    <r>
      <rPr>
        <sz val="11"/>
        <color theme="1"/>
        <rFont val="Linux Libertine G"/>
        <family val="2"/>
      </rPr>
      <t xml:space="preserve">钢铁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钢铁行业产能利用率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</si>
  <si>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钢铁行业产能利用率</t>
    </r>
  </si>
  <si>
    <t xml:space="preserve">77</t>
  </si>
  <si>
    <r>
      <rPr>
        <sz val="11"/>
        <color theme="1"/>
        <rFont val="Linux Libertine G"/>
        <family val="2"/>
      </rPr>
      <t xml:space="preserve">钢铁</t>
    </r>
    <r>
      <rPr>
        <sz val="11"/>
        <color theme="1"/>
        <rFont val="Linux Libertine G"/>
        <family val="2"/>
        <charset val="1"/>
      </rPr>
      <t xml:space="preserve">|11-PPI</t>
    </r>
    <r>
      <rPr>
        <sz val="11"/>
        <color theme="1"/>
        <rFont val="Linux Libertine G"/>
        <family val="2"/>
      </rPr>
      <t xml:space="preserve">黑色金属冶炼同比</t>
    </r>
  </si>
  <si>
    <r>
      <rPr>
        <sz val="11"/>
        <color theme="1"/>
        <rFont val="Linux Libertine G"/>
        <family val="2"/>
        <charset val="1"/>
      </rPr>
      <t xml:space="preserve">11-PPI</t>
    </r>
    <r>
      <rPr>
        <sz val="11"/>
        <color theme="1"/>
        <rFont val="Linux Libertine G"/>
        <family val="2"/>
      </rPr>
      <t xml:space="preserve">黑色金属冶炼同比</t>
    </r>
  </si>
  <si>
    <t xml:space="preserve">+1.8</t>
  </si>
  <si>
    <r>
      <rPr>
        <sz val="11"/>
        <color theme="1"/>
        <rFont val="Linux Libertine G"/>
        <family val="2"/>
      </rPr>
      <t xml:space="preserve">有色金属</t>
    </r>
    <r>
      <rPr>
        <sz val="11"/>
        <color theme="1"/>
        <rFont val="Linux Libertine G"/>
        <family val="2"/>
        <charset val="1"/>
      </rPr>
      <t xml:space="preserve">|1-LME</t>
    </r>
    <r>
      <rPr>
        <sz val="11"/>
        <color theme="1"/>
        <rFont val="Linux Libertine G"/>
        <family val="2"/>
      </rPr>
      <t xml:space="preserve">铜库存变化</t>
    </r>
  </si>
  <si>
    <t xml:space="preserve">有色金属</t>
  </si>
  <si>
    <r>
      <rPr>
        <sz val="11"/>
        <color theme="1"/>
        <rFont val="Linux Libertine G"/>
        <family val="2"/>
        <charset val="1"/>
      </rPr>
      <t xml:space="preserve">1-LME</t>
    </r>
    <r>
      <rPr>
        <sz val="11"/>
        <color theme="1"/>
        <rFont val="Linux Libertine G"/>
        <family val="2"/>
      </rPr>
      <t xml:space="preserve">铜库存变化</t>
    </r>
  </si>
  <si>
    <t xml:space="preserve">LME</t>
  </si>
  <si>
    <t xml:space="preserve">-12</t>
  </si>
  <si>
    <r>
      <rPr>
        <sz val="11"/>
        <color theme="1"/>
        <rFont val="Linux Libertine G"/>
        <family val="2"/>
      </rPr>
      <t xml:space="preserve">有色金属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铜精矿</t>
    </r>
    <r>
      <rPr>
        <sz val="11"/>
        <color theme="1"/>
        <rFont val="Linux Libertine G"/>
        <family val="2"/>
        <charset val="1"/>
      </rPr>
      <t xml:space="preserve">TC/RC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</si>
  <si>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铜精矿</t>
    </r>
    <r>
      <rPr>
        <sz val="11"/>
        <color theme="1"/>
        <rFont val="Linux Libertine G"/>
        <family val="2"/>
        <charset val="1"/>
      </rPr>
      <t xml:space="preserve">TC/RC</t>
    </r>
  </si>
  <si>
    <t xml:space="preserve">SMM</t>
  </si>
  <si>
    <t xml:space="preserve">25</t>
  </si>
  <si>
    <r>
      <rPr>
        <sz val="11"/>
        <color theme="1"/>
        <rFont val="Linux Libertine G"/>
        <family val="2"/>
      </rPr>
      <t xml:space="preserve">有色金属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美元指数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</si>
  <si>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美元指数</t>
    </r>
  </si>
  <si>
    <t xml:space="preserve">美联储</t>
  </si>
  <si>
    <t xml:space="preserve">99.5</t>
  </si>
  <si>
    <r>
      <rPr>
        <sz val="11"/>
        <color theme="1"/>
        <rFont val="Linux Libertine G"/>
        <family val="2"/>
      </rPr>
      <t xml:space="preserve">有色金属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全球矿山资本开支增速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</si>
  <si>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全球矿山资本开支增速</t>
    </r>
  </si>
  <si>
    <t xml:space="preserve">Wood Mackenzie</t>
  </si>
  <si>
    <t xml:space="preserve">+18</t>
  </si>
  <si>
    <r>
      <rPr>
        <sz val="11"/>
        <color theme="1"/>
        <rFont val="Linux Libertine G"/>
        <family val="2"/>
      </rPr>
      <t xml:space="preserve">有色金属</t>
    </r>
    <r>
      <rPr>
        <sz val="11"/>
        <color theme="1"/>
        <rFont val="Linux Libertine G"/>
        <family val="2"/>
        <charset val="1"/>
      </rPr>
      <t xml:space="preserve">|5-LME</t>
    </r>
    <r>
      <rPr>
        <sz val="11"/>
        <color theme="1"/>
        <rFont val="Linux Libertine G"/>
        <family val="2"/>
      </rPr>
      <t xml:space="preserve">铜现货价格</t>
    </r>
  </si>
  <si>
    <r>
      <rPr>
        <sz val="11"/>
        <color theme="1"/>
        <rFont val="Linux Libertine G"/>
        <family val="2"/>
        <charset val="1"/>
      </rPr>
      <t xml:space="preserve">5-LME</t>
    </r>
    <r>
      <rPr>
        <sz val="11"/>
        <color theme="1"/>
        <rFont val="Linux Libertine G"/>
        <family val="2"/>
      </rPr>
      <t xml:space="preserve">铜现货价格</t>
    </r>
  </si>
  <si>
    <t xml:space="preserve">9800</t>
  </si>
  <si>
    <r>
      <rPr>
        <sz val="11"/>
        <color theme="1"/>
        <rFont val="Linux Libertine G"/>
        <family val="2"/>
      </rPr>
      <t xml:space="preserve">有色金属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铝现货价格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</si>
  <si>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铝现货价格</t>
    </r>
  </si>
  <si>
    <t xml:space="preserve">20500</t>
  </si>
  <si>
    <r>
      <rPr>
        <sz val="11"/>
        <color theme="1"/>
        <rFont val="Linux Libertine G"/>
        <family val="2"/>
      </rPr>
      <t xml:space="preserve">有色金属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有色金属冶炼加工费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</si>
  <si>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有色金属冶炼加工费</t>
    </r>
  </si>
  <si>
    <t xml:space="preserve">+8</t>
  </si>
  <si>
    <r>
      <rPr>
        <sz val="11"/>
        <color theme="1"/>
        <rFont val="Linux Libertine G"/>
        <family val="2"/>
      </rPr>
      <t xml:space="preserve">有色金属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中国有色金属消费量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</si>
  <si>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中国有色金属消费量</t>
    </r>
  </si>
  <si>
    <t xml:space="preserve">中国有色金属工业协会</t>
  </si>
  <si>
    <t xml:space="preserve">+7.5</t>
  </si>
  <si>
    <r>
      <rPr>
        <sz val="11"/>
        <color theme="1"/>
        <rFont val="Linux Libertine G"/>
        <family val="2"/>
      </rPr>
      <t xml:space="preserve">有色金属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有色企业季度净利润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</si>
  <si>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有色企业季度净利润</t>
    </r>
  </si>
  <si>
    <t xml:space="preserve">180</t>
  </si>
  <si>
    <r>
      <rPr>
        <sz val="11"/>
        <color theme="1"/>
        <rFont val="Linux Libertine G"/>
        <family val="2"/>
      </rPr>
      <t xml:space="preserve">有色金属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有色金属库存周转天数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</si>
  <si>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有色金属库存周转天数</t>
    </r>
  </si>
  <si>
    <t xml:space="preserve">38</t>
  </si>
  <si>
    <r>
      <rPr>
        <sz val="11"/>
        <color theme="1"/>
        <rFont val="Linux Libertine G"/>
        <family val="2"/>
      </rPr>
      <t xml:space="preserve">有色金属</t>
    </r>
    <r>
      <rPr>
        <sz val="11"/>
        <color theme="1"/>
        <rFont val="Linux Libertine G"/>
        <family val="2"/>
        <charset val="1"/>
      </rPr>
      <t xml:space="preserve">|11-PPI</t>
    </r>
    <r>
      <rPr>
        <sz val="11"/>
        <color theme="1"/>
        <rFont val="Linux Libertine G"/>
        <family val="2"/>
      </rPr>
      <t xml:space="preserve">有色金属冶炼同比</t>
    </r>
  </si>
  <si>
    <r>
      <rPr>
        <sz val="11"/>
        <color theme="1"/>
        <rFont val="Linux Libertine G"/>
        <family val="2"/>
        <charset val="1"/>
      </rPr>
      <t xml:space="preserve">11-PPI</t>
    </r>
    <r>
      <rPr>
        <sz val="11"/>
        <color theme="1"/>
        <rFont val="Linux Libertine G"/>
        <family val="2"/>
      </rPr>
      <t xml:space="preserve">有色金属冶炼同比</t>
    </r>
  </si>
  <si>
    <r>
      <rPr>
        <sz val="11"/>
        <color theme="1"/>
        <rFont val="Linux Libertine G"/>
        <family val="2"/>
      </rPr>
      <t xml:space="preserve">电子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全球半导体销售额增速</t>
    </r>
  </si>
  <si>
    <t xml:space="preserve">电子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</si>
  <si>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全球半导体销售额增速</t>
    </r>
  </si>
  <si>
    <t xml:space="preserve">SIA/WSTS</t>
  </si>
  <si>
    <t xml:space="preserve">+18.5</t>
  </si>
  <si>
    <r>
      <rPr>
        <sz val="11"/>
        <color theme="1"/>
        <rFont val="Linux Libertine G"/>
        <family val="2"/>
      </rPr>
      <t xml:space="preserve">电子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存储芯片价格变化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</si>
  <si>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存储芯片价格变化</t>
    </r>
  </si>
  <si>
    <t xml:space="preserve">DRAMeXchange</t>
  </si>
  <si>
    <t xml:space="preserve">+22</t>
  </si>
  <si>
    <r>
      <rPr>
        <sz val="11"/>
        <color theme="1"/>
        <rFont val="Linux Libertine G"/>
        <family val="2"/>
      </rPr>
      <t xml:space="preserve">电子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硅片出货量增速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</si>
  <si>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硅片出货量增速</t>
    </r>
  </si>
  <si>
    <t xml:space="preserve">SEMI</t>
  </si>
  <si>
    <t xml:space="preserve">+15.2</t>
  </si>
  <si>
    <r>
      <rPr>
        <sz val="11"/>
        <color theme="1"/>
        <rFont val="Linux Libertine G"/>
        <family val="2"/>
      </rPr>
      <t xml:space="preserve">电子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设备商订单增速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</si>
  <si>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设备商订单增速</t>
    </r>
  </si>
  <si>
    <r>
      <rPr>
        <sz val="11"/>
        <color theme="1"/>
        <rFont val="Linux Libertine G"/>
        <family val="2"/>
      </rPr>
      <t xml:space="preserve">应用材料</t>
    </r>
    <r>
      <rPr>
        <sz val="11"/>
        <color theme="1"/>
        <rFont val="Linux Libertine G"/>
        <family val="2"/>
        <charset val="1"/>
      </rPr>
      <t xml:space="preserve">/ASML</t>
    </r>
    <r>
      <rPr>
        <sz val="11"/>
        <color theme="1"/>
        <rFont val="Linux Libertine G"/>
        <family val="2"/>
      </rPr>
      <t xml:space="preserve">财报</t>
    </r>
  </si>
  <si>
    <t xml:space="preserve">+28</t>
  </si>
  <si>
    <r>
      <rPr>
        <sz val="11"/>
        <color theme="1"/>
        <rFont val="Linux Libertine G"/>
        <family val="2"/>
      </rPr>
      <t xml:space="preserve">滚动</t>
    </r>
    <r>
      <rPr>
        <sz val="11"/>
        <color theme="1"/>
        <rFont val="Linux Libertine G"/>
        <family val="2"/>
        <charset val="1"/>
      </rPr>
      <t xml:space="preserve">3M/4Q</t>
    </r>
    <r>
      <rPr>
        <sz val="11"/>
        <color theme="1"/>
        <rFont val="Linux Libertine G"/>
        <family val="2"/>
      </rPr>
      <t xml:space="preserve">同比；以交付、收入或现金流确认，政策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规划单项权重≤</t>
    </r>
    <r>
      <rPr>
        <sz val="11"/>
        <color theme="1"/>
        <rFont val="Linux Libertine G"/>
        <family val="2"/>
        <charset val="1"/>
      </rPr>
      <t xml:space="preserve">8%</t>
    </r>
    <r>
      <rPr>
        <sz val="11"/>
        <color theme="1"/>
        <rFont val="Linux Libertine G"/>
        <family val="2"/>
      </rPr>
      <t xml:space="preserve">。</t>
    </r>
  </si>
  <si>
    <r>
      <rPr>
        <sz val="11"/>
        <color theme="1"/>
        <rFont val="Linux Libertine G"/>
        <family val="2"/>
      </rPr>
      <t xml:space="preserve">电子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下游客户库存周转天数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</si>
  <si>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下游客户库存周转天数</t>
    </r>
  </si>
  <si>
    <t xml:space="preserve">下游公司财报</t>
  </si>
  <si>
    <t xml:space="preserve">58</t>
  </si>
  <si>
    <r>
      <rPr>
        <sz val="11"/>
        <color theme="1"/>
        <rFont val="Linux Libertine G"/>
        <family val="2"/>
      </rPr>
      <t xml:space="preserve">电子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晶圆厂产能利用率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</si>
  <si>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晶圆厂产能利用率</t>
    </r>
  </si>
  <si>
    <r>
      <rPr>
        <sz val="11"/>
        <color theme="1"/>
        <rFont val="Linux Libertine G"/>
        <family val="2"/>
      </rPr>
      <t xml:space="preserve">台积电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中芯国际</t>
    </r>
  </si>
  <si>
    <t xml:space="preserve">88</t>
  </si>
  <si>
    <r>
      <rPr>
        <sz val="11"/>
        <color theme="1"/>
        <rFont val="Linux Libertine G"/>
        <family val="2"/>
      </rPr>
      <t xml:space="preserve">电子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智能手机出货量增速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</si>
  <si>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智能手机出货量增速</t>
    </r>
  </si>
  <si>
    <t xml:space="preserve">IDC/Counterpoint</t>
  </si>
  <si>
    <r>
      <rPr>
        <sz val="11"/>
        <color theme="1"/>
        <rFont val="Linux Libertine G"/>
        <family val="2"/>
      </rPr>
      <t xml:space="preserve">电子</t>
    </r>
    <r>
      <rPr>
        <sz val="11"/>
        <color theme="1"/>
        <rFont val="Linux Libertine G"/>
        <family val="2"/>
        <charset val="1"/>
      </rPr>
      <t xml:space="preserve">|8-PC</t>
    </r>
    <r>
      <rPr>
        <sz val="11"/>
        <color theme="1"/>
        <rFont val="Linux Libertine G"/>
        <family val="2"/>
      </rPr>
      <t xml:space="preserve">出货量增速</t>
    </r>
  </si>
  <si>
    <r>
      <rPr>
        <sz val="11"/>
        <color theme="1"/>
        <rFont val="Linux Libertine G"/>
        <family val="2"/>
        <charset val="1"/>
      </rPr>
      <t xml:space="preserve">8-PC</t>
    </r>
    <r>
      <rPr>
        <sz val="11"/>
        <color theme="1"/>
        <rFont val="Linux Libertine G"/>
        <family val="2"/>
      </rPr>
      <t xml:space="preserve">出货量增速</t>
    </r>
  </si>
  <si>
    <t xml:space="preserve">IDC/Gartner</t>
  </si>
  <si>
    <t xml:space="preserve">+3.2</t>
  </si>
  <si>
    <r>
      <rPr>
        <sz val="11"/>
        <color theme="1"/>
        <rFont val="Linux Libertine G"/>
        <family val="2"/>
      </rPr>
      <t xml:space="preserve">电子</t>
    </r>
    <r>
      <rPr>
        <sz val="11"/>
        <color theme="1"/>
        <rFont val="Linux Libertine G"/>
        <family val="2"/>
        <charset val="1"/>
      </rPr>
      <t xml:space="preserve">|9-MLCC</t>
    </r>
    <r>
      <rPr>
        <sz val="11"/>
        <color theme="1"/>
        <rFont val="Linux Libertine G"/>
        <family val="2"/>
      </rPr>
      <t xml:space="preserve">出货量</t>
    </r>
  </si>
  <si>
    <r>
      <rPr>
        <sz val="11"/>
        <color theme="1"/>
        <rFont val="Linux Libertine G"/>
        <family val="2"/>
        <charset val="1"/>
      </rPr>
      <t xml:space="preserve">9-MLCC</t>
    </r>
    <r>
      <rPr>
        <sz val="11"/>
        <color theme="1"/>
        <rFont val="Linux Libertine G"/>
        <family val="2"/>
      </rPr>
      <t xml:space="preserve">出货量</t>
    </r>
  </si>
  <si>
    <r>
      <rPr>
        <sz val="11"/>
        <color theme="1"/>
        <rFont val="Linux Libertine G"/>
        <family val="2"/>
      </rPr>
      <t xml:space="preserve">村田</t>
    </r>
    <r>
      <rPr>
        <sz val="11"/>
        <color theme="1"/>
        <rFont val="Linux Libertine G"/>
        <family val="2"/>
        <charset val="1"/>
      </rPr>
      <t xml:space="preserve">/TDK</t>
    </r>
  </si>
  <si>
    <t xml:space="preserve">480</t>
  </si>
  <si>
    <r>
      <rPr>
        <sz val="11"/>
        <color theme="1"/>
        <rFont val="Linux Libertine G"/>
        <family val="2"/>
      </rPr>
      <t xml:space="preserve">亿颗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月</t>
    </r>
  </si>
  <si>
    <r>
      <rPr>
        <sz val="11"/>
        <color theme="1"/>
        <rFont val="Linux Libertine G"/>
        <family val="2"/>
      </rPr>
      <t xml:space="preserve">电子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电子企业季度毛利率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</si>
  <si>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电子企业季度毛利率</t>
    </r>
  </si>
  <si>
    <t xml:space="preserve">28</t>
  </si>
  <si>
    <r>
      <rPr>
        <sz val="11"/>
        <color theme="1"/>
        <rFont val="Linux Libertine G"/>
        <family val="2"/>
      </rPr>
      <t xml:space="preserve">电子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电子行业固定资产投资增速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</si>
  <si>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电子行业固定资产投资增速</t>
    </r>
  </si>
  <si>
    <t xml:space="preserve">+12</t>
  </si>
  <si>
    <r>
      <rPr>
        <sz val="11"/>
        <color theme="1"/>
        <rFont val="Linux Libertine G"/>
        <family val="2"/>
      </rPr>
      <t xml:space="preserve">电子</t>
    </r>
    <r>
      <rPr>
        <sz val="11"/>
        <color theme="1"/>
        <rFont val="Linux Libertine G"/>
        <family val="2"/>
        <charset val="1"/>
      </rPr>
      <t xml:space="preserve">|12-</t>
    </r>
    <r>
      <rPr>
        <sz val="11"/>
        <color theme="1"/>
        <rFont val="Linux Libertine G"/>
        <family val="2"/>
      </rPr>
      <t xml:space="preserve">电子元器件进口金额增速</t>
    </r>
  </si>
  <si>
    <r>
      <rPr>
        <sz val="11"/>
        <color theme="1"/>
        <rFont val="Linux Libertine G"/>
        <family val="2"/>
        <charset val="1"/>
      </rPr>
      <t xml:space="preserve">12-</t>
    </r>
    <r>
      <rPr>
        <sz val="11"/>
        <color theme="1"/>
        <rFont val="Linux Libertine G"/>
        <family val="2"/>
      </rPr>
      <t xml:space="preserve">电子元器件进口金额增速</t>
    </r>
  </si>
  <si>
    <t xml:space="preserve">+15</t>
  </si>
  <si>
    <r>
      <rPr>
        <sz val="11"/>
        <color theme="1"/>
        <rFont val="Linux Libertine G"/>
        <family val="2"/>
      </rPr>
      <t xml:space="preserve">家用电器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房地产竣工面积增速</t>
    </r>
  </si>
  <si>
    <t xml:space="preserve">家用电器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</si>
  <si>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房地产竣工面积增速</t>
    </r>
  </si>
  <si>
    <t xml:space="preserve">-8.5</t>
  </si>
  <si>
    <r>
      <rPr>
        <sz val="11"/>
        <color theme="1"/>
        <rFont val="Linux Libertine G"/>
        <family val="2"/>
      </rPr>
      <t xml:space="preserve">家用电器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商品房销售面积增速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</si>
  <si>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商品房销售面积增速</t>
    </r>
  </si>
  <si>
    <t xml:space="preserve">-5.2</t>
  </si>
  <si>
    <r>
      <rPr>
        <sz val="11"/>
        <color theme="1"/>
        <rFont val="Linux Libertine G"/>
        <family val="2"/>
      </rPr>
      <t xml:space="preserve">家用电器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铜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钢等原材料价格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</si>
  <si>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铜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钢等原材料价格</t>
    </r>
  </si>
  <si>
    <r>
      <rPr>
        <sz val="11"/>
        <color theme="1"/>
        <rFont val="Linux Libertine G"/>
        <family val="2"/>
        <charset val="1"/>
      </rPr>
      <t xml:space="preserve">LME/</t>
    </r>
    <r>
      <rPr>
        <sz val="11"/>
        <color theme="1"/>
        <rFont val="Linux Libertine G"/>
        <family val="2"/>
      </rPr>
      <t xml:space="preserve">上海期货</t>
    </r>
  </si>
  <si>
    <t xml:space="preserve">-2.5</t>
  </si>
  <si>
    <r>
      <rPr>
        <sz val="11"/>
        <color theme="1"/>
        <rFont val="Linux Libertine G"/>
        <family val="2"/>
      </rPr>
      <t xml:space="preserve">家用电器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家电企业排产计划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</si>
  <si>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家电企业排产计划</t>
    </r>
  </si>
  <si>
    <t xml:space="preserve">产业在线</t>
  </si>
  <si>
    <r>
      <rPr>
        <sz val="11"/>
        <color theme="1"/>
        <rFont val="Linux Libertine G"/>
        <family val="2"/>
      </rPr>
      <t xml:space="preserve">家用电器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空调销量增速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</si>
  <si>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空调销量增速</t>
    </r>
  </si>
  <si>
    <r>
      <rPr>
        <sz val="11"/>
        <color theme="1"/>
        <rFont val="Linux Libertine G"/>
        <family val="2"/>
      </rPr>
      <t xml:space="preserve">家用电器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冰箱销量增速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</si>
  <si>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冰箱销量增速</t>
    </r>
  </si>
  <si>
    <t xml:space="preserve">+6.5</t>
  </si>
  <si>
    <r>
      <rPr>
        <sz val="11"/>
        <color theme="1"/>
        <rFont val="Linux Libertine G"/>
        <family val="2"/>
      </rPr>
      <t xml:space="preserve">家用电器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洗衣机销量增速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</si>
  <si>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洗衣机销量增速</t>
    </r>
  </si>
  <si>
    <t xml:space="preserve">+4.2</t>
  </si>
  <si>
    <r>
      <rPr>
        <sz val="11"/>
        <color theme="1"/>
        <rFont val="Linux Libertine G"/>
        <family val="2"/>
      </rPr>
      <t xml:space="preserve">家用电器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家电出口金额增速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</si>
  <si>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家电出口金额增速</t>
    </r>
  </si>
  <si>
    <r>
      <rPr>
        <sz val="11"/>
        <color theme="1"/>
        <rFont val="Linux Libertine G"/>
        <family val="2"/>
      </rPr>
      <t xml:space="preserve">家用电器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家电企业季度净利润率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</si>
  <si>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家电企业季度净利润率</t>
    </r>
  </si>
  <si>
    <t xml:space="preserve">8.5</t>
  </si>
  <si>
    <r>
      <rPr>
        <sz val="11"/>
        <color theme="1"/>
        <rFont val="Linux Libertine G"/>
        <family val="2"/>
      </rPr>
      <t xml:space="preserve">家用电器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家电行业库存周转天数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</si>
  <si>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家电行业库存周转天数</t>
    </r>
  </si>
  <si>
    <t xml:space="preserve">42</t>
  </si>
  <si>
    <r>
      <rPr>
        <sz val="11"/>
        <color theme="1"/>
        <rFont val="Linux Libertine G"/>
        <family val="2"/>
      </rPr>
      <t xml:space="preserve">家用电器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家电零售均价变化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</si>
  <si>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家电零售均价变化</t>
    </r>
  </si>
  <si>
    <t xml:space="preserve">奥维云网</t>
  </si>
  <si>
    <r>
      <rPr>
        <sz val="11"/>
        <color theme="1"/>
        <rFont val="Linux Libertine G"/>
        <family val="2"/>
      </rPr>
      <t xml:space="preserve">食品饮料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粮食价格变化</t>
    </r>
  </si>
  <si>
    <t xml:space="preserve">食品饮料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</si>
  <si>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粮食价格变化</t>
    </r>
  </si>
  <si>
    <t xml:space="preserve">+2.8</t>
  </si>
  <si>
    <r>
      <rPr>
        <sz val="11"/>
        <color theme="1"/>
        <rFont val="Linux Libertine G"/>
        <family val="2"/>
      </rPr>
      <t xml:space="preserve">食品饮料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包材价格变化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</si>
  <si>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包材价格变化</t>
    </r>
  </si>
  <si>
    <t xml:space="preserve">生意社</t>
  </si>
  <si>
    <t xml:space="preserve">-4.5</t>
  </si>
  <si>
    <r>
      <rPr>
        <sz val="11"/>
        <color theme="1"/>
        <rFont val="Linux Libertine G"/>
        <family val="2"/>
      </rPr>
      <t xml:space="preserve">食品饮料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消费者信心指数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</si>
  <si>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消费者信心指数</t>
    </r>
  </si>
  <si>
    <r>
      <rPr>
        <sz val="11"/>
        <color theme="1"/>
        <rFont val="Linux Libertine G"/>
        <family val="2"/>
      </rPr>
      <t xml:space="preserve">食品饮料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社会消费品零售总额增速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</si>
  <si>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社会消费品零售总额增速</t>
    </r>
  </si>
  <si>
    <t xml:space="preserve">+5.2</t>
  </si>
  <si>
    <r>
      <rPr>
        <sz val="11"/>
        <color theme="1"/>
        <rFont val="Linux Libertine G"/>
        <family val="2"/>
      </rPr>
      <t xml:space="preserve">食品饮料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白酒批价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</si>
  <si>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白酒批价</t>
    </r>
  </si>
  <si>
    <t xml:space="preserve">今日酒价</t>
  </si>
  <si>
    <t xml:space="preserve">2650</t>
  </si>
  <si>
    <r>
      <rPr>
        <sz val="11"/>
        <color theme="1"/>
        <rFont val="Linux Libertine G"/>
        <family val="2"/>
      </rPr>
      <t xml:space="preserve">元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瓶</t>
    </r>
  </si>
  <si>
    <r>
      <rPr>
        <sz val="11"/>
        <color theme="1"/>
        <rFont val="Linux Libertine G"/>
        <family val="2"/>
      </rPr>
      <t xml:space="preserve">食品饮料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乳制品产量增速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</si>
  <si>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乳制品产量增速</t>
    </r>
  </si>
  <si>
    <r>
      <rPr>
        <sz val="11"/>
        <color theme="1"/>
        <rFont val="Linux Libertine G"/>
        <family val="2"/>
      </rPr>
      <t xml:space="preserve">食品饮料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啤酒产量增速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</si>
  <si>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啤酒产量增速</t>
    </r>
  </si>
  <si>
    <r>
      <rPr>
        <sz val="11"/>
        <color theme="1"/>
        <rFont val="Linux Libertine G"/>
        <family val="2"/>
      </rPr>
      <t xml:space="preserve">食品饮料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调味品产量增速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</si>
  <si>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调味品产量增速</t>
    </r>
  </si>
  <si>
    <t xml:space="preserve">中国调味品协会</t>
  </si>
  <si>
    <r>
      <rPr>
        <sz val="11"/>
        <color theme="1"/>
        <rFont val="Linux Libertine G"/>
        <family val="2"/>
      </rPr>
      <t xml:space="preserve">食品饮料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食品饮料企业季度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</si>
  <si>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食品饮料企业季度</t>
    </r>
    <r>
      <rPr>
        <sz val="11"/>
        <color theme="1"/>
        <rFont val="Linux Libertine G"/>
        <family val="2"/>
        <charset val="1"/>
      </rPr>
      <t xml:space="preserve">ROE</t>
    </r>
  </si>
  <si>
    <t xml:space="preserve">16</t>
  </si>
  <si>
    <r>
      <rPr>
        <sz val="11"/>
        <color theme="1"/>
        <rFont val="Linux Libertine G"/>
        <family val="2"/>
      </rPr>
      <t xml:space="preserve">食品饮料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食品饮料行业毛利率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</si>
  <si>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食品饮料行业毛利率</t>
    </r>
  </si>
  <si>
    <t xml:space="preserve">48</t>
  </si>
  <si>
    <r>
      <rPr>
        <sz val="11"/>
        <color theme="1"/>
        <rFont val="Linux Libertine G"/>
        <family val="2"/>
      </rPr>
      <t xml:space="preserve">食品饮料</t>
    </r>
    <r>
      <rPr>
        <sz val="11"/>
        <color theme="1"/>
        <rFont val="Linux Libertine G"/>
        <family val="2"/>
        <charset val="1"/>
      </rPr>
      <t xml:space="preserve">|11-CPI</t>
    </r>
    <r>
      <rPr>
        <sz val="11"/>
        <color theme="1"/>
        <rFont val="Linux Libertine G"/>
        <family val="2"/>
      </rPr>
      <t xml:space="preserve">非食品项同比</t>
    </r>
  </si>
  <si>
    <r>
      <rPr>
        <sz val="11"/>
        <color theme="1"/>
        <rFont val="Linux Libertine G"/>
        <family val="2"/>
        <charset val="1"/>
      </rPr>
      <t xml:space="preserve">11-CPI</t>
    </r>
    <r>
      <rPr>
        <sz val="11"/>
        <color theme="1"/>
        <rFont val="Linux Libertine G"/>
        <family val="2"/>
      </rPr>
      <t xml:space="preserve">非食品项同比</t>
    </r>
  </si>
  <si>
    <r>
      <rPr>
        <sz val="11"/>
        <color theme="1"/>
        <rFont val="Linux Libertine G"/>
        <family val="2"/>
      </rPr>
      <t xml:space="preserve">纺织服饰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棉花价格变化</t>
    </r>
  </si>
  <si>
    <t xml:space="preserve">纺织服饰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</si>
  <si>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棉花价格变化</t>
    </r>
  </si>
  <si>
    <r>
      <rPr>
        <sz val="11"/>
        <color theme="1"/>
        <rFont val="Linux Libertine G"/>
        <family val="2"/>
      </rPr>
      <t xml:space="preserve">郑商所</t>
    </r>
    <r>
      <rPr>
        <sz val="11"/>
        <color theme="1"/>
        <rFont val="Linux Libertine G"/>
        <family val="2"/>
        <charset val="1"/>
      </rPr>
      <t xml:space="preserve">/ICE</t>
    </r>
  </si>
  <si>
    <r>
      <rPr>
        <sz val="11"/>
        <color theme="1"/>
        <rFont val="Linux Libertine G"/>
        <family val="2"/>
      </rPr>
      <t xml:space="preserve">纺织服饰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化纤价格变化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</si>
  <si>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化纤价格变化</t>
    </r>
  </si>
  <si>
    <t xml:space="preserve">CCFEI</t>
  </si>
  <si>
    <t xml:space="preserve">-3.8</t>
  </si>
  <si>
    <r>
      <rPr>
        <sz val="11"/>
        <color theme="1"/>
        <rFont val="Linux Libertine G"/>
        <family val="2"/>
      </rPr>
      <t xml:space="preserve">纺织服饰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美国服装零售库存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</si>
  <si>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美国服装零售库存</t>
    </r>
  </si>
  <si>
    <t xml:space="preserve">美国商务部</t>
  </si>
  <si>
    <r>
      <rPr>
        <sz val="11"/>
        <color theme="1"/>
        <rFont val="Linux Libertine G"/>
        <family val="2"/>
      </rPr>
      <t xml:space="preserve">纺织服饰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人民币汇率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</si>
  <si>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人民币汇率</t>
    </r>
  </si>
  <si>
    <t xml:space="preserve">中国外汇交易中心</t>
  </si>
  <si>
    <t xml:space="preserve">7.18</t>
  </si>
  <si>
    <r>
      <rPr>
        <sz val="11"/>
        <color theme="1"/>
        <rFont val="Linux Libertine G"/>
        <family val="2"/>
      </rPr>
      <t xml:space="preserve">纺织服饰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纺织品出口金额增速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</si>
  <si>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纺织品出口金额增速</t>
    </r>
  </si>
  <si>
    <r>
      <rPr>
        <sz val="11"/>
        <color theme="1"/>
        <rFont val="Linux Libertine G"/>
        <family val="2"/>
      </rPr>
      <t xml:space="preserve">纺织服饰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服装出口金额增速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</si>
  <si>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服装出口金额增速</t>
    </r>
  </si>
  <si>
    <t xml:space="preserve">+6.2</t>
  </si>
  <si>
    <r>
      <rPr>
        <sz val="11"/>
        <color theme="1"/>
        <rFont val="Linux Libertine G"/>
        <family val="2"/>
      </rPr>
      <t xml:space="preserve">纺织服饰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柯桥纺织价格指数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</si>
  <si>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柯桥纺织价格指数</t>
    </r>
  </si>
  <si>
    <t xml:space="preserve">柯桥指数</t>
  </si>
  <si>
    <t xml:space="preserve">104</t>
  </si>
  <si>
    <r>
      <rPr>
        <sz val="11"/>
        <color theme="1"/>
        <rFont val="Linux Libertine G"/>
        <family val="2"/>
      </rPr>
      <t xml:space="preserve">纺织服饰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纺服企业开工率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</si>
  <si>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纺服企业开工率</t>
    </r>
  </si>
  <si>
    <t xml:space="preserve">中国纺织工业联合会</t>
  </si>
  <si>
    <t xml:space="preserve">78</t>
  </si>
  <si>
    <r>
      <rPr>
        <sz val="11"/>
        <color theme="1"/>
        <rFont val="Linux Libertine G"/>
        <family val="2"/>
      </rPr>
      <t xml:space="preserve">纺织服饰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纺服企业季度净利润率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</si>
  <si>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纺服企业季度净利润率</t>
    </r>
  </si>
  <si>
    <t xml:space="preserve">5.5</t>
  </si>
  <si>
    <r>
      <rPr>
        <sz val="11"/>
        <color theme="1"/>
        <rFont val="Linux Libertine G"/>
        <family val="2"/>
      </rPr>
      <t xml:space="preserve">纺织服饰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纺服行业库存周转天数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</si>
  <si>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纺服行业库存周转天数</t>
    </r>
  </si>
  <si>
    <t xml:space="preserve">68</t>
  </si>
  <si>
    <r>
      <rPr>
        <sz val="11"/>
        <color theme="1"/>
        <rFont val="Linux Libertine G"/>
        <family val="2"/>
      </rPr>
      <t xml:space="preserve">纺织服饰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社会消费品零售</t>
    </r>
    <r>
      <rPr>
        <sz val="11"/>
        <color theme="1"/>
        <rFont val="Linux Libertine G"/>
        <family val="2"/>
        <charset val="1"/>
      </rPr>
      <t xml:space="preserve">-</t>
    </r>
    <r>
      <rPr>
        <sz val="11"/>
        <color theme="1"/>
        <rFont val="Linux Libertine G"/>
        <family val="2"/>
      </rPr>
      <t xml:space="preserve">服装类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</si>
  <si>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社会消费品零售</t>
    </r>
    <r>
      <rPr>
        <sz val="11"/>
        <color theme="1"/>
        <rFont val="Linux Libertine G"/>
        <family val="2"/>
        <charset val="1"/>
      </rPr>
      <t xml:space="preserve">-</t>
    </r>
    <r>
      <rPr>
        <sz val="11"/>
        <color theme="1"/>
        <rFont val="Linux Libertine G"/>
        <family val="2"/>
      </rPr>
      <t xml:space="preserve">服装类</t>
    </r>
  </si>
  <si>
    <t xml:space="preserve">+3.8</t>
  </si>
  <si>
    <r>
      <rPr>
        <sz val="11"/>
        <color theme="1"/>
        <rFont val="Linux Libertine G"/>
        <family val="2"/>
      </rPr>
      <t xml:space="preserve">轻工制造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纸浆价格变化</t>
    </r>
  </si>
  <si>
    <t xml:space="preserve">轻工制造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</si>
  <si>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纸浆价格变化</t>
    </r>
  </si>
  <si>
    <r>
      <rPr>
        <sz val="11"/>
        <color theme="1"/>
        <rFont val="Linux Libertine G"/>
        <family val="2"/>
      </rPr>
      <t xml:space="preserve">针叶浆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阔叶浆</t>
    </r>
  </si>
  <si>
    <r>
      <rPr>
        <sz val="11"/>
        <color theme="1"/>
        <rFont val="Linux Libertine G"/>
        <family val="2"/>
      </rPr>
      <t xml:space="preserve">轻工制造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木材价格变化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</si>
  <si>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木材价格变化</t>
    </r>
  </si>
  <si>
    <t xml:space="preserve">木材指数</t>
  </si>
  <si>
    <r>
      <rPr>
        <sz val="11"/>
        <color theme="1"/>
        <rFont val="Linux Libertine G"/>
        <family val="2"/>
      </rPr>
      <t xml:space="preserve">轻工制造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房地产竣工面积增速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</si>
  <si>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房地产竣工面积增速</t>
    </r>
  </si>
  <si>
    <r>
      <rPr>
        <sz val="11"/>
        <color theme="1"/>
        <rFont val="Linux Libertine G"/>
        <family val="2"/>
      </rPr>
      <t xml:space="preserve">轻工制造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美国新房销售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</si>
  <si>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美国新房销售</t>
    </r>
  </si>
  <si>
    <r>
      <rPr>
        <sz val="11"/>
        <color theme="1"/>
        <rFont val="Linux Libertine G"/>
        <family val="2"/>
      </rPr>
      <t xml:space="preserve">轻工制造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瓦楞纸价格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</si>
  <si>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瓦楞纸价格</t>
    </r>
  </si>
  <si>
    <t xml:space="preserve">2800</t>
  </si>
  <si>
    <r>
      <rPr>
        <sz val="11"/>
        <color theme="1"/>
        <rFont val="Linux Libertine G"/>
        <family val="2"/>
      </rPr>
      <t xml:space="preserve">轻工制造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双胶纸价格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</si>
  <si>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双胶纸价格</t>
    </r>
  </si>
  <si>
    <t xml:space="preserve">5200</t>
  </si>
  <si>
    <r>
      <rPr>
        <sz val="11"/>
        <color theme="1"/>
        <rFont val="Linux Libertine G"/>
        <family val="2"/>
      </rPr>
      <t xml:space="preserve">轻工制造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家具零售额增速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</si>
  <si>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家具零售额增速</t>
    </r>
  </si>
  <si>
    <t xml:space="preserve">+1.5</t>
  </si>
  <si>
    <r>
      <rPr>
        <sz val="11"/>
        <color theme="1"/>
        <rFont val="Linux Libertine G"/>
        <family val="2"/>
      </rPr>
      <t xml:space="preserve">轻工制造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造纸企业开工率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</si>
  <si>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造纸企业开工率</t>
    </r>
  </si>
  <si>
    <r>
      <rPr>
        <sz val="11"/>
        <color theme="1"/>
        <rFont val="Linux Libertine G"/>
        <family val="2"/>
      </rPr>
      <t xml:space="preserve">轻工制造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轻工企业季度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</si>
  <si>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轻工企业季度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</si>
  <si>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</rPr>
      <t xml:space="preserve">轻工制造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轻工行业库存周转天数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</si>
  <si>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轻工行业库存周转天数</t>
    </r>
  </si>
  <si>
    <r>
      <rPr>
        <sz val="11"/>
        <color theme="1"/>
        <rFont val="Linux Libertine G"/>
        <family val="2"/>
      </rPr>
      <t xml:space="preserve">轻工制造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轻工行业固定资产投资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</si>
  <si>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轻工行业固定资产投资</t>
    </r>
  </si>
  <si>
    <r>
      <rPr>
        <sz val="11"/>
        <color theme="1"/>
        <rFont val="Linux Libertine G"/>
        <family val="2"/>
      </rPr>
      <t xml:space="preserve">医药生物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IND</t>
    </r>
    <r>
      <rPr>
        <sz val="11"/>
        <color theme="1"/>
        <rFont val="Linux Libertine G"/>
        <family val="2"/>
      </rPr>
      <t xml:space="preserve">数量</t>
    </r>
  </si>
  <si>
    <t xml:space="preserve">医药生物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</si>
  <si>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IND</t>
    </r>
    <r>
      <rPr>
        <sz val="11"/>
        <color theme="1"/>
        <rFont val="Linux Libertine G"/>
        <family val="2"/>
      </rPr>
      <t xml:space="preserve">数量</t>
    </r>
  </si>
  <si>
    <t xml:space="preserve">CDE</t>
  </si>
  <si>
    <t xml:space="preserve">185</t>
  </si>
  <si>
    <r>
      <rPr>
        <sz val="11"/>
        <color theme="1"/>
        <rFont val="Linux Libertine G"/>
        <family val="2"/>
      </rPr>
      <t xml:space="preserve">个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月</t>
    </r>
  </si>
  <si>
    <r>
      <rPr>
        <sz val="11"/>
        <color theme="1"/>
        <rFont val="Linux Libertine G"/>
        <family val="2"/>
      </rPr>
      <t xml:space="preserve">医药生物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医保谈判降价幅度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</si>
  <si>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医保谈判降价幅度</t>
    </r>
  </si>
  <si>
    <t xml:space="preserve">国家医保局</t>
  </si>
  <si>
    <t xml:space="preserve">45</t>
  </si>
  <si>
    <r>
      <rPr>
        <sz val="11"/>
        <color theme="1"/>
        <rFont val="Linux Libertine G"/>
        <family val="2"/>
      </rPr>
      <t xml:space="preserve">医药生物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原料药价格变化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</si>
  <si>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原料药价格变化</t>
    </r>
  </si>
  <si>
    <t xml:space="preserve">健康网</t>
  </si>
  <si>
    <r>
      <rPr>
        <sz val="11"/>
        <color theme="1"/>
        <rFont val="Linux Libertine G"/>
        <family val="2"/>
      </rPr>
      <t xml:space="preserve">医药生物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全球生物医药融资额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</si>
  <si>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全球生物医药融资额</t>
    </r>
  </si>
  <si>
    <t xml:space="preserve">PitchBook</t>
  </si>
  <si>
    <r>
      <rPr>
        <sz val="11"/>
        <color theme="1"/>
        <rFont val="Linux Libertine G"/>
        <family val="2"/>
      </rPr>
      <t xml:space="preserve">医药生物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医药制造业收入增速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</si>
  <si>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医药制造业收入增速</t>
    </r>
  </si>
  <si>
    <r>
      <rPr>
        <sz val="11"/>
        <color theme="1"/>
        <rFont val="Linux Libertine G"/>
        <family val="2"/>
      </rPr>
      <t xml:space="preserve">医药生物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化学药品原药产量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</si>
  <si>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化学药品原药产量</t>
    </r>
  </si>
  <si>
    <r>
      <rPr>
        <sz val="11"/>
        <color theme="1"/>
        <rFont val="Linux Libertine G"/>
        <family val="2"/>
      </rPr>
      <t xml:space="preserve">医药生物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医疗器械出口增速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</si>
  <si>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医疗器械出口增速</t>
    </r>
  </si>
  <si>
    <r>
      <rPr>
        <sz val="11"/>
        <color theme="1"/>
        <rFont val="Linux Libertine G"/>
        <family val="2"/>
      </rPr>
      <t xml:space="preserve">医药生物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医院诊疗人次增速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</si>
  <si>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医院诊疗人次增速</t>
    </r>
  </si>
  <si>
    <t xml:space="preserve">国家卫健委</t>
  </si>
  <si>
    <r>
      <rPr>
        <sz val="11"/>
        <color theme="1"/>
        <rFont val="Linux Libertine G"/>
        <family val="2"/>
      </rPr>
      <t xml:space="preserve">医药生物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医药企业季度毛利率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</si>
  <si>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医药企业季度毛利率</t>
    </r>
  </si>
  <si>
    <r>
      <rPr>
        <sz val="11"/>
        <color theme="1"/>
        <rFont val="Linux Libertine G"/>
        <family val="2"/>
      </rPr>
      <t xml:space="preserve">医药生物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医药企业研发费用率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</si>
  <si>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医药企业研发费用率</t>
    </r>
  </si>
  <si>
    <t xml:space="preserve">12</t>
  </si>
  <si>
    <r>
      <rPr>
        <sz val="11"/>
        <color theme="1"/>
        <rFont val="Linux Libertine G"/>
        <family val="2"/>
      </rPr>
      <t xml:space="preserve">医药生物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医药制造业利润增速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</si>
  <si>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医药制造业利润增速</t>
    </r>
  </si>
  <si>
    <r>
      <rPr>
        <sz val="11"/>
        <color theme="1"/>
        <rFont val="Linux Libertine G"/>
        <family val="2"/>
      </rPr>
      <t xml:space="preserve">公用事业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动力煤价格变化</t>
    </r>
  </si>
  <si>
    <t xml:space="preserve">公用事业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</si>
  <si>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动力煤价格变化</t>
    </r>
  </si>
  <si>
    <r>
      <rPr>
        <sz val="11"/>
        <color theme="1"/>
        <rFont val="Linux Libertine G"/>
        <family val="2"/>
      </rPr>
      <t xml:space="preserve">公用事业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天然气进口价格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</si>
  <si>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天然气进口价格</t>
    </r>
  </si>
  <si>
    <t xml:space="preserve">-5.5</t>
  </si>
  <si>
    <r>
      <rPr>
        <sz val="11"/>
        <color theme="1"/>
        <rFont val="Linux Libertine G"/>
        <family val="2"/>
      </rPr>
      <t xml:space="preserve">公用事业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来水情况</t>
    </r>
    <r>
      <rPr>
        <sz val="11"/>
        <color theme="1"/>
        <rFont val="Linux Libertine G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三峡出库流量</t>
    </r>
    <r>
      <rPr>
        <sz val="11"/>
        <color theme="1"/>
        <rFont val="Linux Libertine G"/>
        <family val="2"/>
        <charset val="1"/>
      </rPr>
      <t xml:space="preserve">)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</si>
  <si>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来水情况</t>
    </r>
    <r>
      <rPr>
        <sz val="11"/>
        <color theme="1"/>
        <rFont val="Linux Libertine G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三峡出库流量</t>
    </r>
    <r>
      <rPr>
        <sz val="11"/>
        <color theme="1"/>
        <rFont val="Linux Libertine G"/>
        <family val="2"/>
        <charset val="1"/>
      </rPr>
      <t xml:space="preserve">)</t>
    </r>
  </si>
  <si>
    <t xml:space="preserve">长江水利委员会</t>
  </si>
  <si>
    <t xml:space="preserve">18500</t>
  </si>
  <si>
    <t xml:space="preserve">m³/s</t>
  </si>
  <si>
    <r>
      <rPr>
        <sz val="11"/>
        <color theme="1"/>
        <rFont val="Linux Libertine G"/>
        <family val="2"/>
      </rPr>
      <t xml:space="preserve">公用事业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新能源装机规划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</si>
  <si>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新能源装机规划</t>
    </r>
  </si>
  <si>
    <t xml:space="preserve">国家能源局</t>
  </si>
  <si>
    <t xml:space="preserve">120</t>
  </si>
  <si>
    <t xml:space="preserve">GW</t>
  </si>
  <si>
    <r>
      <rPr>
        <sz val="11"/>
        <color theme="1"/>
        <rFont val="Linux Libertine G"/>
        <family val="2"/>
      </rPr>
      <t xml:space="preserve">公用事业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全社会用电量增速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</si>
  <si>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全社会用电量增速</t>
    </r>
  </si>
  <si>
    <r>
      <rPr>
        <sz val="11"/>
        <color theme="1"/>
        <rFont val="Linux Libertine G"/>
        <family val="2"/>
      </rPr>
      <t xml:space="preserve">公用事业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火电利用小时数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</si>
  <si>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火电利用小时数</t>
    </r>
  </si>
  <si>
    <t xml:space="preserve">1180</t>
  </si>
  <si>
    <r>
      <rPr>
        <sz val="11"/>
        <color theme="1"/>
        <rFont val="Linux Libertine G"/>
        <family val="2"/>
      </rPr>
      <t xml:space="preserve">小时</t>
    </r>
    <r>
      <rPr>
        <sz val="11"/>
        <color theme="1"/>
        <rFont val="Linux Libertine G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累计</t>
    </r>
    <r>
      <rPr>
        <sz val="11"/>
        <color theme="1"/>
        <rFont val="Linux Libertine G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</si>
  <si>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公用事业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水电利用小时数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</si>
  <si>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水电利用小时数</t>
    </r>
  </si>
  <si>
    <t xml:space="preserve">980</t>
  </si>
  <si>
    <r>
      <rPr>
        <sz val="11"/>
        <color theme="1"/>
        <rFont val="Linux Libertine G"/>
        <family val="2"/>
      </rPr>
      <t xml:space="preserve">公用事业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光伏利用小时数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</si>
  <si>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光伏利用小时数</t>
    </r>
  </si>
  <si>
    <r>
      <rPr>
        <sz val="11"/>
        <color theme="1"/>
        <rFont val="Linux Libertine G"/>
        <family val="2"/>
      </rPr>
      <t xml:space="preserve">公用事业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电力企业季度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</si>
  <si>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电力企业季度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</si>
  <si>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</rPr>
      <t xml:space="preserve">公用事业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电力行业资产负债率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</si>
  <si>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电力行业资产负债率</t>
    </r>
  </si>
  <si>
    <t xml:space="preserve">62</t>
  </si>
  <si>
    <r>
      <rPr>
        <sz val="11"/>
        <color theme="1"/>
        <rFont val="Linux Libertine G"/>
        <family val="2"/>
      </rPr>
      <t xml:space="preserve">公用事业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电力行业固定资产投资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</si>
  <si>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电力行业固定资产投资</t>
    </r>
  </si>
  <si>
    <r>
      <rPr>
        <sz val="11"/>
        <color theme="1"/>
        <rFont val="Linux Libertine G"/>
        <family val="2"/>
      </rPr>
      <t xml:space="preserve">交通运输</t>
    </r>
    <r>
      <rPr>
        <sz val="11"/>
        <color theme="1"/>
        <rFont val="Linux Libertine G"/>
        <family val="2"/>
        <charset val="1"/>
      </rPr>
      <t xml:space="preserve">|1-BDI</t>
    </r>
    <r>
      <rPr>
        <sz val="11"/>
        <color theme="1"/>
        <rFont val="Linux Libertine G"/>
        <family val="2"/>
      </rPr>
      <t xml:space="preserve">指数</t>
    </r>
  </si>
  <si>
    <t xml:space="preserve">交通运输</t>
  </si>
  <si>
    <r>
      <rPr>
        <sz val="11"/>
        <color theme="1"/>
        <rFont val="Linux Libertine G"/>
        <family val="2"/>
        <charset val="1"/>
      </rPr>
      <t xml:space="preserve">1-BDI</t>
    </r>
    <r>
      <rPr>
        <sz val="11"/>
        <color theme="1"/>
        <rFont val="Linux Libertine G"/>
        <family val="2"/>
      </rPr>
      <t xml:space="preserve">指数</t>
    </r>
  </si>
  <si>
    <t xml:space="preserve">波罗的海交易所</t>
  </si>
  <si>
    <t xml:space="preserve">1850</t>
  </si>
  <si>
    <r>
      <rPr>
        <sz val="11"/>
        <color theme="1"/>
        <rFont val="Linux Libertine G"/>
        <family val="2"/>
      </rPr>
      <t xml:space="preserve">交通运输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原油运输指数</t>
    </r>
    <r>
      <rPr>
        <sz val="11"/>
        <color theme="1"/>
        <rFont val="Linux Libertine G"/>
        <family val="2"/>
        <charset val="1"/>
      </rPr>
      <t xml:space="preserve">(BDTI)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</si>
  <si>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原油运输指数</t>
    </r>
    <r>
      <rPr>
        <sz val="11"/>
        <color theme="1"/>
        <rFont val="Linux Libertine G"/>
        <family val="2"/>
        <charset val="1"/>
      </rPr>
      <t xml:space="preserve">(BDTI)</t>
    </r>
  </si>
  <si>
    <t xml:space="preserve">1150</t>
  </si>
  <si>
    <r>
      <rPr>
        <sz val="11"/>
        <color theme="1"/>
        <rFont val="Linux Libertine G"/>
        <family val="2"/>
      </rPr>
      <t xml:space="preserve">交通运输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集装箱运价指数</t>
    </r>
    <r>
      <rPr>
        <sz val="11"/>
        <color theme="1"/>
        <rFont val="Linux Libertine G"/>
        <family val="2"/>
        <charset val="1"/>
      </rPr>
      <t xml:space="preserve">(CCFI)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</si>
  <si>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集装箱运价指数</t>
    </r>
    <r>
      <rPr>
        <sz val="11"/>
        <color theme="1"/>
        <rFont val="Linux Libertine G"/>
        <family val="2"/>
        <charset val="1"/>
      </rPr>
      <t xml:space="preserve">(CCFI)</t>
    </r>
  </si>
  <si>
    <t xml:space="preserve">上海航运交易所</t>
  </si>
  <si>
    <t xml:space="preserve">1250</t>
  </si>
  <si>
    <r>
      <rPr>
        <sz val="11"/>
        <color theme="1"/>
        <rFont val="Linux Libertine G"/>
        <family val="2"/>
      </rPr>
      <t xml:space="preserve">交通运输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航空煤油价格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</si>
  <si>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航空煤油价格</t>
    </r>
  </si>
  <si>
    <t xml:space="preserve">IATA</t>
  </si>
  <si>
    <r>
      <rPr>
        <sz val="11"/>
        <color theme="1"/>
        <rFont val="Linux Libertine G"/>
        <family val="2"/>
      </rPr>
      <t xml:space="preserve">交通运输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港口货物吞吐量增速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</si>
  <si>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港口货物吞吐量增速</t>
    </r>
  </si>
  <si>
    <t xml:space="preserve">交通运输部</t>
  </si>
  <si>
    <t xml:space="preserve">+5.5</t>
  </si>
  <si>
    <r>
      <rPr>
        <sz val="11"/>
        <color theme="1"/>
        <rFont val="Linux Libertine G"/>
        <family val="2"/>
      </rPr>
      <t xml:space="preserve">交通运输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民航客运量增速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</si>
  <si>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民航客运量增速</t>
    </r>
  </si>
  <si>
    <t xml:space="preserve">民航局</t>
  </si>
  <si>
    <t xml:space="preserve">+16.5</t>
  </si>
  <si>
    <r>
      <rPr>
        <sz val="11"/>
        <color theme="1"/>
        <rFont val="Linux Libertine G"/>
        <family val="2"/>
      </rPr>
      <t xml:space="preserve">交通运输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铁路货运量增速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</si>
  <si>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铁路货运量增速</t>
    </r>
  </si>
  <si>
    <t xml:space="preserve">国铁集团</t>
  </si>
  <si>
    <t xml:space="preserve">+4.5</t>
  </si>
  <si>
    <r>
      <rPr>
        <sz val="11"/>
        <color theme="1"/>
        <rFont val="Linux Libertine G"/>
        <family val="2"/>
      </rPr>
      <t xml:space="preserve">交通运输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快递业务量增速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</si>
  <si>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快递业务量增速</t>
    </r>
  </si>
  <si>
    <t xml:space="preserve">国家邮政局</t>
  </si>
  <si>
    <r>
      <rPr>
        <sz val="11"/>
        <color theme="1"/>
        <rFont val="Linux Libertine G"/>
        <family val="2"/>
      </rPr>
      <t xml:space="preserve">交通运输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交运企业季度净利润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</si>
  <si>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交运企业季度净利润</t>
    </r>
  </si>
  <si>
    <t xml:space="preserve">85</t>
  </si>
  <si>
    <r>
      <rPr>
        <sz val="11"/>
        <color theme="1"/>
        <rFont val="Linux Libertine G"/>
        <family val="2"/>
      </rPr>
      <t xml:space="preserve">交通运输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交运行业资产负债率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</si>
  <si>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交运行业资产负债率</t>
    </r>
  </si>
  <si>
    <r>
      <rPr>
        <sz val="11"/>
        <color theme="1"/>
        <rFont val="Linux Libertine G"/>
        <family val="2"/>
      </rPr>
      <t xml:space="preserve">交通运输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交运行业固定资产投资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</si>
  <si>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交运行业固定资产投资</t>
    </r>
  </si>
  <si>
    <r>
      <rPr>
        <sz val="11"/>
        <color theme="1"/>
        <rFont val="Linux Libertine G"/>
        <family val="2"/>
      </rPr>
      <t xml:space="preserve">房地产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百城土地成交面积增速</t>
    </r>
  </si>
  <si>
    <t xml:space="preserve">房地产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</si>
  <si>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百城土地成交面积增速</t>
    </r>
  </si>
  <si>
    <t xml:space="preserve">中指院</t>
  </si>
  <si>
    <t xml:space="preserve">-15</t>
  </si>
  <si>
    <r>
      <rPr>
        <sz val="11"/>
        <color theme="1"/>
        <rFont val="Linux Libertine G"/>
        <family val="2"/>
      </rPr>
      <t xml:space="preserve">房地产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房企拿地金额增速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</si>
  <si>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房企拿地金额增速</t>
    </r>
  </si>
  <si>
    <t xml:space="preserve">-18</t>
  </si>
  <si>
    <r>
      <rPr>
        <sz val="11"/>
        <color theme="1"/>
        <rFont val="Linux Libertine G"/>
        <family val="2"/>
      </rPr>
      <t xml:space="preserve">房地产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房贷利率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</si>
  <si>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房贷利率</t>
    </r>
  </si>
  <si>
    <t xml:space="preserve">央行</t>
  </si>
  <si>
    <t xml:space="preserve">3.45</t>
  </si>
  <si>
    <r>
      <rPr>
        <sz val="11"/>
        <color theme="1"/>
        <rFont val="Linux Libertine G"/>
        <family val="2"/>
      </rPr>
      <t xml:space="preserve">房地产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房地产信托发行规模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</si>
  <si>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房地产信托发行规模</t>
    </r>
  </si>
  <si>
    <t xml:space="preserve">用益信托</t>
  </si>
  <si>
    <t xml:space="preserve">-25</t>
  </si>
  <si>
    <r>
      <rPr>
        <sz val="11"/>
        <color theme="1"/>
        <rFont val="Linux Libertine G"/>
        <family val="2"/>
      </rPr>
      <t xml:space="preserve">房地产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商品房销售面积增速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</si>
  <si>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商品房销售面积增速</t>
    </r>
  </si>
  <si>
    <r>
      <rPr>
        <sz val="11"/>
        <color theme="1"/>
        <rFont val="Linux Libertine G"/>
        <family val="2"/>
      </rPr>
      <t xml:space="preserve">房地产</t>
    </r>
    <r>
      <rPr>
        <sz val="11"/>
        <color theme="1"/>
        <rFont val="Linux Libertine G"/>
        <family val="2"/>
        <charset val="1"/>
      </rPr>
      <t xml:space="preserve">|6-70</t>
    </r>
    <r>
      <rPr>
        <sz val="11"/>
        <color theme="1"/>
        <rFont val="Linux Libertine G"/>
        <family val="2"/>
      </rPr>
      <t xml:space="preserve">城新建商品住宅价格指数</t>
    </r>
  </si>
  <si>
    <r>
      <rPr>
        <sz val="11"/>
        <color theme="1"/>
        <rFont val="Linux Libertine G"/>
        <family val="2"/>
        <charset val="1"/>
      </rPr>
      <t xml:space="preserve">6-70</t>
    </r>
    <r>
      <rPr>
        <sz val="11"/>
        <color theme="1"/>
        <rFont val="Linux Libertine G"/>
        <family val="2"/>
      </rPr>
      <t xml:space="preserve">城新建商品住宅价格指数</t>
    </r>
  </si>
  <si>
    <t xml:space="preserve">-0.8</t>
  </si>
  <si>
    <r>
      <rPr>
        <sz val="11"/>
        <color theme="1"/>
        <rFont val="Linux Libertine G"/>
        <family val="2"/>
      </rPr>
      <t xml:space="preserve">房地产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二手房挂牌量变化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</si>
  <si>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二手房挂牌量变化</t>
    </r>
  </si>
  <si>
    <t xml:space="preserve">贝壳研究院</t>
  </si>
  <si>
    <r>
      <rPr>
        <sz val="11"/>
        <color theme="1"/>
        <rFont val="Linux Libertine G"/>
        <family val="2"/>
      </rPr>
      <t xml:space="preserve">房地产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房地产新开工面积增速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</si>
  <si>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房地产新开工面积增速</t>
    </r>
  </si>
  <si>
    <t xml:space="preserve">-22</t>
  </si>
  <si>
    <r>
      <rPr>
        <sz val="11"/>
        <color theme="1"/>
        <rFont val="Linux Libertine G"/>
        <family val="2"/>
      </rPr>
      <t xml:space="preserve">房地产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房地产竣工面积增速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</si>
  <si>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房地产竣工面积增速</t>
    </r>
  </si>
  <si>
    <r>
      <rPr>
        <sz val="11"/>
        <color theme="1"/>
        <rFont val="Linux Libertine G"/>
        <family val="2"/>
      </rPr>
      <t xml:space="preserve">房地产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房企季度净利润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</si>
  <si>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房企季度净利润</t>
    </r>
  </si>
  <si>
    <t xml:space="preserve">-35</t>
  </si>
  <si>
    <r>
      <rPr>
        <sz val="11"/>
        <color theme="1"/>
        <rFont val="Linux Libertine G"/>
        <family val="2"/>
      </rPr>
      <t xml:space="preserve">房地产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房地产投资增速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</si>
  <si>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房地产投资增速</t>
    </r>
  </si>
  <si>
    <t xml:space="preserve">-10.5</t>
  </si>
  <si>
    <r>
      <rPr>
        <sz val="11"/>
        <color theme="1"/>
        <rFont val="Linux Libertine G"/>
        <family val="2"/>
      </rPr>
      <t xml:space="preserve">商贸零售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社会消费品零售总额增速</t>
    </r>
  </si>
  <si>
    <t xml:space="preserve">商贸零售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</si>
  <si>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社会消费品零售总额增速</t>
    </r>
  </si>
  <si>
    <r>
      <rPr>
        <sz val="11"/>
        <color theme="1"/>
        <rFont val="Linux Libertine G"/>
        <family val="2"/>
      </rPr>
      <t xml:space="preserve">商贸零售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消费者信心指数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</si>
  <si>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消费者信心指数</t>
    </r>
  </si>
  <si>
    <r>
      <rPr>
        <sz val="11"/>
        <color theme="1"/>
        <rFont val="Linux Libertine G"/>
        <family val="2"/>
      </rPr>
      <t xml:space="preserve">商贸零售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人均可支配收入增速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</si>
  <si>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人均可支配收入增速</t>
    </r>
  </si>
  <si>
    <t xml:space="preserve">+5.8</t>
  </si>
  <si>
    <r>
      <rPr>
        <sz val="11"/>
        <color theme="1"/>
        <rFont val="Linux Libertine G"/>
        <family val="2"/>
      </rPr>
      <t xml:space="preserve">商贸零售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网购渗透率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</si>
  <si>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网购渗透率</t>
    </r>
  </si>
  <si>
    <t xml:space="preserve">商务部</t>
  </si>
  <si>
    <t xml:space="preserve">28.5</t>
  </si>
  <si>
    <r>
      <rPr>
        <sz val="11"/>
        <color theme="1"/>
        <rFont val="Linux Libertine G"/>
        <family val="2"/>
      </rPr>
      <t xml:space="preserve">商贸零售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网上零售额增速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</si>
  <si>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网上零售额增速</t>
    </r>
  </si>
  <si>
    <r>
      <rPr>
        <sz val="11"/>
        <color theme="1"/>
        <rFont val="Linux Libertine G"/>
        <family val="2"/>
      </rPr>
      <t xml:space="preserve">商贸零售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限额以上零售企业收入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</si>
  <si>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限额以上零售企业收入</t>
    </r>
  </si>
  <si>
    <t xml:space="preserve">+4.8</t>
  </si>
  <si>
    <r>
      <rPr>
        <sz val="11"/>
        <color theme="1"/>
        <rFont val="Linux Libertine G"/>
        <family val="2"/>
      </rPr>
      <t xml:space="preserve">商贸零售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超市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百货销售额增速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</si>
  <si>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超市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百货销售额增速</t>
    </r>
  </si>
  <si>
    <r>
      <rPr>
        <sz val="11"/>
        <color theme="1"/>
        <rFont val="Linux Libertine G"/>
        <family val="2"/>
      </rPr>
      <t xml:space="preserve">商贸零售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快递业务量增速</t>
    </r>
  </si>
  <si>
    <r>
      <rPr>
        <sz val="11"/>
        <color theme="1"/>
        <rFont val="Linux Libertine G"/>
        <family val="2"/>
      </rPr>
      <t xml:space="preserve">商贸零售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零售企业季度净利润率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</si>
  <si>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零售企业季度净利润率</t>
    </r>
  </si>
  <si>
    <t xml:space="preserve">3.5</t>
  </si>
  <si>
    <r>
      <rPr>
        <sz val="11"/>
        <color theme="1"/>
        <rFont val="Linux Libertine G"/>
        <family val="2"/>
      </rPr>
      <t xml:space="preserve">商贸零售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零售行业库存周转天数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</si>
  <si>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零售行业库存周转天数</t>
    </r>
  </si>
  <si>
    <r>
      <rPr>
        <sz val="11"/>
        <color theme="1"/>
        <rFont val="Linux Libertine G"/>
        <family val="2"/>
      </rPr>
      <t xml:space="preserve">商贸零售</t>
    </r>
    <r>
      <rPr>
        <sz val="11"/>
        <color theme="1"/>
        <rFont val="Linux Libertine G"/>
        <family val="2"/>
        <charset val="1"/>
      </rPr>
      <t xml:space="preserve">|11-CPI</t>
    </r>
    <r>
      <rPr>
        <sz val="11"/>
        <color theme="1"/>
        <rFont val="Linux Libertine G"/>
        <family val="2"/>
      </rPr>
      <t xml:space="preserve">同比</t>
    </r>
  </si>
  <si>
    <r>
      <rPr>
        <sz val="11"/>
        <color theme="1"/>
        <rFont val="Linux Libertine G"/>
        <family val="2"/>
        <charset val="1"/>
      </rPr>
      <t xml:space="preserve">11-CPI</t>
    </r>
    <r>
      <rPr>
        <sz val="11"/>
        <color theme="1"/>
        <rFont val="Linux Libertine G"/>
        <family val="2"/>
      </rPr>
      <t xml:space="preserve">同比</t>
    </r>
  </si>
  <si>
    <t xml:space="preserve">+0.3</t>
  </si>
  <si>
    <r>
      <rPr>
        <sz val="11"/>
        <color theme="1"/>
        <rFont val="Linux Libertine G"/>
        <family val="2"/>
      </rPr>
      <t xml:space="preserve">社会服务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居民可支配收入增速</t>
    </r>
  </si>
  <si>
    <t xml:space="preserve">社会服务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</si>
  <si>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居民可支配收入增速</t>
    </r>
  </si>
  <si>
    <r>
      <rPr>
        <sz val="11"/>
        <color theme="1"/>
        <rFont val="Linux Libertine G"/>
        <family val="2"/>
      </rPr>
      <t xml:space="preserve">社会服务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节假日旅游预订量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</si>
  <si>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节假日旅游预订量</t>
    </r>
  </si>
  <si>
    <r>
      <rPr>
        <sz val="11"/>
        <color theme="1"/>
        <rFont val="Linux Libertine G"/>
        <family val="2"/>
      </rPr>
      <t xml:space="preserve">携程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去哪儿</t>
    </r>
  </si>
  <si>
    <r>
      <rPr>
        <sz val="11"/>
        <color theme="1"/>
        <rFont val="Linux Libertine G"/>
        <family val="2"/>
      </rPr>
      <t xml:space="preserve">社会服务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航空客座率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</si>
  <si>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航空客座率</t>
    </r>
  </si>
  <si>
    <r>
      <rPr>
        <sz val="11"/>
        <color theme="1"/>
        <rFont val="Linux Libertine G"/>
        <family val="2"/>
      </rPr>
      <t xml:space="preserve">社会服务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酒店</t>
    </r>
    <r>
      <rPr>
        <sz val="11"/>
        <color theme="1"/>
        <rFont val="Linux Libertine G"/>
        <family val="2"/>
        <charset val="1"/>
      </rPr>
      <t xml:space="preserve">RevPAR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</si>
  <si>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酒店</t>
    </r>
    <r>
      <rPr>
        <sz val="11"/>
        <color theme="1"/>
        <rFont val="Linux Libertine G"/>
        <family val="2"/>
        <charset val="1"/>
      </rPr>
      <t xml:space="preserve">RevPAR</t>
    </r>
  </si>
  <si>
    <t xml:space="preserve">STR</t>
  </si>
  <si>
    <t xml:space="preserve">380</t>
  </si>
  <si>
    <t xml:space="preserve">元</t>
  </si>
  <si>
    <r>
      <rPr>
        <sz val="11"/>
        <color theme="1"/>
        <rFont val="Linux Libertine G"/>
        <family val="2"/>
      </rPr>
      <t xml:space="preserve">社会服务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国内旅游人次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</si>
  <si>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国内旅游人次</t>
    </r>
  </si>
  <si>
    <t xml:space="preserve">文旅部</t>
  </si>
  <si>
    <r>
      <rPr>
        <sz val="11"/>
        <color theme="1"/>
        <rFont val="Linux Libertine G"/>
        <family val="2"/>
      </rPr>
      <t xml:space="preserve">社会服务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国内旅游收入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</si>
  <si>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国内旅游收入</t>
    </r>
  </si>
  <si>
    <t xml:space="preserve">+25</t>
  </si>
  <si>
    <r>
      <rPr>
        <sz val="11"/>
        <color theme="1"/>
        <rFont val="Linux Libertine G"/>
        <family val="2"/>
      </rPr>
      <t xml:space="preserve">社会服务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餐饮收入增速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</si>
  <si>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餐饮收入增速</t>
    </r>
  </si>
  <si>
    <r>
      <rPr>
        <sz val="11"/>
        <color theme="1"/>
        <rFont val="Linux Libertine G"/>
        <family val="2"/>
      </rPr>
      <t xml:space="preserve">社会服务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电影票房收入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</si>
  <si>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电影票房收入</t>
    </r>
  </si>
  <si>
    <r>
      <rPr>
        <sz val="11"/>
        <color theme="1"/>
        <rFont val="Linux Libertine G"/>
        <family val="2"/>
      </rPr>
      <t xml:space="preserve">猫眼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灯塔</t>
    </r>
  </si>
  <si>
    <r>
      <rPr>
        <sz val="11"/>
        <color theme="1"/>
        <rFont val="Linux Libertine G"/>
        <family val="2"/>
      </rPr>
      <t xml:space="preserve">亿元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月</t>
    </r>
  </si>
  <si>
    <r>
      <rPr>
        <sz val="11"/>
        <color theme="1"/>
        <rFont val="Linux Libertine G"/>
        <family val="2"/>
      </rPr>
      <t xml:space="preserve">社会服务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社会服务企业季度净利润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</si>
  <si>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社会服务企业季度净利润</t>
    </r>
  </si>
  <si>
    <t xml:space="preserve">15</t>
  </si>
  <si>
    <r>
      <rPr>
        <sz val="11"/>
        <color theme="1"/>
        <rFont val="Linux Libertine G"/>
        <family val="2"/>
      </rPr>
      <t xml:space="preserve">社会服务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社会服务行业毛利率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</si>
  <si>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社会服务行业毛利率</t>
    </r>
  </si>
  <si>
    <r>
      <rPr>
        <sz val="11"/>
        <color theme="1"/>
        <rFont val="Linux Libertine G"/>
        <family val="2"/>
      </rPr>
      <t xml:space="preserve">社会服务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服务业</t>
    </r>
    <r>
      <rPr>
        <sz val="11"/>
        <color theme="1"/>
        <rFont val="Linux Libertine G"/>
        <family val="2"/>
        <charset val="1"/>
      </rPr>
      <t xml:space="preserve">PMI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</si>
  <si>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服务业</t>
    </r>
    <r>
      <rPr>
        <sz val="11"/>
        <color theme="1"/>
        <rFont val="Linux Libertine G"/>
        <family val="2"/>
        <charset val="1"/>
      </rPr>
      <t xml:space="preserve">PMI</t>
    </r>
  </si>
  <si>
    <t xml:space="preserve">49.6</t>
  </si>
  <si>
    <r>
      <rPr>
        <sz val="11"/>
        <color theme="1"/>
        <rFont val="Linux Libertine G"/>
        <family val="2"/>
      </rPr>
      <t xml:space="preserve">综合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宏观经济景气指数</t>
    </r>
  </si>
  <si>
    <t xml:space="preserve">综合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</si>
  <si>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宏观经济景气指数</t>
    </r>
  </si>
  <si>
    <t xml:space="preserve">102</t>
  </si>
  <si>
    <r>
      <rPr>
        <sz val="11"/>
        <color theme="1"/>
        <rFont val="Linux Libertine G"/>
        <family val="2"/>
      </rPr>
      <t xml:space="preserve">综合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制造业</t>
    </r>
    <r>
      <rPr>
        <sz val="11"/>
        <color theme="1"/>
        <rFont val="Linux Libertine G"/>
        <family val="2"/>
        <charset val="1"/>
      </rPr>
      <t xml:space="preserve">PMI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</si>
  <si>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制造业</t>
    </r>
    <r>
      <rPr>
        <sz val="11"/>
        <color theme="1"/>
        <rFont val="Linux Libertine G"/>
        <family val="2"/>
        <charset val="1"/>
      </rPr>
      <t xml:space="preserve">PMI</t>
    </r>
  </si>
  <si>
    <t xml:space="preserve">50.3</t>
  </si>
  <si>
    <r>
      <rPr>
        <sz val="11"/>
        <color theme="1"/>
        <rFont val="Linux Libertine G"/>
        <family val="2"/>
      </rPr>
      <t xml:space="preserve">综合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新增社融规模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</si>
  <si>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新增社融规模</t>
    </r>
  </si>
  <si>
    <t xml:space="preserve">3.8</t>
  </si>
  <si>
    <r>
      <rPr>
        <sz val="11"/>
        <color theme="1"/>
        <rFont val="Linux Libertine G"/>
        <family val="2"/>
      </rPr>
      <t xml:space="preserve">万亿元</t>
    </r>
    <r>
      <rPr>
        <sz val="11"/>
        <color theme="1"/>
        <rFont val="Linux Libertine G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累计</t>
    </r>
    <r>
      <rPr>
        <sz val="11"/>
        <color theme="1"/>
        <rFont val="Linux Libertine G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</si>
  <si>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综合</t>
    </r>
    <r>
      <rPr>
        <sz val="11"/>
        <color theme="1"/>
        <rFont val="Linux Libertine G"/>
        <family val="2"/>
        <charset val="1"/>
      </rPr>
      <t xml:space="preserve">|4-GDP</t>
    </r>
    <r>
      <rPr>
        <sz val="11"/>
        <color theme="1"/>
        <rFont val="Linux Libertine G"/>
        <family val="2"/>
      </rPr>
      <t xml:space="preserve">增速</t>
    </r>
  </si>
  <si>
    <r>
      <rPr>
        <sz val="11"/>
        <color theme="1"/>
        <rFont val="Linux Libertine G"/>
        <family val="2"/>
        <charset val="1"/>
      </rPr>
      <t xml:space="preserve">4-GDP</t>
    </r>
    <r>
      <rPr>
        <sz val="11"/>
        <color theme="1"/>
        <rFont val="Linux Libertine G"/>
        <family val="2"/>
      </rPr>
      <t xml:space="preserve">增速</t>
    </r>
  </si>
  <si>
    <r>
      <rPr>
        <sz val="11"/>
        <color theme="1"/>
        <rFont val="Linux Libertine G"/>
        <family val="2"/>
      </rPr>
      <t xml:space="preserve">综合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工业增加值增速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</si>
  <si>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工业增加值增速</t>
    </r>
  </si>
  <si>
    <r>
      <rPr>
        <sz val="11"/>
        <color theme="1"/>
        <rFont val="Linux Libertine G"/>
        <family val="2"/>
      </rPr>
      <t xml:space="preserve">综合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固定资产投资增速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</si>
  <si>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固定资产投资增速</t>
    </r>
  </si>
  <si>
    <r>
      <rPr>
        <sz val="11"/>
        <color theme="1"/>
        <rFont val="Linux Libertine G"/>
        <family val="2"/>
      </rPr>
      <t xml:space="preserve">综合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企业盈利增速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</si>
  <si>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企业盈利增速</t>
    </r>
  </si>
  <si>
    <r>
      <rPr>
        <sz val="11"/>
        <color theme="1"/>
        <rFont val="Linux Libertine G"/>
        <family val="2"/>
      </rPr>
      <t xml:space="preserve">综合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失业率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</si>
  <si>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失业率</t>
    </r>
  </si>
  <si>
    <t xml:space="preserve">5.1</t>
  </si>
  <si>
    <r>
      <rPr>
        <sz val="11"/>
        <color theme="1"/>
        <rFont val="Linux Libertine G"/>
        <family val="2"/>
      </rPr>
      <t xml:space="preserve">建筑材料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水泥熟料价格</t>
    </r>
  </si>
  <si>
    <t xml:space="preserve">建筑材料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</si>
  <si>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水泥熟料价格</t>
    </r>
  </si>
  <si>
    <t xml:space="preserve">数字水泥网</t>
  </si>
  <si>
    <t xml:space="preserve">320</t>
  </si>
  <si>
    <r>
      <rPr>
        <sz val="11"/>
        <color theme="1"/>
        <rFont val="Linux Libertine G"/>
        <family val="2"/>
      </rPr>
      <t xml:space="preserve">建筑材料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玻璃原片价格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</si>
  <si>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玻璃原片价格</t>
    </r>
  </si>
  <si>
    <t xml:space="preserve">1550</t>
  </si>
  <si>
    <r>
      <rPr>
        <sz val="11"/>
        <color theme="1"/>
        <rFont val="Linux Libertine G"/>
        <family val="2"/>
      </rPr>
      <t xml:space="preserve">建筑材料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房地产新开工面积增速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</si>
  <si>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房地产新开工面积增速</t>
    </r>
  </si>
  <si>
    <r>
      <rPr>
        <sz val="11"/>
        <color theme="1"/>
        <rFont val="Linux Libertine G"/>
        <family val="2"/>
      </rPr>
      <t xml:space="preserve">建筑材料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基建投资增速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</si>
  <si>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基建投资增速</t>
    </r>
  </si>
  <si>
    <r>
      <rPr>
        <sz val="11"/>
        <color theme="1"/>
        <rFont val="Linux Libertine G"/>
        <family val="2"/>
      </rPr>
      <t xml:space="preserve">建筑材料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水泥出货量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</si>
  <si>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水泥出货量</t>
    </r>
  </si>
  <si>
    <r>
      <rPr>
        <sz val="11"/>
        <color theme="1"/>
        <rFont val="Linux Libertine G"/>
        <family val="2"/>
      </rPr>
      <t xml:space="preserve">建筑材料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玻璃库存天数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</si>
  <si>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玻璃库存天数</t>
    </r>
  </si>
  <si>
    <t xml:space="preserve">22</t>
  </si>
  <si>
    <r>
      <rPr>
        <sz val="11"/>
        <color theme="1"/>
        <rFont val="Linux Libertine G"/>
        <family val="2"/>
      </rPr>
      <t xml:space="preserve">建筑材料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水泥磨机开工率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</si>
  <si>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水泥磨机开工率</t>
    </r>
  </si>
  <si>
    <t xml:space="preserve">52</t>
  </si>
  <si>
    <r>
      <rPr>
        <sz val="11"/>
        <color theme="1"/>
        <rFont val="Linux Libertine G"/>
        <family val="2"/>
      </rPr>
      <t xml:space="preserve">建筑材料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建材出口金额增速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</si>
  <si>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建材出口金额增速</t>
    </r>
  </si>
  <si>
    <r>
      <rPr>
        <sz val="11"/>
        <color theme="1"/>
        <rFont val="Linux Libertine G"/>
        <family val="2"/>
      </rPr>
      <t xml:space="preserve">建筑材料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建材企业季度净利润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</si>
  <si>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建材企业季度净利润</t>
    </r>
  </si>
  <si>
    <t xml:space="preserve">8</t>
  </si>
  <si>
    <r>
      <rPr>
        <sz val="11"/>
        <color theme="1"/>
        <rFont val="Linux Libertine G"/>
        <family val="2"/>
      </rPr>
      <t xml:space="preserve">建筑材料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建材行业产能利用率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</si>
  <si>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建材行业产能利用率</t>
    </r>
  </si>
  <si>
    <r>
      <rPr>
        <sz val="11"/>
        <color theme="1"/>
        <rFont val="Linux Libertine G"/>
        <family val="2"/>
      </rPr>
      <t xml:space="preserve">建筑材料</t>
    </r>
    <r>
      <rPr>
        <sz val="11"/>
        <color theme="1"/>
        <rFont val="Linux Libertine G"/>
        <family val="2"/>
        <charset val="1"/>
      </rPr>
      <t xml:space="preserve">|11-PPI</t>
    </r>
    <r>
      <rPr>
        <sz val="11"/>
        <color theme="1"/>
        <rFont val="Linux Libertine G"/>
        <family val="2"/>
      </rPr>
      <t xml:space="preserve">建材类同比</t>
    </r>
  </si>
  <si>
    <r>
      <rPr>
        <sz val="11"/>
        <color theme="1"/>
        <rFont val="Linux Libertine G"/>
        <family val="2"/>
        <charset val="1"/>
      </rPr>
      <t xml:space="preserve">11-PPI</t>
    </r>
    <r>
      <rPr>
        <sz val="11"/>
        <color theme="1"/>
        <rFont val="Linux Libertine G"/>
        <family val="2"/>
      </rPr>
      <t xml:space="preserve">建材类同比</t>
    </r>
  </si>
  <si>
    <t xml:space="preserve">-1.5</t>
  </si>
  <si>
    <r>
      <rPr>
        <sz val="11"/>
        <color theme="1"/>
        <rFont val="Linux Libertine G"/>
        <family val="2"/>
      </rPr>
      <t xml:space="preserve">建筑装饰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基建投资计划</t>
    </r>
  </si>
  <si>
    <t xml:space="preserve">建筑装饰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</si>
  <si>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基建投资计划</t>
    </r>
  </si>
  <si>
    <r>
      <rPr>
        <sz val="11"/>
        <color theme="1"/>
        <rFont val="Linux Libertine G"/>
        <family val="2"/>
      </rPr>
      <t xml:space="preserve">发改委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财政部</t>
    </r>
  </si>
  <si>
    <t xml:space="preserve">万亿元</t>
  </si>
  <si>
    <r>
      <rPr>
        <sz val="11"/>
        <color theme="1"/>
        <rFont val="Linux Libertine G"/>
        <family val="2"/>
      </rPr>
      <t xml:space="preserve">建筑装饰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专项债发行规模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</si>
  <si>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专项债发行规模</t>
    </r>
  </si>
  <si>
    <t xml:space="preserve">财政部</t>
  </si>
  <si>
    <t xml:space="preserve">4.2</t>
  </si>
  <si>
    <r>
      <rPr>
        <sz val="11"/>
        <color theme="1"/>
        <rFont val="Linux Libertine G"/>
        <family val="2"/>
      </rPr>
      <t xml:space="preserve">建筑装饰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房地产新开工面积增速</t>
    </r>
  </si>
  <si>
    <r>
      <rPr>
        <sz val="11"/>
        <color theme="1"/>
        <rFont val="Linux Libertine G"/>
        <family val="2"/>
      </rPr>
      <t xml:space="preserve">建筑装饰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钢材价格变化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</si>
  <si>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钢材价格变化</t>
    </r>
  </si>
  <si>
    <r>
      <rPr>
        <sz val="11"/>
        <color theme="1"/>
        <rFont val="Linux Libertine G"/>
        <family val="2"/>
      </rPr>
      <t xml:space="preserve">建筑装饰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建筑业</t>
    </r>
    <r>
      <rPr>
        <sz val="11"/>
        <color theme="1"/>
        <rFont val="Linux Libertine G"/>
        <family val="2"/>
        <charset val="1"/>
      </rPr>
      <t xml:space="preserve">PMI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</si>
  <si>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建筑业</t>
    </r>
    <r>
      <rPr>
        <sz val="11"/>
        <color theme="1"/>
        <rFont val="Linux Libertine G"/>
        <family val="2"/>
        <charset val="1"/>
      </rPr>
      <t xml:space="preserve">PMI</t>
    </r>
  </si>
  <si>
    <t xml:space="preserve">48.0</t>
  </si>
  <si>
    <r>
      <rPr>
        <sz val="11"/>
        <color theme="1"/>
        <rFont val="Linux Libertine G"/>
        <family val="2"/>
      </rPr>
      <t xml:space="preserve">建筑装饰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建筑业新签合同额增速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</si>
  <si>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建筑业新签合同额增速</t>
    </r>
  </si>
  <si>
    <r>
      <rPr>
        <sz val="11"/>
        <color theme="1"/>
        <rFont val="Linux Libertine G"/>
        <family val="2"/>
      </rPr>
      <t xml:space="preserve">建筑装饰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建筑业总产值增速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</si>
  <si>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建筑业总产值增速</t>
    </r>
  </si>
  <si>
    <r>
      <rPr>
        <sz val="11"/>
        <color theme="1"/>
        <rFont val="Linux Libertine G"/>
        <family val="2"/>
      </rPr>
      <t xml:space="preserve">建筑装饰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建筑企业订单保障倍数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</si>
  <si>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建筑企业订单保障倍数</t>
    </r>
  </si>
  <si>
    <t xml:space="preserve">1.8</t>
  </si>
  <si>
    <t xml:space="preserve">倍</t>
  </si>
  <si>
    <r>
      <rPr>
        <sz val="11"/>
        <color theme="1"/>
        <rFont val="Linux Libertine G"/>
        <family val="2"/>
      </rPr>
      <t xml:space="preserve">建筑装饰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建筑企业季度净利润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</si>
  <si>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建筑企业季度净利润</t>
    </r>
  </si>
  <si>
    <r>
      <rPr>
        <sz val="11"/>
        <color theme="1"/>
        <rFont val="Linux Libertine G"/>
        <family val="2"/>
      </rPr>
      <t xml:space="preserve">建筑装饰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建筑行业资产负债率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</si>
  <si>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建筑行业资产负债率</t>
    </r>
  </si>
  <si>
    <r>
      <rPr>
        <sz val="11"/>
        <color theme="1"/>
        <rFont val="Linux Libertine G"/>
        <family val="2"/>
      </rPr>
      <t xml:space="preserve">建筑装饰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建筑行业应收账款周转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</si>
  <si>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建筑行业应收账款周转</t>
    </r>
  </si>
  <si>
    <t xml:space="preserve">135</t>
  </si>
  <si>
    <r>
      <rPr>
        <sz val="11"/>
        <color theme="1"/>
        <rFont val="Linux Libertine G"/>
        <family val="2"/>
      </rPr>
      <t xml:space="preserve">电力设备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光伏组件价格</t>
    </r>
  </si>
  <si>
    <t xml:space="preserve">电力设备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</si>
  <si>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光伏组件价格</t>
    </r>
  </si>
  <si>
    <t xml:space="preserve">PV InfoLink</t>
  </si>
  <si>
    <t xml:space="preserve">0.82</t>
  </si>
  <si>
    <r>
      <rPr>
        <sz val="11"/>
        <color theme="1"/>
        <rFont val="Linux Libertine G"/>
        <family val="2"/>
      </rPr>
      <t xml:space="preserve">元</t>
    </r>
    <r>
      <rPr>
        <sz val="11"/>
        <color theme="1"/>
        <rFont val="Linux Libertine G"/>
        <family val="2"/>
        <charset val="1"/>
      </rPr>
      <t xml:space="preserve">/W</t>
    </r>
  </si>
  <si>
    <r>
      <rPr>
        <sz val="11"/>
        <color theme="1"/>
        <rFont val="Linux Libertine G"/>
        <family val="2"/>
      </rPr>
      <t xml:space="preserve">电力设备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硅料价格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</si>
  <si>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硅料价格</t>
    </r>
  </si>
  <si>
    <t xml:space="preserve">硅业分会</t>
  </si>
  <si>
    <r>
      <rPr>
        <sz val="11"/>
        <color theme="1"/>
        <rFont val="Linux Libertine G"/>
        <family val="2"/>
      </rPr>
      <t xml:space="preserve">元</t>
    </r>
    <r>
      <rPr>
        <sz val="11"/>
        <color theme="1"/>
        <rFont val="Linux Libertine G"/>
        <family val="2"/>
        <charset val="1"/>
      </rPr>
      <t xml:space="preserve">/kg</t>
    </r>
  </si>
  <si>
    <r>
      <rPr>
        <sz val="11"/>
        <color theme="1"/>
        <rFont val="Linux Libertine G"/>
        <family val="2"/>
      </rPr>
      <t xml:space="preserve">电力设备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锂电池价格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</si>
  <si>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锂电池价格</t>
    </r>
  </si>
  <si>
    <t xml:space="preserve">0.52</t>
  </si>
  <si>
    <r>
      <rPr>
        <sz val="11"/>
        <color theme="1"/>
        <rFont val="Linux Libertine G"/>
        <family val="2"/>
      </rPr>
      <t xml:space="preserve">元</t>
    </r>
    <r>
      <rPr>
        <sz val="11"/>
        <color theme="1"/>
        <rFont val="Linux Libertine G"/>
        <family val="2"/>
        <charset val="1"/>
      </rPr>
      <t xml:space="preserve">/Wh</t>
    </r>
  </si>
  <si>
    <r>
      <rPr>
        <sz val="11"/>
        <color theme="1"/>
        <rFont val="Linux Libertine G"/>
        <family val="2"/>
      </rPr>
      <t xml:space="preserve">电力设备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风电招标量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</si>
  <si>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风电招标量</t>
    </r>
  </si>
  <si>
    <r>
      <rPr>
        <sz val="11"/>
        <color theme="1"/>
        <rFont val="Linux Libertine G"/>
        <family val="2"/>
      </rPr>
      <t xml:space="preserve">金风科技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中国风能协会</t>
    </r>
  </si>
  <si>
    <r>
      <rPr>
        <sz val="11"/>
        <color theme="1"/>
        <rFont val="Linux Libertine G"/>
        <family val="2"/>
      </rPr>
      <t xml:space="preserve">电力设备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电网投资计划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</si>
  <si>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电网投资计划</t>
    </r>
  </si>
  <si>
    <r>
      <rPr>
        <sz val="11"/>
        <color theme="1"/>
        <rFont val="Linux Libertine G"/>
        <family val="2"/>
      </rPr>
      <t xml:space="preserve">国家电网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南方电网</t>
    </r>
  </si>
  <si>
    <t xml:space="preserve">6500</t>
  </si>
  <si>
    <r>
      <rPr>
        <sz val="11"/>
        <color theme="1"/>
        <rFont val="Linux Libertine G"/>
        <family val="2"/>
      </rPr>
      <t xml:space="preserve">电力设备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光伏装机量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</si>
  <si>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光伏装机量</t>
    </r>
  </si>
  <si>
    <t xml:space="preserve">65</t>
  </si>
  <si>
    <r>
      <rPr>
        <sz val="11"/>
        <color theme="1"/>
        <rFont val="Linux Libertine G"/>
        <family val="2"/>
        <charset val="1"/>
      </rPr>
      <t xml:space="preserve">GW(</t>
    </r>
    <r>
      <rPr>
        <sz val="11"/>
        <color theme="1"/>
        <rFont val="Linux Libertine G"/>
        <family val="2"/>
      </rPr>
      <t xml:space="preserve">累计</t>
    </r>
    <r>
      <rPr>
        <sz val="11"/>
        <color theme="1"/>
        <rFont val="Linux Libertine G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</si>
  <si>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电力设备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风电装机量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</si>
  <si>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风电装机量</t>
    </r>
  </si>
  <si>
    <r>
      <rPr>
        <sz val="11"/>
        <color theme="1"/>
        <rFont val="Linux Libertine G"/>
        <family val="2"/>
      </rPr>
      <t xml:space="preserve">电力设备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储能装机量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</si>
  <si>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储能装机量</t>
    </r>
  </si>
  <si>
    <t xml:space="preserve">CNESA</t>
  </si>
  <si>
    <r>
      <rPr>
        <sz val="11"/>
        <color theme="1"/>
        <rFont val="Linux Libertine G"/>
        <family val="2"/>
        <charset val="1"/>
      </rPr>
      <t xml:space="preserve">GWh(</t>
    </r>
    <r>
      <rPr>
        <sz val="11"/>
        <color theme="1"/>
        <rFont val="Linux Libertine G"/>
        <family val="2"/>
      </rPr>
      <t xml:space="preserve">累计</t>
    </r>
    <r>
      <rPr>
        <sz val="11"/>
        <color theme="1"/>
        <rFont val="Linux Libertine G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</si>
  <si>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电力设备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电网设备招标量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</si>
  <si>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电网设备招标量</t>
    </r>
  </si>
  <si>
    <t xml:space="preserve">国家电网</t>
  </si>
  <si>
    <r>
      <rPr>
        <sz val="11"/>
        <color theme="1"/>
        <rFont val="Linux Libertine G"/>
        <family val="2"/>
      </rPr>
      <t xml:space="preserve">电力设备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电力设备企业季度净利润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</si>
  <si>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电力设备企业季度净利润</t>
    </r>
  </si>
  <si>
    <r>
      <rPr>
        <sz val="11"/>
        <color theme="1"/>
        <rFont val="Linux Libertine G"/>
        <family val="2"/>
      </rPr>
      <t xml:space="preserve">电力设备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电力设备行业毛利率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</si>
  <si>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电力设备行业毛利率</t>
    </r>
  </si>
  <si>
    <r>
      <rPr>
        <sz val="11"/>
        <color theme="1"/>
        <rFont val="Linux Libertine G"/>
        <family val="2"/>
      </rPr>
      <t xml:space="preserve">电力设备</t>
    </r>
    <r>
      <rPr>
        <sz val="11"/>
        <color theme="1"/>
        <rFont val="Linux Libertine G"/>
        <family val="2"/>
        <charset val="1"/>
      </rPr>
      <t xml:space="preserve">|12-</t>
    </r>
    <r>
      <rPr>
        <sz val="11"/>
        <color theme="1"/>
        <rFont val="Linux Libertine G"/>
        <family val="2"/>
      </rPr>
      <t xml:space="preserve">电力设备出口金额增速</t>
    </r>
  </si>
  <si>
    <r>
      <rPr>
        <sz val="11"/>
        <color theme="1"/>
        <rFont val="Linux Libertine G"/>
        <family val="2"/>
        <charset val="1"/>
      </rPr>
      <t xml:space="preserve">12-</t>
    </r>
    <r>
      <rPr>
        <sz val="11"/>
        <color theme="1"/>
        <rFont val="Linux Libertine G"/>
        <family val="2"/>
      </rPr>
      <t xml:space="preserve">电力设备出口金额增速</t>
    </r>
  </si>
  <si>
    <r>
      <rPr>
        <sz val="11"/>
        <color theme="1"/>
        <rFont val="Linux Libertine G"/>
        <family val="2"/>
      </rPr>
      <t xml:space="preserve">国防军工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国防预算增速</t>
    </r>
  </si>
  <si>
    <t xml:space="preserve">国防军工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</si>
  <si>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国防预算增速</t>
    </r>
  </si>
  <si>
    <t xml:space="preserve">全国人大</t>
  </si>
  <si>
    <t xml:space="preserve">7.2</t>
  </si>
  <si>
    <r>
      <rPr>
        <sz val="11"/>
        <color theme="1"/>
        <rFont val="Linux Libertine G"/>
        <family val="2"/>
      </rPr>
      <t xml:space="preserve">国防军工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军工集团订单公告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</si>
  <si>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军工集团订单公告</t>
    </r>
  </si>
  <si>
    <t xml:space="preserve">上市公司公告</t>
  </si>
  <si>
    <t xml:space="preserve">520</t>
  </si>
  <si>
    <r>
      <rPr>
        <sz val="11"/>
        <color theme="1"/>
        <rFont val="Linux Libertine G"/>
        <family val="2"/>
      </rPr>
      <t xml:space="preserve">国防军工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军品采购计划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</si>
  <si>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军品采购计划</t>
    </r>
  </si>
  <si>
    <t xml:space="preserve">全军武器装备采购网</t>
  </si>
  <si>
    <t xml:space="preserve">1200</t>
  </si>
  <si>
    <t xml:space="preserve">项</t>
  </si>
  <si>
    <r>
      <rPr>
        <sz val="11"/>
        <color theme="1"/>
        <rFont val="Linux Libertine G"/>
        <family val="2"/>
      </rPr>
      <t xml:space="preserve">国防军工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地缘政治风险指数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</si>
  <si>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地缘政治风险指数</t>
    </r>
  </si>
  <si>
    <t xml:space="preserve">相关智库</t>
  </si>
  <si>
    <t xml:space="preserve">75</t>
  </si>
  <si>
    <r>
      <rPr>
        <sz val="11"/>
        <color theme="1"/>
        <rFont val="Linux Libertine G"/>
        <family val="2"/>
      </rPr>
      <t xml:space="preserve">国防军工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军工企业收入增速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</si>
  <si>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军工企业收入增速</t>
    </r>
  </si>
  <si>
    <r>
      <rPr>
        <sz val="11"/>
        <color theme="1"/>
        <rFont val="Linux Libertine G"/>
        <family val="2"/>
      </rPr>
      <t xml:space="preserve">国防军工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军工企业合同负债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</si>
  <si>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军工企业合同负债</t>
    </r>
  </si>
  <si>
    <r>
      <rPr>
        <sz val="11"/>
        <color theme="1"/>
        <rFont val="Linux Libertine G"/>
        <family val="2"/>
      </rPr>
      <t xml:space="preserve">国防军工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航空发动机产量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</si>
  <si>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航空发动机产量</t>
    </r>
  </si>
  <si>
    <t xml:space="preserve">航空工业集团</t>
  </si>
  <si>
    <r>
      <rPr>
        <sz val="11"/>
        <color theme="1"/>
        <rFont val="Linux Libertine G"/>
        <family val="2"/>
      </rPr>
      <t xml:space="preserve">国防军工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舰船下水吨位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</si>
  <si>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舰船下水吨位</t>
    </r>
  </si>
  <si>
    <t xml:space="preserve">相关统计</t>
  </si>
  <si>
    <r>
      <rPr>
        <sz val="11"/>
        <color theme="1"/>
        <rFont val="Linux Libertine G"/>
        <family val="2"/>
      </rPr>
      <t xml:space="preserve">国防军工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军工企业季度净利润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</si>
  <si>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军工企业季度净利润</t>
    </r>
  </si>
  <si>
    <r>
      <rPr>
        <sz val="11"/>
        <color theme="1"/>
        <rFont val="Linux Libertine G"/>
        <family val="2"/>
      </rPr>
      <t xml:space="preserve">国防军工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军工行业研发费用率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</si>
  <si>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军工行业研发费用率</t>
    </r>
  </si>
  <si>
    <t xml:space="preserve">9.5</t>
  </si>
  <si>
    <r>
      <rPr>
        <sz val="11"/>
        <color theme="1"/>
        <rFont val="Linux Libertine G"/>
        <family val="2"/>
      </rPr>
      <t xml:space="preserve">国防军工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军工行业资产负债率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</si>
  <si>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军工行业资产负债率</t>
    </r>
  </si>
  <si>
    <r>
      <rPr>
        <sz val="11"/>
        <color theme="1"/>
        <rFont val="Linux Libertine G"/>
        <family val="2"/>
      </rPr>
      <t xml:space="preserve">计算机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全球</t>
    </r>
    <r>
      <rPr>
        <sz val="11"/>
        <color theme="1"/>
        <rFont val="Linux Libertine G"/>
        <family val="2"/>
        <charset val="1"/>
      </rPr>
      <t xml:space="preserve">IT</t>
    </r>
    <r>
      <rPr>
        <sz val="11"/>
        <color theme="1"/>
        <rFont val="Linux Libertine G"/>
        <family val="2"/>
      </rPr>
      <t xml:space="preserve">支出增速</t>
    </r>
  </si>
  <si>
    <t xml:space="preserve">计算机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</si>
  <si>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全球</t>
    </r>
    <r>
      <rPr>
        <sz val="11"/>
        <color theme="1"/>
        <rFont val="Linux Libertine G"/>
        <family val="2"/>
        <charset val="1"/>
      </rPr>
      <t xml:space="preserve">IT</t>
    </r>
    <r>
      <rPr>
        <sz val="11"/>
        <color theme="1"/>
        <rFont val="Linux Libertine G"/>
        <family val="2"/>
      </rPr>
      <t xml:space="preserve">支出增速</t>
    </r>
  </si>
  <si>
    <t xml:space="preserve">Gartner</t>
  </si>
  <si>
    <r>
      <rPr>
        <sz val="11"/>
        <color theme="1"/>
        <rFont val="Linux Libertine G"/>
        <family val="2"/>
      </rPr>
      <t xml:space="preserve">计算机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云计算资本开支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</si>
  <si>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云计算资本开支</t>
    </r>
  </si>
  <si>
    <r>
      <rPr>
        <sz val="11"/>
        <color theme="1"/>
        <rFont val="Linux Libertine G"/>
        <family val="2"/>
        <charset val="1"/>
      </rPr>
      <t xml:space="preserve">AWS/Azure/</t>
    </r>
    <r>
      <rPr>
        <sz val="11"/>
        <color theme="1"/>
        <rFont val="Linux Libertine G"/>
        <family val="2"/>
      </rPr>
      <t xml:space="preserve">阿里云</t>
    </r>
  </si>
  <si>
    <r>
      <rPr>
        <sz val="11"/>
        <color theme="1"/>
        <rFont val="Linux Libertine G"/>
        <family val="2"/>
      </rPr>
      <t xml:space="preserve">计算机</t>
    </r>
    <r>
      <rPr>
        <sz val="11"/>
        <color theme="1"/>
        <rFont val="Linux Libertine G"/>
        <family val="2"/>
        <charset val="1"/>
      </rPr>
      <t xml:space="preserve">|3-AI</t>
    </r>
    <r>
      <rPr>
        <sz val="11"/>
        <color theme="1"/>
        <rFont val="Linux Libertine G"/>
        <family val="2"/>
      </rPr>
      <t xml:space="preserve">服务器出货量</t>
    </r>
  </si>
  <si>
    <r>
      <rPr>
        <sz val="11"/>
        <color theme="1"/>
        <rFont val="Linux Libertine G"/>
        <family val="2"/>
        <charset val="1"/>
      </rPr>
      <t xml:space="preserve">3-AI</t>
    </r>
    <r>
      <rPr>
        <sz val="11"/>
        <color theme="1"/>
        <rFont val="Linux Libertine G"/>
        <family val="2"/>
      </rPr>
      <t xml:space="preserve">服务器出货量</t>
    </r>
  </si>
  <si>
    <t xml:space="preserve">IDC</t>
  </si>
  <si>
    <t xml:space="preserve">+55</t>
  </si>
  <si>
    <r>
      <rPr>
        <sz val="11"/>
        <color theme="1"/>
        <rFont val="Linux Libertine G"/>
        <family val="2"/>
      </rPr>
      <t xml:space="preserve">计算机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软件业收入增速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</si>
  <si>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软件业收入增速</t>
    </r>
  </si>
  <si>
    <t xml:space="preserve">工信部</t>
  </si>
  <si>
    <t xml:space="preserve">+13.5</t>
  </si>
  <si>
    <r>
      <rPr>
        <sz val="11"/>
        <color theme="1"/>
        <rFont val="Linux Libertine G"/>
        <family val="2"/>
      </rPr>
      <t xml:space="preserve">计算机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信创采购规模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</si>
  <si>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信创采购规模</t>
    </r>
  </si>
  <si>
    <r>
      <rPr>
        <sz val="11"/>
        <color theme="1"/>
        <rFont val="Linux Libertine G"/>
        <family val="2"/>
      </rPr>
      <t xml:space="preserve">财政部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地方政府</t>
    </r>
  </si>
  <si>
    <r>
      <rPr>
        <sz val="11"/>
        <color theme="1"/>
        <rFont val="Linux Libertine G"/>
        <family val="2"/>
      </rPr>
      <t xml:space="preserve">计算机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企业</t>
    </r>
    <r>
      <rPr>
        <sz val="11"/>
        <color theme="1"/>
        <rFont val="Linux Libertine G"/>
        <family val="2"/>
        <charset val="1"/>
      </rPr>
      <t xml:space="preserve">SaaS</t>
    </r>
    <r>
      <rPr>
        <sz val="11"/>
        <color theme="1"/>
        <rFont val="Linux Libertine G"/>
        <family val="2"/>
      </rPr>
      <t xml:space="preserve">渗透率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</si>
  <si>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企业</t>
    </r>
    <r>
      <rPr>
        <sz val="11"/>
        <color theme="1"/>
        <rFont val="Linux Libertine G"/>
        <family val="2"/>
        <charset val="1"/>
      </rPr>
      <t xml:space="preserve">SaaS</t>
    </r>
    <r>
      <rPr>
        <sz val="11"/>
        <color theme="1"/>
        <rFont val="Linux Libertine G"/>
        <family val="2"/>
      </rPr>
      <t xml:space="preserve">渗透率</t>
    </r>
  </si>
  <si>
    <t xml:space="preserve">艾瑞咨询</t>
  </si>
  <si>
    <r>
      <rPr>
        <sz val="11"/>
        <color theme="1"/>
        <rFont val="Linux Libertine G"/>
        <family val="2"/>
      </rPr>
      <t xml:space="preserve">计算机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网络安全市场规模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</si>
  <si>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网络安全市场规模</t>
    </r>
  </si>
  <si>
    <t xml:space="preserve">CCID</t>
  </si>
  <si>
    <r>
      <rPr>
        <sz val="11"/>
        <color theme="1"/>
        <rFont val="Linux Libertine G"/>
        <family val="2"/>
      </rPr>
      <t xml:space="preserve">计算机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计算机行业订单增速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</si>
  <si>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计算机行业订单增速</t>
    </r>
  </si>
  <si>
    <r>
      <rPr>
        <sz val="11"/>
        <color theme="1"/>
        <rFont val="Linux Libertine G"/>
        <family val="2"/>
      </rPr>
      <t xml:space="preserve">计算机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计算机企业季度净利润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</si>
  <si>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计算机企业季度净利润</t>
    </r>
  </si>
  <si>
    <r>
      <rPr>
        <sz val="11"/>
        <color theme="1"/>
        <rFont val="Linux Libertine G"/>
        <family val="2"/>
      </rPr>
      <t xml:space="preserve">计算机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计算机行业毛利率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</si>
  <si>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计算机行业毛利率</t>
    </r>
  </si>
  <si>
    <r>
      <rPr>
        <sz val="11"/>
        <color theme="1"/>
        <rFont val="Linux Libertine G"/>
        <family val="2"/>
      </rPr>
      <t xml:space="preserve">计算机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软件从业人员增速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</si>
  <si>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软件从业人员增速</t>
    </r>
  </si>
  <si>
    <r>
      <rPr>
        <sz val="11"/>
        <color theme="1"/>
        <rFont val="Linux Libertine G"/>
        <family val="2"/>
      </rPr>
      <t xml:space="preserve">传媒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互联网广告收入增速</t>
    </r>
  </si>
  <si>
    <t xml:space="preserve">传媒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</si>
  <si>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互联网广告收入增速</t>
    </r>
  </si>
  <si>
    <t xml:space="preserve">QuestMobile</t>
  </si>
  <si>
    <t xml:space="preserve">+16</t>
  </si>
  <si>
    <r>
      <rPr>
        <sz val="11"/>
        <color theme="1"/>
        <rFont val="Linux Libertine G"/>
        <family val="2"/>
      </rPr>
      <t xml:space="preserve">传媒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游戏版号发放数量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</si>
  <si>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游戏版号发放数量</t>
    </r>
  </si>
  <si>
    <t xml:space="preserve">国家新闻出版署</t>
  </si>
  <si>
    <r>
      <rPr>
        <sz val="11"/>
        <color theme="1"/>
        <rFont val="Linux Libertine G"/>
        <family val="2"/>
      </rPr>
      <t xml:space="preserve">传媒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短视频用户时长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</si>
  <si>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短视频用户时长</t>
    </r>
  </si>
  <si>
    <r>
      <rPr>
        <sz val="11"/>
        <color theme="1"/>
        <rFont val="Linux Libertine G"/>
        <family val="2"/>
      </rPr>
      <t xml:space="preserve">传媒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广告主预算变化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</si>
  <si>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广告主预算变化</t>
    </r>
  </si>
  <si>
    <t xml:space="preserve">CTR</t>
  </si>
  <si>
    <r>
      <rPr>
        <sz val="11"/>
        <color theme="1"/>
        <rFont val="Linux Libertine G"/>
        <family val="2"/>
      </rPr>
      <t xml:space="preserve">传媒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游戏市场规模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</si>
  <si>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游戏市场规模</t>
    </r>
  </si>
  <si>
    <t xml:space="preserve">伽马数据</t>
  </si>
  <si>
    <r>
      <rPr>
        <sz val="11"/>
        <color theme="1"/>
        <rFont val="Linux Libertine G"/>
        <family val="2"/>
      </rPr>
      <t xml:space="preserve">传媒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电影票房收入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</si>
  <si>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电影票房收入</t>
    </r>
  </si>
  <si>
    <r>
      <rPr>
        <sz val="11"/>
        <color theme="1"/>
        <rFont val="Linux Libertine G"/>
        <family val="2"/>
      </rPr>
      <t xml:space="preserve">传媒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在线视频付费用户数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</si>
  <si>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在线视频付费用户数</t>
    </r>
  </si>
  <si>
    <r>
      <rPr>
        <sz val="11"/>
        <color theme="1"/>
        <rFont val="Linux Libertine G"/>
        <family val="2"/>
      </rPr>
      <t xml:space="preserve">爱奇艺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腾讯视频</t>
    </r>
  </si>
  <si>
    <t xml:space="preserve">2.85</t>
  </si>
  <si>
    <t xml:space="preserve">亿人</t>
  </si>
  <si>
    <r>
      <rPr>
        <sz val="11"/>
        <color theme="1"/>
        <rFont val="Linux Libertine G"/>
        <family val="2"/>
      </rPr>
      <t xml:space="preserve">传媒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直播电商</t>
    </r>
    <r>
      <rPr>
        <sz val="11"/>
        <color theme="1"/>
        <rFont val="Linux Libertine G"/>
        <family val="2"/>
        <charset val="1"/>
      </rPr>
      <t xml:space="preserve">GMV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</si>
  <si>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直播电商</t>
    </r>
    <r>
      <rPr>
        <sz val="11"/>
        <color theme="1"/>
        <rFont val="Linux Libertine G"/>
        <family val="2"/>
        <charset val="1"/>
      </rPr>
      <t xml:space="preserve">GMV</t>
    </r>
  </si>
  <si>
    <r>
      <rPr>
        <sz val="11"/>
        <color theme="1"/>
        <rFont val="Linux Libertine G"/>
        <family val="2"/>
      </rPr>
      <t xml:space="preserve">传媒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传媒企业季度净利润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</si>
  <si>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传媒企业季度净利润</t>
    </r>
  </si>
  <si>
    <r>
      <rPr>
        <sz val="11"/>
        <color theme="1"/>
        <rFont val="Linux Libertine G"/>
        <family val="2"/>
      </rPr>
      <t xml:space="preserve">传媒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传媒行业毛利率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</si>
  <si>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传媒行业毛利率</t>
    </r>
  </si>
  <si>
    <r>
      <rPr>
        <sz val="11"/>
        <color theme="1"/>
        <rFont val="Linux Libertine G"/>
        <family val="2"/>
      </rPr>
      <t xml:space="preserve">传媒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传媒行业人均产出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</si>
  <si>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传媒行业人均产出</t>
    </r>
  </si>
  <si>
    <t xml:space="preserve">万元</t>
  </si>
  <si>
    <r>
      <rPr>
        <sz val="11"/>
        <color theme="1"/>
        <rFont val="Linux Libertine G"/>
        <family val="2"/>
      </rPr>
      <t xml:space="preserve">通信</t>
    </r>
    <r>
      <rPr>
        <sz val="11"/>
        <color theme="1"/>
        <rFont val="Linux Libertine G"/>
        <family val="2"/>
        <charset val="1"/>
      </rPr>
      <t xml:space="preserve">|1-5G</t>
    </r>
    <r>
      <rPr>
        <sz val="11"/>
        <color theme="1"/>
        <rFont val="Linux Libertine G"/>
        <family val="2"/>
      </rPr>
      <t xml:space="preserve">基站建设进度</t>
    </r>
  </si>
  <si>
    <t xml:space="preserve">通信</t>
  </si>
  <si>
    <r>
      <rPr>
        <sz val="11"/>
        <color theme="1"/>
        <rFont val="Linux Libertine G"/>
        <family val="2"/>
        <charset val="1"/>
      </rPr>
      <t xml:space="preserve">1-5G</t>
    </r>
    <r>
      <rPr>
        <sz val="11"/>
        <color theme="1"/>
        <rFont val="Linux Libertine G"/>
        <family val="2"/>
      </rPr>
      <t xml:space="preserve">基站建设进度</t>
    </r>
  </si>
  <si>
    <t xml:space="preserve">425</t>
  </si>
  <si>
    <t xml:space="preserve">万个</t>
  </si>
  <si>
    <r>
      <rPr>
        <sz val="11"/>
        <color theme="1"/>
        <rFont val="Linux Libertine G"/>
        <family val="2"/>
      </rPr>
      <t xml:space="preserve">通信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运营商资本开支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</si>
  <si>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运营商资本开支</t>
    </r>
  </si>
  <si>
    <t xml:space="preserve">三大运营商</t>
  </si>
  <si>
    <t xml:space="preserve">3800</t>
  </si>
  <si>
    <r>
      <rPr>
        <sz val="11"/>
        <color theme="1"/>
        <rFont val="Linux Libertine G"/>
        <family val="2"/>
      </rPr>
      <t xml:space="preserve">通信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光模块出货量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</si>
  <si>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光模块出货量</t>
    </r>
  </si>
  <si>
    <t xml:space="preserve">LightCounting</t>
  </si>
  <si>
    <t xml:space="preserve">+45</t>
  </si>
  <si>
    <r>
      <rPr>
        <sz val="11"/>
        <color theme="1"/>
        <rFont val="Linux Libertine G"/>
        <family val="2"/>
      </rPr>
      <t xml:space="preserve">通信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数据中心建设规模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</si>
  <si>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数据中心建设规模</t>
    </r>
  </si>
  <si>
    <t xml:space="preserve">110</t>
  </si>
  <si>
    <t xml:space="preserve">万架</t>
  </si>
  <si>
    <r>
      <rPr>
        <sz val="11"/>
        <color theme="1"/>
        <rFont val="Linux Libertine G"/>
        <family val="2"/>
      </rPr>
      <t xml:space="preserve">通信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移动互联网流量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</si>
  <si>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移动互联网流量</t>
    </r>
  </si>
  <si>
    <r>
      <rPr>
        <sz val="11"/>
        <color theme="1"/>
        <rFont val="Linux Libertine G"/>
        <family val="2"/>
      </rPr>
      <t xml:space="preserve">通信</t>
    </r>
    <r>
      <rPr>
        <sz val="11"/>
        <color theme="1"/>
        <rFont val="Linux Libertine G"/>
        <family val="2"/>
        <charset val="1"/>
      </rPr>
      <t xml:space="preserve">|6-5G</t>
    </r>
    <r>
      <rPr>
        <sz val="11"/>
        <color theme="1"/>
        <rFont val="Linux Libertine G"/>
        <family val="2"/>
      </rPr>
      <t xml:space="preserve">用户数</t>
    </r>
  </si>
  <si>
    <r>
      <rPr>
        <sz val="11"/>
        <color theme="1"/>
        <rFont val="Linux Libertine G"/>
        <family val="2"/>
        <charset val="1"/>
      </rPr>
      <t xml:space="preserve">6-5G</t>
    </r>
    <r>
      <rPr>
        <sz val="11"/>
        <color theme="1"/>
        <rFont val="Linux Libertine G"/>
        <family val="2"/>
      </rPr>
      <t xml:space="preserve">用户数</t>
    </r>
  </si>
  <si>
    <t xml:space="preserve">10.5</t>
  </si>
  <si>
    <r>
      <rPr>
        <sz val="11"/>
        <color theme="1"/>
        <rFont val="Linux Libertine G"/>
        <family val="2"/>
      </rPr>
      <t xml:space="preserve">通信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电信业务收入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</si>
  <si>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电信业务收入</t>
    </r>
  </si>
  <si>
    <r>
      <rPr>
        <sz val="11"/>
        <color theme="1"/>
        <rFont val="Linux Libertine G"/>
        <family val="2"/>
      </rPr>
      <t xml:space="preserve">通信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通信设备出货量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</si>
  <si>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通信设备出货量</t>
    </r>
  </si>
  <si>
    <r>
      <rPr>
        <sz val="11"/>
        <color theme="1"/>
        <rFont val="Linux Libertine G"/>
        <family val="2"/>
      </rPr>
      <t xml:space="preserve">通信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通信企业季度净利润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</si>
  <si>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通信企业季度净利润</t>
    </r>
  </si>
  <si>
    <t xml:space="preserve">125</t>
  </si>
  <si>
    <r>
      <rPr>
        <sz val="11"/>
        <color theme="1"/>
        <rFont val="Linux Libertine G"/>
        <family val="2"/>
      </rPr>
      <t xml:space="preserve">通信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通信行业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</si>
  <si>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通信行业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</si>
  <si>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</rPr>
      <t xml:space="preserve">通信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通信行业资产负债率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</si>
  <si>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通信行业资产负债率</t>
    </r>
  </si>
  <si>
    <r>
      <rPr>
        <sz val="11"/>
        <color theme="1"/>
        <rFont val="Linux Libertine G"/>
        <family val="2"/>
      </rPr>
      <t xml:space="preserve">银行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社融规模增速</t>
    </r>
  </si>
  <si>
    <t xml:space="preserve">银行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</si>
  <si>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社融规模增速</t>
    </r>
  </si>
  <si>
    <t xml:space="preserve">+11.5</t>
  </si>
  <si>
    <r>
      <rPr>
        <sz val="11"/>
        <color theme="1"/>
        <rFont val="Linux Libertine G"/>
        <family val="2"/>
      </rPr>
      <t xml:space="preserve">银行</t>
    </r>
    <r>
      <rPr>
        <sz val="11"/>
        <color theme="1"/>
        <rFont val="Linux Libertine G"/>
        <family val="2"/>
        <charset val="1"/>
      </rPr>
      <t xml:space="preserve">|2-M2</t>
    </r>
    <r>
      <rPr>
        <sz val="11"/>
        <color theme="1"/>
        <rFont val="Linux Libertine G"/>
        <family val="2"/>
      </rPr>
      <t xml:space="preserve">增速</t>
    </r>
  </si>
  <si>
    <r>
      <rPr>
        <sz val="11"/>
        <color theme="1"/>
        <rFont val="Linux Libertine G"/>
        <family val="2"/>
        <charset val="1"/>
      </rPr>
      <t xml:space="preserve">2-M2</t>
    </r>
    <r>
      <rPr>
        <sz val="11"/>
        <color theme="1"/>
        <rFont val="Linux Libertine G"/>
        <family val="2"/>
      </rPr>
      <t xml:space="preserve">增速</t>
    </r>
  </si>
  <si>
    <t xml:space="preserve">+8.8</t>
  </si>
  <si>
    <r>
      <rPr>
        <sz val="11"/>
        <color theme="1"/>
        <rFont val="Linux Libertine G"/>
        <family val="2"/>
      </rPr>
      <t xml:space="preserve">银行</t>
    </r>
    <r>
      <rPr>
        <sz val="11"/>
        <color theme="1"/>
        <rFont val="Linux Libertine G"/>
        <family val="2"/>
        <charset val="1"/>
      </rPr>
      <t xml:space="preserve">|3-10</t>
    </r>
    <r>
      <rPr>
        <sz val="11"/>
        <color theme="1"/>
        <rFont val="Linux Libertine G"/>
        <family val="2"/>
      </rPr>
      <t xml:space="preserve">年期国债收益率</t>
    </r>
  </si>
  <si>
    <r>
      <rPr>
        <sz val="11"/>
        <color theme="1"/>
        <rFont val="Linux Libertine G"/>
        <family val="2"/>
        <charset val="1"/>
      </rPr>
      <t xml:space="preserve">3-10</t>
    </r>
    <r>
      <rPr>
        <sz val="11"/>
        <color theme="1"/>
        <rFont val="Linux Libertine G"/>
        <family val="2"/>
      </rPr>
      <t xml:space="preserve">年期国债收益率</t>
    </r>
  </si>
  <si>
    <t xml:space="preserve">中债登</t>
  </si>
  <si>
    <t xml:space="preserve">2.35</t>
  </si>
  <si>
    <r>
      <rPr>
        <sz val="11"/>
        <color theme="1"/>
        <rFont val="Linux Libertine G"/>
        <family val="2"/>
      </rPr>
      <t xml:space="preserve">银行</t>
    </r>
    <r>
      <rPr>
        <sz val="11"/>
        <color theme="1"/>
        <rFont val="Linux Libertine G"/>
        <family val="2"/>
        <charset val="1"/>
      </rPr>
      <t xml:space="preserve">|4-LPR</t>
    </r>
    <r>
      <rPr>
        <sz val="11"/>
        <color theme="1"/>
        <rFont val="Linux Libertine G"/>
        <family val="2"/>
      </rPr>
      <t xml:space="preserve">利率变化</t>
    </r>
  </si>
  <si>
    <r>
      <rPr>
        <sz val="11"/>
        <color theme="1"/>
        <rFont val="Linux Libertine G"/>
        <family val="2"/>
        <charset val="1"/>
      </rPr>
      <t xml:space="preserve">4-LPR</t>
    </r>
    <r>
      <rPr>
        <sz val="11"/>
        <color theme="1"/>
        <rFont val="Linux Libertine G"/>
        <family val="2"/>
      </rPr>
      <t xml:space="preserve">利率变化</t>
    </r>
  </si>
  <si>
    <r>
      <rPr>
        <sz val="11"/>
        <color theme="1"/>
        <rFont val="Linux Libertine G"/>
        <family val="2"/>
        <charset val="1"/>
      </rPr>
      <t xml:space="preserve">bp(</t>
    </r>
    <r>
      <rPr>
        <sz val="11"/>
        <color theme="1"/>
        <rFont val="Linux Libertine G"/>
        <family val="2"/>
      </rPr>
      <t xml:space="preserve">累计</t>
    </r>
    <r>
      <rPr>
        <sz val="11"/>
        <color theme="1"/>
        <rFont val="Linux Libertine G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</si>
  <si>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银行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人民币贷款增速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</si>
  <si>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人民币贷款增速</t>
    </r>
  </si>
  <si>
    <t xml:space="preserve">+10.5</t>
  </si>
  <si>
    <r>
      <rPr>
        <sz val="11"/>
        <color theme="1"/>
        <rFont val="Linux Libertine G"/>
        <family val="2"/>
      </rPr>
      <t xml:space="preserve">银行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净息差</t>
    </r>
    <r>
      <rPr>
        <sz val="11"/>
        <color theme="1"/>
        <rFont val="Linux Libertine G"/>
        <family val="2"/>
        <charset val="1"/>
      </rPr>
      <t xml:space="preserve">(NIM)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</si>
  <si>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净息差</t>
    </r>
    <r>
      <rPr>
        <sz val="11"/>
        <color theme="1"/>
        <rFont val="Linux Libertine G"/>
        <family val="2"/>
        <charset val="1"/>
      </rPr>
      <t xml:space="preserve">(NIM)</t>
    </r>
  </si>
  <si>
    <t xml:space="preserve">银保监会</t>
  </si>
  <si>
    <t xml:space="preserve">1.75</t>
  </si>
  <si>
    <r>
      <rPr>
        <sz val="11"/>
        <color theme="1"/>
        <rFont val="Linux Libertine G"/>
        <family val="2"/>
      </rPr>
      <t xml:space="preserve">银行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不良贷款率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</si>
  <si>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不良贷款率</t>
    </r>
  </si>
  <si>
    <t xml:space="preserve">1.62</t>
  </si>
  <si>
    <r>
      <rPr>
        <sz val="11"/>
        <color theme="1"/>
        <rFont val="Linux Libertine G"/>
        <family val="2"/>
      </rPr>
      <t xml:space="preserve">银行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银行中间业务收入增速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</si>
  <si>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银行中间业务收入增速</t>
    </r>
  </si>
  <si>
    <r>
      <rPr>
        <sz val="11"/>
        <color theme="1"/>
        <rFont val="Linux Libertine G"/>
        <family val="2"/>
      </rPr>
      <t xml:space="preserve">银行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银行季度净利润增速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</si>
  <si>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银行季度净利润增速</t>
    </r>
  </si>
  <si>
    <r>
      <rPr>
        <sz val="11"/>
        <color theme="1"/>
        <rFont val="Linux Libertine G"/>
        <family val="2"/>
      </rPr>
      <t xml:space="preserve">银行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银行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</si>
  <si>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银行</t>
    </r>
    <r>
      <rPr>
        <sz val="11"/>
        <color theme="1"/>
        <rFont val="Linux Libertine G"/>
        <family val="2"/>
        <charset val="1"/>
      </rPr>
      <t xml:space="preserve">ROE</t>
    </r>
  </si>
  <si>
    <t xml:space="preserve">9.8</t>
  </si>
  <si>
    <r>
      <rPr>
        <sz val="11"/>
        <color theme="1"/>
        <rFont val="Linux Libertine G"/>
        <family val="2"/>
      </rPr>
      <t xml:space="preserve">银行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拨备覆盖率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</si>
  <si>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拨备覆盖率</t>
    </r>
  </si>
  <si>
    <t xml:space="preserve">245</t>
  </si>
  <si>
    <r>
      <rPr>
        <sz val="11"/>
        <color theme="1"/>
        <rFont val="Linux Libertine G"/>
        <family val="2"/>
      </rPr>
      <t xml:space="preserve">非银金融</t>
    </r>
    <r>
      <rPr>
        <sz val="11"/>
        <color theme="1"/>
        <rFont val="Linux Libertine G"/>
        <family val="2"/>
        <charset val="1"/>
      </rPr>
      <t xml:space="preserve">|1-A</t>
    </r>
    <r>
      <rPr>
        <sz val="11"/>
        <color theme="1"/>
        <rFont val="Linux Libertine G"/>
        <family val="2"/>
      </rPr>
      <t xml:space="preserve">股日均成交额</t>
    </r>
  </si>
  <si>
    <t xml:space="preserve">非银金融</t>
  </si>
  <si>
    <r>
      <rPr>
        <sz val="11"/>
        <color theme="1"/>
        <rFont val="Linux Libertine G"/>
        <family val="2"/>
        <charset val="1"/>
      </rPr>
      <t xml:space="preserve">1-A</t>
    </r>
    <r>
      <rPr>
        <sz val="11"/>
        <color theme="1"/>
        <rFont val="Linux Libertine G"/>
        <family val="2"/>
      </rPr>
      <t xml:space="preserve">股日均成交额</t>
    </r>
  </si>
  <si>
    <t xml:space="preserve">交易所</t>
  </si>
  <si>
    <t xml:space="preserve">11800</t>
  </si>
  <si>
    <r>
      <rPr>
        <sz val="11"/>
        <color theme="1"/>
        <rFont val="Linux Libertine G"/>
        <family val="2"/>
      </rPr>
      <t xml:space="preserve">非银金融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两融余额变化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</si>
  <si>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两融余额变化</t>
    </r>
  </si>
  <si>
    <r>
      <rPr>
        <sz val="11"/>
        <color theme="1"/>
        <rFont val="Linux Libertine G"/>
        <family val="2"/>
      </rPr>
      <t xml:space="preserve">非银金融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新成立基金规模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</si>
  <si>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新成立基金规模</t>
    </r>
  </si>
  <si>
    <t xml:space="preserve">中基协</t>
  </si>
  <si>
    <r>
      <rPr>
        <sz val="11"/>
        <color theme="1"/>
        <rFont val="Linux Libertine G"/>
        <family val="2"/>
      </rPr>
      <t xml:space="preserve">非银金融</t>
    </r>
    <r>
      <rPr>
        <sz val="11"/>
        <color theme="1"/>
        <rFont val="Linux Libertine G"/>
        <family val="2"/>
        <charset val="1"/>
      </rPr>
      <t xml:space="preserve">|4-IPO/</t>
    </r>
    <r>
      <rPr>
        <sz val="11"/>
        <color theme="1"/>
        <rFont val="Linux Libertine G"/>
        <family val="2"/>
      </rPr>
      <t xml:space="preserve">再融资规模</t>
    </r>
  </si>
  <si>
    <r>
      <rPr>
        <sz val="11"/>
        <color theme="1"/>
        <rFont val="Linux Libertine G"/>
        <family val="2"/>
        <charset val="1"/>
      </rPr>
      <t xml:space="preserve">4-IPO/</t>
    </r>
    <r>
      <rPr>
        <sz val="11"/>
        <color theme="1"/>
        <rFont val="Linux Libertine G"/>
        <family val="2"/>
      </rPr>
      <t xml:space="preserve">再融资规模</t>
    </r>
  </si>
  <si>
    <t xml:space="preserve">证监会</t>
  </si>
  <si>
    <t xml:space="preserve">850</t>
  </si>
  <si>
    <r>
      <rPr>
        <sz val="11"/>
        <color theme="1"/>
        <rFont val="Linux Libertine G"/>
        <family val="2"/>
      </rPr>
      <t xml:space="preserve">非银金融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券商经纪业务收入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</si>
  <si>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券商经纪业务收入</t>
    </r>
  </si>
  <si>
    <t xml:space="preserve">证券业协会</t>
  </si>
  <si>
    <r>
      <rPr>
        <sz val="11"/>
        <color theme="1"/>
        <rFont val="Linux Libertine G"/>
        <family val="2"/>
      </rPr>
      <t xml:space="preserve">非银金融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券商投行业务收入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</si>
  <si>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券商投行业务收入</t>
    </r>
  </si>
  <si>
    <r>
      <rPr>
        <sz val="11"/>
        <color theme="1"/>
        <rFont val="Linux Libertine G"/>
        <family val="2"/>
      </rPr>
      <t xml:space="preserve">非银金融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保险保费收入增速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</si>
  <si>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保险保费收入增速</t>
    </r>
  </si>
  <si>
    <r>
      <rPr>
        <sz val="11"/>
        <color theme="1"/>
        <rFont val="Linux Libertine G"/>
        <family val="2"/>
      </rPr>
      <t xml:space="preserve">非银金融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保险资金运用收益率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</si>
  <si>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保险资金运用收益率</t>
    </r>
  </si>
  <si>
    <r>
      <rPr>
        <sz val="11"/>
        <color theme="1"/>
        <rFont val="Linux Libertine G"/>
        <family val="2"/>
      </rPr>
      <t xml:space="preserve">非银金融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非银企业季度净利润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</si>
  <si>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非银企业季度净利润</t>
    </r>
  </si>
  <si>
    <t xml:space="preserve">165</t>
  </si>
  <si>
    <r>
      <rPr>
        <sz val="11"/>
        <color theme="1"/>
        <rFont val="Linux Libertine G"/>
        <family val="2"/>
      </rPr>
      <t xml:space="preserve">非银金融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券商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</si>
  <si>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券商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</si>
  <si>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</rPr>
      <t xml:space="preserve">非银金融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保险综合偿付能力充足率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</si>
  <si>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保险综合偿付能力充足率</t>
    </r>
  </si>
  <si>
    <t xml:space="preserve">225</t>
  </si>
  <si>
    <r>
      <rPr>
        <sz val="11"/>
        <color theme="1"/>
        <rFont val="Linux Libertine G"/>
        <family val="2"/>
      </rPr>
      <t xml:space="preserve">汽车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汽车经销商库存系数</t>
    </r>
  </si>
  <si>
    <t xml:space="preserve">汽车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</si>
  <si>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汽车经销商库存系数</t>
    </r>
  </si>
  <si>
    <t xml:space="preserve">中国汽车流通协会</t>
  </si>
  <si>
    <t xml:space="preserve">1.55</t>
  </si>
  <si>
    <r>
      <rPr>
        <sz val="11"/>
        <color theme="1"/>
        <rFont val="Linux Libertine G"/>
        <family val="2"/>
      </rPr>
      <t xml:space="preserve">汽车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新能源汽车渗透率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</si>
  <si>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新能源汽车渗透率</t>
    </r>
  </si>
  <si>
    <t xml:space="preserve">中汽协</t>
  </si>
  <si>
    <t xml:space="preserve">42.5</t>
  </si>
  <si>
    <r>
      <rPr>
        <sz val="11"/>
        <color theme="1"/>
        <rFont val="Linux Libertine G"/>
        <family val="2"/>
      </rPr>
      <t xml:space="preserve">汽车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动力电池装车量增速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</si>
  <si>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动力电池装车量增速</t>
    </r>
  </si>
  <si>
    <t xml:space="preserve">中国汽车动力电池产业创新联盟</t>
  </si>
  <si>
    <t xml:space="preserve">+38</t>
  </si>
  <si>
    <r>
      <rPr>
        <sz val="11"/>
        <color theme="1"/>
        <rFont val="Linux Libertine G"/>
        <family val="2"/>
      </rPr>
      <t xml:space="preserve">汽车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汽车出口量增速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</si>
  <si>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汽车出口量增速</t>
    </r>
  </si>
  <si>
    <r>
      <rPr>
        <sz val="11"/>
        <color theme="1"/>
        <rFont val="Linux Libertine G"/>
        <family val="2"/>
      </rPr>
      <t xml:space="preserve">汽车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汽车销量增速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</si>
  <si>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汽车销量增速</t>
    </r>
  </si>
  <si>
    <t xml:space="preserve">+9.5</t>
  </si>
  <si>
    <r>
      <rPr>
        <sz val="11"/>
        <color theme="1"/>
        <rFont val="Linux Libertine G"/>
        <family val="2"/>
      </rPr>
      <t xml:space="preserve">汽车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新能源汽车销量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</si>
  <si>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新能源汽车销量</t>
    </r>
  </si>
  <si>
    <r>
      <rPr>
        <sz val="11"/>
        <color theme="1"/>
        <rFont val="Linux Libertine G"/>
        <family val="2"/>
      </rPr>
      <t xml:space="preserve">万辆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月</t>
    </r>
  </si>
  <si>
    <r>
      <rPr>
        <sz val="11"/>
        <color theme="1"/>
        <rFont val="Linux Libertine G"/>
        <family val="2"/>
      </rPr>
      <t xml:space="preserve">汽车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乘用车批发量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</si>
  <si>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乘用车批发量</t>
    </r>
  </si>
  <si>
    <t xml:space="preserve">乘联会</t>
  </si>
  <si>
    <t xml:space="preserve">198</t>
  </si>
  <si>
    <r>
      <rPr>
        <sz val="11"/>
        <color theme="1"/>
        <rFont val="Linux Libertine G"/>
        <family val="2"/>
      </rPr>
      <t xml:space="preserve">汽车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汽车制造业</t>
    </r>
    <r>
      <rPr>
        <sz val="11"/>
        <color theme="1"/>
        <rFont val="Linux Libertine G"/>
        <family val="2"/>
        <charset val="1"/>
      </rPr>
      <t xml:space="preserve">PMI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</si>
  <si>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汽车制造业</t>
    </r>
    <r>
      <rPr>
        <sz val="11"/>
        <color theme="1"/>
        <rFont val="Linux Libertine G"/>
        <family val="2"/>
        <charset val="1"/>
      </rPr>
      <t xml:space="preserve">PMI</t>
    </r>
  </si>
  <si>
    <t xml:space="preserve">52.5</t>
  </si>
  <si>
    <r>
      <rPr>
        <sz val="11"/>
        <color theme="1"/>
        <rFont val="Linux Libertine G"/>
        <family val="2"/>
      </rPr>
      <t xml:space="preserve">汽车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汽车企业季度净利润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</si>
  <si>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汽车企业季度净利润</t>
    </r>
  </si>
  <si>
    <r>
      <rPr>
        <sz val="11"/>
        <color theme="1"/>
        <rFont val="Linux Libertine G"/>
        <family val="2"/>
      </rPr>
      <t xml:space="preserve">汽车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汽车行业产能利用率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</si>
  <si>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汽车行业产能利用率</t>
    </r>
  </si>
  <si>
    <r>
      <rPr>
        <sz val="11"/>
        <color theme="1"/>
        <rFont val="Linux Libertine G"/>
        <family val="2"/>
      </rPr>
      <t xml:space="preserve">汽车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汽车制造业固定资产投资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</si>
  <si>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汽车制造业固定资产投资</t>
    </r>
  </si>
  <si>
    <r>
      <rPr>
        <sz val="11"/>
        <color theme="1"/>
        <rFont val="Linux Libertine G"/>
        <family val="2"/>
      </rPr>
      <t xml:space="preserve">机械设备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制造业固定资产投资增速</t>
    </r>
  </si>
  <si>
    <t xml:space="preserve">机械设备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</si>
  <si>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制造业固定资产投资增速</t>
    </r>
  </si>
  <si>
    <r>
      <rPr>
        <sz val="11"/>
        <color theme="1"/>
        <rFont val="Linux Libertine G"/>
        <family val="2"/>
      </rPr>
      <t xml:space="preserve">机械设备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挖掘机开工小时数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</si>
  <si>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挖掘机开工小时数</t>
    </r>
  </si>
  <si>
    <t xml:space="preserve">小松</t>
  </si>
  <si>
    <t xml:space="preserve">108</t>
  </si>
  <si>
    <r>
      <rPr>
        <sz val="11"/>
        <color theme="1"/>
        <rFont val="Linux Libertine G"/>
        <family val="2"/>
      </rPr>
      <t xml:space="preserve">小时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月</t>
    </r>
  </si>
  <si>
    <r>
      <rPr>
        <sz val="11"/>
        <color theme="1"/>
        <rFont val="Linux Libertine G"/>
        <family val="2"/>
      </rPr>
      <t xml:space="preserve">机械设备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机床订单增速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</si>
  <si>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机床订单增速</t>
    </r>
  </si>
  <si>
    <t xml:space="preserve">日本机床工业协会</t>
  </si>
  <si>
    <r>
      <rPr>
        <sz val="11"/>
        <color theme="1"/>
        <rFont val="Linux Libertine G"/>
        <family val="2"/>
      </rPr>
      <t xml:space="preserve">机械设备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工业机器人产量增速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</si>
  <si>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工业机器人产量增速</t>
    </r>
  </si>
  <si>
    <r>
      <rPr>
        <sz val="11"/>
        <color theme="1"/>
        <rFont val="Linux Libertine G"/>
        <family val="2"/>
      </rPr>
      <t xml:space="preserve">机械设备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挖掘机销量增速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</si>
  <si>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挖掘机销量增速</t>
    </r>
  </si>
  <si>
    <t xml:space="preserve">中国工程机械工业协会</t>
  </si>
  <si>
    <r>
      <rPr>
        <sz val="11"/>
        <color theme="1"/>
        <rFont val="Linux Libertine G"/>
        <family val="2"/>
      </rPr>
      <t xml:space="preserve">机械设备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金属切削机床产量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</si>
  <si>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金属切削机床产量</t>
    </r>
  </si>
  <si>
    <r>
      <rPr>
        <sz val="11"/>
        <color theme="1"/>
        <rFont val="Linux Libertine G"/>
        <family val="2"/>
      </rPr>
      <t xml:space="preserve">机械设备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叉车销量增速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</si>
  <si>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叉车销量增速</t>
    </r>
  </si>
  <si>
    <r>
      <rPr>
        <sz val="11"/>
        <color theme="1"/>
        <rFont val="Linux Libertine G"/>
        <family val="2"/>
      </rPr>
      <t xml:space="preserve">机械设备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机械设备出口增速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</si>
  <si>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机械设备出口增速</t>
    </r>
  </si>
  <si>
    <r>
      <rPr>
        <sz val="11"/>
        <color theme="1"/>
        <rFont val="Linux Libertine G"/>
        <family val="2"/>
      </rPr>
      <t xml:space="preserve">机械设备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机械企业季度净利润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</si>
  <si>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机械企业季度净利润</t>
    </r>
  </si>
  <si>
    <r>
      <rPr>
        <sz val="11"/>
        <color theme="1"/>
        <rFont val="Linux Libertine G"/>
        <family val="2"/>
      </rPr>
      <t xml:space="preserve">机械设备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机械行业毛利率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</si>
  <si>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机械行业毛利率</t>
    </r>
  </si>
  <si>
    <r>
      <rPr>
        <sz val="11"/>
        <color theme="1"/>
        <rFont val="Linux Libertine G"/>
        <family val="2"/>
      </rPr>
      <t xml:space="preserve">机械设备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机械行业产能利用率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</si>
  <si>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机械行业产能利用率</t>
    </r>
  </si>
  <si>
    <t xml:space="preserve">76</t>
  </si>
  <si>
    <r>
      <rPr>
        <sz val="11"/>
        <color theme="1"/>
        <rFont val="Linux Libertine G"/>
        <family val="2"/>
      </rPr>
      <t xml:space="preserve">煤炭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动力煤港口库存</t>
    </r>
  </si>
  <si>
    <t xml:space="preserve">煤炭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</si>
  <si>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动力煤港口库存</t>
    </r>
  </si>
  <si>
    <t xml:space="preserve">秦皇岛港</t>
  </si>
  <si>
    <t xml:space="preserve">万吨</t>
  </si>
  <si>
    <r>
      <rPr>
        <sz val="11"/>
        <color theme="1"/>
        <rFont val="Linux Libertine G"/>
        <family val="2"/>
      </rPr>
      <t xml:space="preserve">煤炭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焦煤港口库存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</si>
  <si>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焦煤港口库存</t>
    </r>
  </si>
  <si>
    <t xml:space="preserve">京唐港</t>
  </si>
  <si>
    <r>
      <rPr>
        <sz val="11"/>
        <color theme="1"/>
        <rFont val="Linux Libertine G"/>
        <family val="2"/>
      </rPr>
      <t xml:space="preserve">煤炭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电厂日耗煤量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</si>
  <si>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电厂日耗煤量</t>
    </r>
  </si>
  <si>
    <t xml:space="preserve">六大电厂</t>
  </si>
  <si>
    <r>
      <rPr>
        <sz val="11"/>
        <color theme="1"/>
        <rFont val="Linux Libertine G"/>
        <family val="2"/>
      </rPr>
      <t xml:space="preserve">煤炭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进口煤数量增速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</si>
  <si>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进口煤数量增速</t>
    </r>
  </si>
  <si>
    <r>
      <rPr>
        <sz val="11"/>
        <color theme="1"/>
        <rFont val="Linux Libertine G"/>
        <family val="2"/>
      </rPr>
      <t xml:space="preserve">煤炭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动力煤现货价格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</si>
  <si>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动力煤现货价格</t>
    </r>
  </si>
  <si>
    <t xml:space="preserve">860</t>
  </si>
  <si>
    <r>
      <rPr>
        <sz val="11"/>
        <color theme="1"/>
        <rFont val="Linux Libertine G"/>
        <family val="2"/>
      </rPr>
      <t xml:space="preserve">煤炭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焦煤现货价格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</si>
  <si>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焦煤现货价格</t>
    </r>
  </si>
  <si>
    <t xml:space="preserve">1950</t>
  </si>
  <si>
    <r>
      <rPr>
        <sz val="11"/>
        <color theme="1"/>
        <rFont val="Linux Libertine G"/>
        <family val="2"/>
      </rPr>
      <t xml:space="preserve">煤炭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焦炭价格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</si>
  <si>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焦炭价格</t>
    </r>
  </si>
  <si>
    <t xml:space="preserve">2350</t>
  </si>
  <si>
    <r>
      <rPr>
        <sz val="11"/>
        <color theme="1"/>
        <rFont val="Linux Libertine G"/>
        <family val="2"/>
      </rPr>
      <t xml:space="preserve">煤炭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煤炭运价指数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</si>
  <si>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煤炭运价指数</t>
    </r>
  </si>
  <si>
    <t xml:space="preserve">CBCFI</t>
  </si>
  <si>
    <t xml:space="preserve">950</t>
  </si>
  <si>
    <r>
      <rPr>
        <sz val="11"/>
        <color theme="1"/>
        <rFont val="Linux Libertine G"/>
        <family val="2"/>
      </rPr>
      <t xml:space="preserve">煤炭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煤炭企业季度净利润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</si>
  <si>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煤炭企业季度净利润</t>
    </r>
  </si>
  <si>
    <t xml:space="preserve">285</t>
  </si>
  <si>
    <r>
      <rPr>
        <sz val="11"/>
        <color theme="1"/>
        <rFont val="Linux Libertine G"/>
        <family val="2"/>
      </rPr>
      <t xml:space="preserve">煤炭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煤炭行业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</si>
  <si>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煤炭行业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</si>
  <si>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</rPr>
      <t xml:space="preserve">煤炭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煤炭行业资产负债率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</si>
  <si>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煤炭行业资产负债率</t>
    </r>
  </si>
  <si>
    <r>
      <rPr>
        <sz val="11"/>
        <color theme="1"/>
        <rFont val="Linux Libertine G"/>
        <family val="2"/>
      </rPr>
      <t xml:space="preserve">石油石化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原油价格</t>
    </r>
    <r>
      <rPr>
        <sz val="11"/>
        <color theme="1"/>
        <rFont val="Linux Libertine G"/>
        <family val="2"/>
        <charset val="1"/>
      </rPr>
      <t xml:space="preserve">(Brent)</t>
    </r>
  </si>
  <si>
    <t xml:space="preserve">石油石化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</si>
  <si>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原油价格</t>
    </r>
    <r>
      <rPr>
        <sz val="11"/>
        <color theme="1"/>
        <rFont val="Linux Libertine G"/>
        <family val="2"/>
        <charset val="1"/>
      </rPr>
      <t xml:space="preserve">(Brent)</t>
    </r>
  </si>
  <si>
    <t xml:space="preserve">ICE</t>
  </si>
  <si>
    <r>
      <rPr>
        <sz val="11"/>
        <color theme="1"/>
        <rFont val="Linux Libertine G"/>
        <family val="2"/>
      </rPr>
      <t xml:space="preserve">石油石化</t>
    </r>
    <r>
      <rPr>
        <sz val="11"/>
        <color theme="1"/>
        <rFont val="Linux Libertine G"/>
        <family val="2"/>
        <charset val="1"/>
      </rPr>
      <t xml:space="preserve">|2-OPEC+</t>
    </r>
    <r>
      <rPr>
        <sz val="11"/>
        <color theme="1"/>
        <rFont val="Linux Libertine G"/>
        <family val="2"/>
      </rPr>
      <t xml:space="preserve">产量政策</t>
    </r>
  </si>
  <si>
    <r>
      <rPr>
        <sz val="11"/>
        <color theme="1"/>
        <rFont val="Linux Libertine G"/>
        <family val="2"/>
        <charset val="1"/>
      </rPr>
      <t xml:space="preserve">2-OPEC+</t>
    </r>
    <r>
      <rPr>
        <sz val="11"/>
        <color theme="1"/>
        <rFont val="Linux Libertine G"/>
        <family val="2"/>
      </rPr>
      <t xml:space="preserve">产量政策</t>
    </r>
  </si>
  <si>
    <t xml:space="preserve">OPEC</t>
  </si>
  <si>
    <t xml:space="preserve">-50</t>
  </si>
  <si>
    <r>
      <rPr>
        <sz val="11"/>
        <color theme="1"/>
        <rFont val="Linux Libertine G"/>
        <family val="2"/>
      </rPr>
      <t xml:space="preserve">万桶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日</t>
    </r>
    <r>
      <rPr>
        <sz val="11"/>
        <color theme="1"/>
        <rFont val="Linux Libertine G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减产</t>
    </r>
    <r>
      <rPr>
        <sz val="11"/>
        <color theme="1"/>
        <rFont val="Linux Libertine G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</si>
  <si>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石油石化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美国原油库存变化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</si>
  <si>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美国原油库存变化</t>
    </r>
  </si>
  <si>
    <t xml:space="preserve">EIA</t>
  </si>
  <si>
    <t xml:space="preserve">%WoW</t>
  </si>
  <si>
    <r>
      <rPr>
        <sz val="11"/>
        <color theme="1"/>
        <rFont val="Linux Libertine G"/>
        <family val="2"/>
      </rPr>
      <t xml:space="preserve">石油石化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全球石油需求预期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</si>
  <si>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全球石油需求预期</t>
    </r>
  </si>
  <si>
    <t xml:space="preserve">IEA/EIA/OPEC</t>
  </si>
  <si>
    <r>
      <rPr>
        <sz val="11"/>
        <color theme="1"/>
        <rFont val="Linux Libertine G"/>
        <family val="2"/>
      </rPr>
      <t xml:space="preserve">石油石化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成品油价格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</si>
  <si>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成品油价格</t>
    </r>
  </si>
  <si>
    <t xml:space="preserve">发改委</t>
  </si>
  <si>
    <t xml:space="preserve">7.85</t>
  </si>
  <si>
    <r>
      <rPr>
        <sz val="11"/>
        <color theme="1"/>
        <rFont val="Linux Libertine G"/>
        <family val="2"/>
      </rPr>
      <t xml:space="preserve">元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升</t>
    </r>
  </si>
  <si>
    <r>
      <rPr>
        <sz val="11"/>
        <color theme="1"/>
        <rFont val="Linux Libertine G"/>
        <family val="2"/>
      </rPr>
      <t xml:space="preserve">石油石化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炼化开工率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</si>
  <si>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炼化开工率</t>
    </r>
  </si>
  <si>
    <t xml:space="preserve">隆众资讯</t>
  </si>
  <si>
    <r>
      <rPr>
        <sz val="11"/>
        <color theme="1"/>
        <rFont val="Linux Libertine G"/>
        <family val="2"/>
      </rPr>
      <t xml:space="preserve">石油石化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化工品价差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</si>
  <si>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化工品价差</t>
    </r>
  </si>
  <si>
    <t xml:space="preserve">+6</t>
  </si>
  <si>
    <r>
      <rPr>
        <sz val="11"/>
        <color theme="1"/>
        <rFont val="Linux Libertine G"/>
        <family val="2"/>
      </rPr>
      <t xml:space="preserve">石油石化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石油制品出口增速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</si>
  <si>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石油制品出口增速</t>
    </r>
  </si>
  <si>
    <r>
      <rPr>
        <sz val="11"/>
        <color theme="1"/>
        <rFont val="Linux Libertine G"/>
        <family val="2"/>
      </rPr>
      <t xml:space="preserve">石油石化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石化企业季度净利润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</si>
  <si>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石化企业季度净利润</t>
    </r>
  </si>
  <si>
    <t xml:space="preserve">385</t>
  </si>
  <si>
    <r>
      <rPr>
        <sz val="11"/>
        <color theme="1"/>
        <rFont val="Linux Libertine G"/>
        <family val="2"/>
      </rPr>
      <t xml:space="preserve">石油石化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石化行业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</si>
  <si>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石化行业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</si>
  <si>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</rPr>
      <t xml:space="preserve">石油石化</t>
    </r>
    <r>
      <rPr>
        <sz val="11"/>
        <color theme="1"/>
        <rFont val="Linux Libertine G"/>
        <family val="2"/>
        <charset val="1"/>
      </rPr>
      <t xml:space="preserve">|11-PPI</t>
    </r>
    <r>
      <rPr>
        <sz val="11"/>
        <color theme="1"/>
        <rFont val="Linux Libertine G"/>
        <family val="2"/>
      </rPr>
      <t xml:space="preserve">石油和天然气开采</t>
    </r>
  </si>
  <si>
    <r>
      <rPr>
        <sz val="11"/>
        <color theme="1"/>
        <rFont val="Linux Libertine G"/>
        <family val="2"/>
        <charset val="1"/>
      </rPr>
      <t xml:space="preserve">11-PPI</t>
    </r>
    <r>
      <rPr>
        <sz val="11"/>
        <color theme="1"/>
        <rFont val="Linux Libertine G"/>
        <family val="2"/>
      </rPr>
      <t xml:space="preserve">石油和天然气开采</t>
    </r>
  </si>
  <si>
    <r>
      <rPr>
        <sz val="11"/>
        <color theme="1"/>
        <rFont val="Linux Libertine G"/>
        <family val="2"/>
      </rPr>
      <t xml:space="preserve">环保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环保固定资产投资计划</t>
    </r>
  </si>
  <si>
    <t xml:space="preserve">环保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</si>
  <si>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环保固定资产投资计划</t>
    </r>
  </si>
  <si>
    <r>
      <rPr>
        <sz val="11"/>
        <color theme="1"/>
        <rFont val="Linux Libertine G"/>
        <family val="2"/>
      </rPr>
      <t xml:space="preserve">环保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环保政策发布数量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</si>
  <si>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环保政策发布数量</t>
    </r>
  </si>
  <si>
    <t xml:space="preserve">生态环境部</t>
  </si>
  <si>
    <r>
      <rPr>
        <sz val="11"/>
        <color theme="1"/>
        <rFont val="Linux Libertine G"/>
        <family val="2"/>
      </rPr>
      <t xml:space="preserve">项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年</t>
    </r>
  </si>
  <si>
    <r>
      <rPr>
        <sz val="11"/>
        <color theme="1"/>
        <rFont val="Linux Libertine G"/>
        <family val="2"/>
      </rPr>
      <t xml:space="preserve">环保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碳交易价格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</si>
  <si>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碳交易价格</t>
    </r>
  </si>
  <si>
    <t xml:space="preserve">全国碳市场</t>
  </si>
  <si>
    <r>
      <rPr>
        <sz val="11"/>
        <color theme="1"/>
        <rFont val="Linux Libertine G"/>
        <family val="2"/>
      </rPr>
      <t xml:space="preserve">环保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地方政府环保支出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</si>
  <si>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地方政府环保支出</t>
    </r>
  </si>
  <si>
    <r>
      <rPr>
        <sz val="11"/>
        <color theme="1"/>
        <rFont val="Linux Libertine G"/>
        <family val="2"/>
      </rPr>
      <t xml:space="preserve">环保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污水处理量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</si>
  <si>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污水处理量</t>
    </r>
  </si>
  <si>
    <t xml:space="preserve">住建部</t>
  </si>
  <si>
    <r>
      <rPr>
        <sz val="11"/>
        <color theme="1"/>
        <rFont val="Linux Libertine G"/>
        <family val="2"/>
      </rPr>
      <t xml:space="preserve">环保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垃圾处理量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</si>
  <si>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垃圾处理量</t>
    </r>
  </si>
  <si>
    <r>
      <rPr>
        <sz val="11"/>
        <color theme="1"/>
        <rFont val="Linux Libertine G"/>
        <family val="2"/>
      </rPr>
      <t xml:space="preserve">环保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环保企业订单金额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</si>
  <si>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环保企业订单金额</t>
    </r>
  </si>
  <si>
    <r>
      <rPr>
        <sz val="11"/>
        <color theme="1"/>
        <rFont val="Linux Libertine G"/>
        <family val="2"/>
      </rPr>
      <t xml:space="preserve">环保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环保设备产量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</si>
  <si>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环保设备产量</t>
    </r>
  </si>
  <si>
    <r>
      <rPr>
        <sz val="11"/>
        <color theme="1"/>
        <rFont val="Linux Libertine G"/>
        <family val="2"/>
      </rPr>
      <t xml:space="preserve">环保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环保企业季度净利润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</si>
  <si>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环保企业季度净利润</t>
    </r>
  </si>
  <si>
    <r>
      <rPr>
        <sz val="11"/>
        <color theme="1"/>
        <rFont val="Linux Libertine G"/>
        <family val="2"/>
      </rPr>
      <t xml:space="preserve">环保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环保行业毛利率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</si>
  <si>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环保行业毛利率</t>
    </r>
  </si>
  <si>
    <r>
      <rPr>
        <sz val="11"/>
        <color theme="1"/>
        <rFont val="Linux Libertine G"/>
        <family val="2"/>
      </rPr>
      <t xml:space="preserve">环保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环保行业应收账款周转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</si>
  <si>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环保行业应收账款周转</t>
    </r>
  </si>
  <si>
    <r>
      <rPr>
        <sz val="11"/>
        <color theme="1"/>
        <rFont val="Linux Libertine G"/>
        <family val="2"/>
      </rPr>
      <t xml:space="preserve">美容护理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居民人均可支配收入增速</t>
    </r>
  </si>
  <si>
    <t xml:space="preserve">美容护理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</si>
  <si>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居民人均可支配收入增速</t>
    </r>
  </si>
  <si>
    <r>
      <rPr>
        <sz val="11"/>
        <color theme="1"/>
        <rFont val="Linux Libertine G"/>
        <family val="2"/>
      </rPr>
      <t xml:space="preserve">美容护理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化妆品进口金额增速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</si>
  <si>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化妆品进口金额增速</t>
    </r>
  </si>
  <si>
    <r>
      <rPr>
        <sz val="11"/>
        <color theme="1"/>
        <rFont val="Linux Libertine G"/>
        <family val="2"/>
      </rPr>
      <t xml:space="preserve">美容护理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消费者信心指数</t>
    </r>
  </si>
  <si>
    <r>
      <rPr>
        <sz val="11"/>
        <color theme="1"/>
        <rFont val="Linux Libertine G"/>
        <family val="2"/>
      </rPr>
      <t xml:space="preserve">美容护理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社交媒体美妆话题热度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</si>
  <si>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社交媒体美妆话题热度</t>
    </r>
  </si>
  <si>
    <t xml:space="preserve">相关平台</t>
  </si>
  <si>
    <r>
      <rPr>
        <sz val="11"/>
        <color theme="1"/>
        <rFont val="Linux Libertine G"/>
        <family val="2"/>
      </rPr>
      <t xml:space="preserve">美容护理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化妆品零售额增速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</si>
  <si>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化妆品零售额增速</t>
    </r>
  </si>
  <si>
    <r>
      <rPr>
        <sz val="11"/>
        <color theme="1"/>
        <rFont val="Linux Libertine G"/>
        <family val="2"/>
      </rPr>
      <t xml:space="preserve">美容护理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医美市场规模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</si>
  <si>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医美市场规模</t>
    </r>
  </si>
  <si>
    <r>
      <rPr>
        <sz val="11"/>
        <color theme="1"/>
        <rFont val="Linux Libertine G"/>
        <family val="2"/>
      </rPr>
      <t xml:space="preserve">美容护理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个护用品产量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</si>
  <si>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个护用品产量</t>
    </r>
  </si>
  <si>
    <r>
      <rPr>
        <sz val="11"/>
        <color theme="1"/>
        <rFont val="Linux Libertine G"/>
        <family val="2"/>
      </rPr>
      <t xml:space="preserve">美容护理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美容护理线上销售额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</si>
  <si>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美容护理线上销售额</t>
    </r>
  </si>
  <si>
    <r>
      <rPr>
        <sz val="11"/>
        <color theme="1"/>
        <rFont val="Linux Libertine G"/>
        <family val="2"/>
      </rPr>
      <t xml:space="preserve">魔镜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欧特欧</t>
    </r>
  </si>
  <si>
    <r>
      <rPr>
        <sz val="11"/>
        <color theme="1"/>
        <rFont val="Linux Libertine G"/>
        <family val="2"/>
      </rPr>
      <t xml:space="preserve">美容护理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美容护理企业季度净利润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</si>
  <si>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美容护理企业季度净利润</t>
    </r>
  </si>
  <si>
    <r>
      <rPr>
        <sz val="11"/>
        <color theme="1"/>
        <rFont val="Linux Libertine G"/>
        <family val="2"/>
      </rPr>
      <t xml:space="preserve">美容护理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美容护理行业毛利率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</si>
  <si>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美容护理行业毛利率</t>
    </r>
  </si>
  <si>
    <r>
      <rPr>
        <sz val="11"/>
        <color theme="1"/>
        <rFont val="Linux Libertine G"/>
        <family val="2"/>
      </rPr>
      <t xml:space="preserve">美容护理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美容护理行业销售费用率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</si>
  <si>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美容护理行业销售费用率</t>
    </r>
  </si>
  <si>
    <t xml:space="preserve">32</t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</si>
  <si>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全球半导体销售额增速</t>
    </r>
  </si>
  <si>
    <t xml:space="preserve">半导体</t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</si>
  <si>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存储芯片价格变化</t>
    </r>
    <r>
      <rPr>
        <sz val="11"/>
        <color theme="1"/>
        <rFont val="Linux Libertine G"/>
        <family val="2"/>
        <charset val="1"/>
      </rPr>
      <t xml:space="preserve">(DRAM/NAND)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</si>
  <si>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存储芯片价格变化</t>
    </r>
    <r>
      <rPr>
        <sz val="11"/>
        <color theme="1"/>
        <rFont val="Linux Libertine G"/>
        <family val="2"/>
        <charset val="1"/>
      </rPr>
      <t xml:space="preserve">(DRAM/NAND)</t>
    </r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</si>
  <si>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硅片出货量增速</t>
    </r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</si>
  <si>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设备商订单增速</t>
    </r>
    <r>
      <rPr>
        <sz val="11"/>
        <color theme="1"/>
        <rFont val="Linux Libertine G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应用材料</t>
    </r>
    <r>
      <rPr>
        <sz val="11"/>
        <color theme="1"/>
        <rFont val="Linux Libertine G"/>
        <family val="2"/>
        <charset val="1"/>
      </rPr>
      <t xml:space="preserve">/ASML)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</si>
  <si>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设备商订单增速</t>
    </r>
    <r>
      <rPr>
        <sz val="11"/>
        <color theme="1"/>
        <rFont val="Linux Libertine G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应用材料</t>
    </r>
    <r>
      <rPr>
        <sz val="11"/>
        <color theme="1"/>
        <rFont val="Linux Libertine G"/>
        <family val="2"/>
        <charset val="1"/>
      </rPr>
      <t xml:space="preserve">/ASML)</t>
    </r>
  </si>
  <si>
    <t xml:space="preserve">公司财报</t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</si>
  <si>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下游客户库存周转天数</t>
    </r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</si>
  <si>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龙头企业资本开支增速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</si>
  <si>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龙头企业资本开支增速</t>
    </r>
  </si>
  <si>
    <r>
      <rPr>
        <sz val="11"/>
        <color theme="1"/>
        <rFont val="Linux Libertine G"/>
        <family val="2"/>
      </rPr>
      <t xml:space="preserve">中芯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台积电财报</t>
    </r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</si>
  <si>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新签订单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合同负债增速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</si>
  <si>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新签订单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合同负债增速</t>
    </r>
  </si>
  <si>
    <r>
      <rPr>
        <sz val="11"/>
        <color theme="1"/>
        <rFont val="Linux Libertine G"/>
        <family val="2"/>
      </rPr>
      <t xml:space="preserve">设备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材料商财报</t>
    </r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</si>
  <si>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进口替代进度</t>
    </r>
    <r>
      <rPr>
        <sz val="11"/>
        <color theme="1"/>
        <rFont val="Linux Libertine G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国产化率提升</t>
    </r>
    <r>
      <rPr>
        <sz val="11"/>
        <color theme="1"/>
        <rFont val="Linux Libertine G"/>
        <family val="2"/>
        <charset val="1"/>
      </rPr>
      <t xml:space="preserve">)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</si>
  <si>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进口替代进度</t>
    </r>
    <r>
      <rPr>
        <sz val="11"/>
        <color theme="1"/>
        <rFont val="Linux Libertine G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国产化率提升</t>
    </r>
    <r>
      <rPr>
        <sz val="11"/>
        <color theme="1"/>
        <rFont val="Linux Libertine G"/>
        <family val="2"/>
        <charset val="1"/>
      </rPr>
      <t xml:space="preserve">)</t>
    </r>
  </si>
  <si>
    <t xml:space="preserve">产业调研</t>
  </si>
  <si>
    <t xml:space="preserve">pct</t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</si>
  <si>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晶圆厂产能利用率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</si>
  <si>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晶圆厂产能利用率</t>
    </r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</si>
  <si>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半导体设备出货额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</si>
  <si>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半导体设备出货额</t>
    </r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</si>
  <si>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封测产能利用率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</si>
  <si>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封测产能利用率</t>
    </r>
  </si>
  <si>
    <r>
      <rPr>
        <sz val="11"/>
        <color theme="1"/>
        <rFont val="Linux Libertine G"/>
        <family val="2"/>
      </rPr>
      <t xml:space="preserve">日月光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长电科技</t>
    </r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</si>
  <si>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|12-</t>
    </r>
    <r>
      <rPr>
        <sz val="11"/>
        <color theme="1"/>
        <rFont val="Linux Libertine G"/>
        <family val="2"/>
      </rPr>
      <t xml:space="preserve">半导体材料出货量</t>
    </r>
  </si>
  <si>
    <r>
      <rPr>
        <sz val="11"/>
        <color theme="1"/>
        <rFont val="Linux Libertine G"/>
        <family val="2"/>
        <charset val="1"/>
      </rPr>
      <t xml:space="preserve">12-</t>
    </r>
    <r>
      <rPr>
        <sz val="11"/>
        <color theme="1"/>
        <rFont val="Linux Libertine G"/>
        <family val="2"/>
      </rPr>
      <t xml:space="preserve">半导体材料出货量</t>
    </r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</si>
  <si>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|13-</t>
    </r>
    <r>
      <rPr>
        <sz val="11"/>
        <color theme="1"/>
        <rFont val="Linux Libertine G"/>
        <family val="2"/>
      </rPr>
      <t xml:space="preserve">半导体企业季度毛利率</t>
    </r>
  </si>
  <si>
    <r>
      <rPr>
        <sz val="11"/>
        <color theme="1"/>
        <rFont val="Linux Libertine G"/>
        <family val="2"/>
        <charset val="1"/>
      </rPr>
      <t xml:space="preserve">13-</t>
    </r>
    <r>
      <rPr>
        <sz val="11"/>
        <color theme="1"/>
        <rFont val="Linux Libertine G"/>
        <family val="2"/>
      </rPr>
      <t xml:space="preserve">半导体企业季度毛利率</t>
    </r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</si>
  <si>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|14-</t>
    </r>
    <r>
      <rPr>
        <sz val="11"/>
        <color theme="1"/>
        <rFont val="Linux Libertine G"/>
        <family val="2"/>
      </rPr>
      <t xml:space="preserve">半导体行业净利润增速</t>
    </r>
  </si>
  <si>
    <r>
      <rPr>
        <sz val="11"/>
        <color theme="1"/>
        <rFont val="Linux Libertine G"/>
        <family val="2"/>
        <charset val="1"/>
      </rPr>
      <t xml:space="preserve">14-</t>
    </r>
    <r>
      <rPr>
        <sz val="11"/>
        <color theme="1"/>
        <rFont val="Linux Libertine G"/>
        <family val="2"/>
      </rPr>
      <t xml:space="preserve">半导体行业净利润增速</t>
    </r>
  </si>
  <si>
    <t xml:space="preserve">+85</t>
  </si>
  <si>
    <r>
      <rPr>
        <sz val="11"/>
        <color theme="1"/>
        <rFont val="Linux Libertine G"/>
        <family val="2"/>
      </rPr>
      <t xml:space="preserve">半导体</t>
    </r>
    <r>
      <rPr>
        <sz val="11"/>
        <color theme="1"/>
        <rFont val="Linux Libertine G"/>
        <family val="2"/>
        <charset val="1"/>
      </rPr>
      <t xml:space="preserve">|15-</t>
    </r>
    <r>
      <rPr>
        <sz val="11"/>
        <color theme="1"/>
        <rFont val="Linux Libertine G"/>
        <family val="2"/>
      </rPr>
      <t xml:space="preserve">半导体行业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</si>
  <si>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  <charset val="1"/>
      </rPr>
      <t xml:space="preserve">15-</t>
    </r>
    <r>
      <rPr>
        <sz val="11"/>
        <color theme="1"/>
        <rFont val="Linux Libertine G"/>
        <family val="2"/>
      </rPr>
      <t xml:space="preserve">半导体行业</t>
    </r>
    <r>
      <rPr>
        <sz val="11"/>
        <color theme="1"/>
        <rFont val="Linux Libertine G"/>
        <family val="2"/>
        <charset val="1"/>
      </rPr>
      <t xml:space="preserve">ROE</t>
    </r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</si>
  <si>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光伏组件价格</t>
    </r>
  </si>
  <si>
    <t xml:space="preserve">新能源</t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</si>
  <si>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硅料价格</t>
    </r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</si>
  <si>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锂电池价格</t>
    </r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</si>
  <si>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风电招标量</t>
    </r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</si>
  <si>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电网投资计划</t>
    </r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</si>
  <si>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储能招标量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</si>
  <si>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储能招标量</t>
    </r>
  </si>
  <si>
    <t xml:space="preserve">GWh</t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</si>
  <si>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氢能项目规划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</si>
  <si>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氢能项目规划</t>
    </r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</si>
  <si>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新能源车渗透率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</si>
  <si>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新能源车渗透率</t>
    </r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</si>
  <si>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光伏装机量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</si>
  <si>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光伏装机量</t>
    </r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</si>
  <si>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风电装机量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</si>
  <si>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风电装机量</t>
    </r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</si>
  <si>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储能装机量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</si>
  <si>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储能装机量</t>
    </r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</si>
  <si>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|12-</t>
    </r>
    <r>
      <rPr>
        <sz val="11"/>
        <color theme="1"/>
        <rFont val="Linux Libertine G"/>
        <family val="2"/>
      </rPr>
      <t xml:space="preserve">新能源车销量</t>
    </r>
  </si>
  <si>
    <r>
      <rPr>
        <sz val="11"/>
        <color theme="1"/>
        <rFont val="Linux Libertine G"/>
        <family val="2"/>
        <charset val="1"/>
      </rPr>
      <t xml:space="preserve">12-</t>
    </r>
    <r>
      <rPr>
        <sz val="11"/>
        <color theme="1"/>
        <rFont val="Linux Libertine G"/>
        <family val="2"/>
      </rPr>
      <t xml:space="preserve">新能源车销量</t>
    </r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</si>
  <si>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|13-</t>
    </r>
    <r>
      <rPr>
        <sz val="11"/>
        <color theme="1"/>
        <rFont val="Linux Libertine G"/>
        <family val="2"/>
      </rPr>
      <t xml:space="preserve">新能源企业季度净利润</t>
    </r>
  </si>
  <si>
    <r>
      <rPr>
        <sz val="11"/>
        <color theme="1"/>
        <rFont val="Linux Libertine G"/>
        <family val="2"/>
        <charset val="1"/>
      </rPr>
      <t xml:space="preserve">13-</t>
    </r>
    <r>
      <rPr>
        <sz val="11"/>
        <color theme="1"/>
        <rFont val="Linux Libertine G"/>
        <family val="2"/>
      </rPr>
      <t xml:space="preserve">新能源企业季度净利润</t>
    </r>
  </si>
  <si>
    <t xml:space="preserve">95</t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</si>
  <si>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|14-</t>
    </r>
    <r>
      <rPr>
        <sz val="11"/>
        <color theme="1"/>
        <rFont val="Linux Libertine G"/>
        <family val="2"/>
      </rPr>
      <t xml:space="preserve">新能源行业毛利率</t>
    </r>
  </si>
  <si>
    <r>
      <rPr>
        <sz val="11"/>
        <color theme="1"/>
        <rFont val="Linux Libertine G"/>
        <family val="2"/>
        <charset val="1"/>
      </rPr>
      <t xml:space="preserve">14-</t>
    </r>
    <r>
      <rPr>
        <sz val="11"/>
        <color theme="1"/>
        <rFont val="Linux Libertine G"/>
        <family val="2"/>
      </rPr>
      <t xml:space="preserve">新能源行业毛利率</t>
    </r>
  </si>
  <si>
    <r>
      <rPr>
        <sz val="11"/>
        <color theme="1"/>
        <rFont val="Linux Libertine G"/>
        <family val="2"/>
      </rPr>
      <t xml:space="preserve">新能源</t>
    </r>
    <r>
      <rPr>
        <sz val="11"/>
        <color theme="1"/>
        <rFont val="Linux Libertine G"/>
        <family val="2"/>
        <charset val="1"/>
      </rPr>
      <t xml:space="preserve">|15-</t>
    </r>
    <r>
      <rPr>
        <sz val="11"/>
        <color theme="1"/>
        <rFont val="Linux Libertine G"/>
        <family val="2"/>
      </rPr>
      <t xml:space="preserve">新能源行业产能利用率</t>
    </r>
  </si>
  <si>
    <r>
      <rPr>
        <sz val="11"/>
        <color theme="1"/>
        <rFont val="Linux Libertine G"/>
        <family val="2"/>
        <charset val="1"/>
      </rPr>
      <t xml:space="preserve">15-</t>
    </r>
    <r>
      <rPr>
        <sz val="11"/>
        <color theme="1"/>
        <rFont val="Linux Libertine G"/>
        <family val="2"/>
      </rPr>
      <t xml:space="preserve">新能源行业产能利用率</t>
    </r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</si>
  <si>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IND</t>
    </r>
    <r>
      <rPr>
        <sz val="11"/>
        <color theme="1"/>
        <rFont val="Linux Libertine G"/>
        <family val="2"/>
      </rPr>
      <t xml:space="preserve">数量</t>
    </r>
  </si>
  <si>
    <t xml:space="preserve">医药医疗</t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</si>
  <si>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医保谈判降价幅度</t>
    </r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</si>
  <si>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原料药价格变化</t>
    </r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</si>
  <si>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全球生物医药融资额</t>
    </r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</si>
  <si>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医疗器械注册证数量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</si>
  <si>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医疗器械注册证数量</t>
    </r>
  </si>
  <si>
    <t xml:space="preserve">NMPA</t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</si>
  <si>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|6-CXO</t>
    </r>
    <r>
      <rPr>
        <sz val="11"/>
        <color theme="1"/>
        <rFont val="Linux Libertine G"/>
        <family val="2"/>
      </rPr>
      <t xml:space="preserve">订单增速</t>
    </r>
  </si>
  <si>
    <r>
      <rPr>
        <sz val="11"/>
        <color theme="1"/>
        <rFont val="Linux Libertine G"/>
        <family val="2"/>
        <charset val="1"/>
      </rPr>
      <t xml:space="preserve">6-CXO</t>
    </r>
    <r>
      <rPr>
        <sz val="11"/>
        <color theme="1"/>
        <rFont val="Linux Libertine G"/>
        <family val="2"/>
      </rPr>
      <t xml:space="preserve">订单增速</t>
    </r>
  </si>
  <si>
    <r>
      <rPr>
        <sz val="11"/>
        <color theme="1"/>
        <rFont val="Linux Libertine G"/>
        <family val="2"/>
      </rPr>
      <t xml:space="preserve">药明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康龙化成财报</t>
    </r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</si>
  <si>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仿制药一致性评价通过数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</si>
  <si>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仿制药一致性评价通过数</t>
    </r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</si>
  <si>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医疗</t>
    </r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产品获批数量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</si>
  <si>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医疗</t>
    </r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产品获批数量</t>
    </r>
  </si>
  <si>
    <r>
      <rPr>
        <sz val="11"/>
        <color theme="1"/>
        <rFont val="Linux Libertine G"/>
        <family val="2"/>
      </rPr>
      <t xml:space="preserve">个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年</t>
    </r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</si>
  <si>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医药制造业收入增速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</si>
  <si>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医药制造业收入增速</t>
    </r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</si>
  <si>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化学药品原药产量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</si>
  <si>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化学药品原药产量</t>
    </r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</si>
  <si>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医疗器械出口增速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</si>
  <si>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医疗器械出口增速</t>
    </r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</si>
  <si>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|12-</t>
    </r>
    <r>
      <rPr>
        <sz val="11"/>
        <color theme="1"/>
        <rFont val="Linux Libertine G"/>
        <family val="2"/>
      </rPr>
      <t xml:space="preserve">医院诊疗人次增速</t>
    </r>
  </si>
  <si>
    <r>
      <rPr>
        <sz val="11"/>
        <color theme="1"/>
        <rFont val="Linux Libertine G"/>
        <family val="2"/>
        <charset val="1"/>
      </rPr>
      <t xml:space="preserve">12-</t>
    </r>
    <r>
      <rPr>
        <sz val="11"/>
        <color theme="1"/>
        <rFont val="Linux Libertine G"/>
        <family val="2"/>
      </rPr>
      <t xml:space="preserve">医院诊疗人次增速</t>
    </r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</si>
  <si>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|13-</t>
    </r>
    <r>
      <rPr>
        <sz val="11"/>
        <color theme="1"/>
        <rFont val="Linux Libertine G"/>
        <family val="2"/>
      </rPr>
      <t xml:space="preserve">医药企业季度毛利率</t>
    </r>
  </si>
  <si>
    <r>
      <rPr>
        <sz val="11"/>
        <color theme="1"/>
        <rFont val="Linux Libertine G"/>
        <family val="2"/>
        <charset val="1"/>
      </rPr>
      <t xml:space="preserve">13-</t>
    </r>
    <r>
      <rPr>
        <sz val="11"/>
        <color theme="1"/>
        <rFont val="Linux Libertine G"/>
        <family val="2"/>
      </rPr>
      <t xml:space="preserve">医药企业季度毛利率</t>
    </r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</si>
  <si>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|14-</t>
    </r>
    <r>
      <rPr>
        <sz val="11"/>
        <color theme="1"/>
        <rFont val="Linux Libertine G"/>
        <family val="2"/>
      </rPr>
      <t xml:space="preserve">医药企业研发费用率</t>
    </r>
  </si>
  <si>
    <r>
      <rPr>
        <sz val="11"/>
        <color theme="1"/>
        <rFont val="Linux Libertine G"/>
        <family val="2"/>
        <charset val="1"/>
      </rPr>
      <t xml:space="preserve">14-</t>
    </r>
    <r>
      <rPr>
        <sz val="11"/>
        <color theme="1"/>
        <rFont val="Linux Libertine G"/>
        <family val="2"/>
      </rPr>
      <t xml:space="preserve">医药企业研发费用率</t>
    </r>
  </si>
  <si>
    <t xml:space="preserve">13.5</t>
  </si>
  <si>
    <r>
      <rPr>
        <sz val="11"/>
        <color theme="1"/>
        <rFont val="Linux Libertine G"/>
        <family val="2"/>
      </rPr>
      <t xml:space="preserve">医药医疗</t>
    </r>
    <r>
      <rPr>
        <sz val="11"/>
        <color theme="1"/>
        <rFont val="Linux Libertine G"/>
        <family val="2"/>
        <charset val="1"/>
      </rPr>
      <t xml:space="preserve">|15-</t>
    </r>
    <r>
      <rPr>
        <sz val="11"/>
        <color theme="1"/>
        <rFont val="Linux Libertine G"/>
        <family val="2"/>
      </rPr>
      <t xml:space="preserve">医药制造业利润增速</t>
    </r>
  </si>
  <si>
    <r>
      <rPr>
        <sz val="11"/>
        <color theme="1"/>
        <rFont val="Linux Libertine G"/>
        <family val="2"/>
        <charset val="1"/>
      </rPr>
      <t xml:space="preserve">15-</t>
    </r>
    <r>
      <rPr>
        <sz val="11"/>
        <color theme="1"/>
        <rFont val="Linux Libertine G"/>
        <family val="2"/>
      </rPr>
      <t xml:space="preserve">医药制造业利润增速</t>
    </r>
  </si>
  <si>
    <r>
      <rPr>
        <sz val="11"/>
        <color theme="1"/>
        <rFont val="Linux Libertine G"/>
        <family val="2"/>
      </rPr>
      <t xml:space="preserve">高端制造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制造业固定资产投资增速</t>
    </r>
  </si>
  <si>
    <t xml:space="preserve">高端制造</t>
  </si>
  <si>
    <r>
      <rPr>
        <sz val="11"/>
        <color theme="1"/>
        <rFont val="Linux Libertine G"/>
        <family val="2"/>
      </rPr>
      <t xml:space="preserve">高端制造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工业机器人产量增速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</si>
  <si>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工业机器人产量增速</t>
    </r>
  </si>
  <si>
    <r>
      <rPr>
        <sz val="11"/>
        <color theme="1"/>
        <rFont val="Linux Libertine G"/>
        <family val="2"/>
      </rPr>
      <t xml:space="preserve">高端制造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数控机床进口金额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</si>
  <si>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数控机床进口金额</t>
    </r>
  </si>
  <si>
    <r>
      <rPr>
        <sz val="11"/>
        <color theme="1"/>
        <rFont val="Linux Libertine G"/>
        <family val="2"/>
      </rPr>
      <t xml:space="preserve">高端制造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高端装备研发支出增速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</si>
  <si>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高端装备研发支出增速</t>
    </r>
  </si>
  <si>
    <r>
      <rPr>
        <sz val="11"/>
        <color theme="1"/>
        <rFont val="Linux Libertine G"/>
        <family val="2"/>
      </rPr>
      <t xml:space="preserve">高端制造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国产替代政策力度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</si>
  <si>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国产替代政策力度</t>
    </r>
  </si>
  <si>
    <r>
      <rPr>
        <sz val="11"/>
        <color theme="1"/>
        <rFont val="Linux Libertine G"/>
        <family val="2"/>
      </rPr>
      <t xml:space="preserve">工信部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发改委</t>
    </r>
  </si>
  <si>
    <r>
      <rPr>
        <sz val="11"/>
        <color theme="1"/>
        <rFont val="Linux Libertine G"/>
        <family val="2"/>
      </rPr>
      <t xml:space="preserve">高端制造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金属切削机床产量</t>
    </r>
  </si>
  <si>
    <r>
      <rPr>
        <sz val="11"/>
        <color theme="1"/>
        <rFont val="Linux Libertine G"/>
        <family val="2"/>
      </rPr>
      <t xml:space="preserve">高端制造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工业机器人销量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</si>
  <si>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工业机器人销量</t>
    </r>
  </si>
  <si>
    <t xml:space="preserve">中国机器人产业联盟</t>
  </si>
  <si>
    <t xml:space="preserve">+20</t>
  </si>
  <si>
    <r>
      <rPr>
        <sz val="11"/>
        <color theme="1"/>
        <rFont val="Linux Libertine G"/>
        <family val="2"/>
      </rPr>
      <t xml:space="preserve">高端制造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高端装备出口增速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</si>
  <si>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高端装备出口增速</t>
    </r>
  </si>
  <si>
    <r>
      <rPr>
        <sz val="11"/>
        <color theme="1"/>
        <rFont val="Linux Libertine G"/>
        <family val="2"/>
      </rPr>
      <t xml:space="preserve">高端制造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航空航天器产量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</si>
  <si>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航空航天器产量</t>
    </r>
  </si>
  <si>
    <r>
      <rPr>
        <sz val="11"/>
        <color theme="1"/>
        <rFont val="Linux Libertine G"/>
        <family val="2"/>
      </rPr>
      <t xml:space="preserve">高端制造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高端制造企业季度净利润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</si>
  <si>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高端制造企业季度净利润</t>
    </r>
  </si>
  <si>
    <r>
      <rPr>
        <sz val="11"/>
        <color theme="1"/>
        <rFont val="Linux Libertine G"/>
        <family val="2"/>
      </rPr>
      <t xml:space="preserve">高端制造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高端制造行业毛利率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</si>
  <si>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高端制造行业毛利率</t>
    </r>
  </si>
  <si>
    <r>
      <rPr>
        <sz val="11"/>
        <color theme="1"/>
        <rFont val="Linux Libertine G"/>
        <family val="2"/>
      </rPr>
      <t xml:space="preserve">高端制造</t>
    </r>
    <r>
      <rPr>
        <sz val="11"/>
        <color theme="1"/>
        <rFont val="Linux Libertine G"/>
        <family val="2"/>
        <charset val="1"/>
      </rPr>
      <t xml:space="preserve">|12-</t>
    </r>
    <r>
      <rPr>
        <sz val="11"/>
        <color theme="1"/>
        <rFont val="Linux Libertine G"/>
        <family val="2"/>
      </rPr>
      <t xml:space="preserve">高端制造行业产能利用率</t>
    </r>
  </si>
  <si>
    <r>
      <rPr>
        <sz val="11"/>
        <color theme="1"/>
        <rFont val="Linux Libertine G"/>
        <family val="2"/>
        <charset val="1"/>
      </rPr>
      <t xml:space="preserve">12-</t>
    </r>
    <r>
      <rPr>
        <sz val="11"/>
        <color theme="1"/>
        <rFont val="Linux Libertine G"/>
        <family val="2"/>
      </rPr>
      <t xml:space="preserve">高端制造行业产能利用率</t>
    </r>
  </si>
  <si>
    <r>
      <rPr>
        <sz val="11"/>
        <color theme="1"/>
        <rFont val="Linux Libertine G"/>
        <family val="2"/>
      </rPr>
      <t xml:space="preserve">人形机器人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人形机器人量产计划</t>
    </r>
  </si>
  <si>
    <t xml:space="preserve">人形机器人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</si>
  <si>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人形机器人量产计划</t>
    </r>
  </si>
  <si>
    <r>
      <rPr>
        <sz val="11"/>
        <color theme="1"/>
        <rFont val="Linux Libertine G"/>
        <family val="2"/>
      </rPr>
      <t xml:space="preserve">特斯拉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优必选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小米</t>
    </r>
  </si>
  <si>
    <t xml:space="preserve">5</t>
  </si>
  <si>
    <t xml:space="preserve">万台</t>
  </si>
  <si>
    <r>
      <rPr>
        <sz val="11"/>
        <color theme="1"/>
        <rFont val="Linux Libertine G"/>
        <family val="2"/>
      </rPr>
      <t xml:space="preserve">人形机器人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核心零部件订单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</si>
  <si>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核心零部件订单</t>
    </r>
  </si>
  <si>
    <r>
      <rPr>
        <sz val="11"/>
        <color theme="1"/>
        <rFont val="Linux Libertine G"/>
        <family val="2"/>
      </rPr>
      <t xml:space="preserve">绿的谐波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汇川技术</t>
    </r>
  </si>
  <si>
    <t xml:space="preserve">+120</t>
  </si>
  <si>
    <r>
      <rPr>
        <sz val="11"/>
        <color theme="1"/>
        <rFont val="Linux Libertine G"/>
        <family val="2"/>
      </rPr>
      <t xml:space="preserve">人形机器人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减速器价格变化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</si>
  <si>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减速器价格变化</t>
    </r>
  </si>
  <si>
    <r>
      <rPr>
        <sz val="11"/>
        <color theme="1"/>
        <rFont val="Linux Libertine G"/>
        <family val="2"/>
      </rPr>
      <t xml:space="preserve">人形机器人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伺服电机出货量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</si>
  <si>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伺服电机出货量</t>
    </r>
  </si>
  <si>
    <r>
      <rPr>
        <sz val="11"/>
        <color theme="1"/>
        <rFont val="Linux Libertine G"/>
        <family val="2"/>
      </rPr>
      <t xml:space="preserve">汇川技术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禾川科技</t>
    </r>
  </si>
  <si>
    <r>
      <rPr>
        <sz val="11"/>
        <color theme="1"/>
        <rFont val="Linux Libertine G"/>
        <family val="2"/>
      </rPr>
      <t xml:space="preserve">人形机器人</t>
    </r>
    <r>
      <rPr>
        <sz val="11"/>
        <color theme="1"/>
        <rFont val="Linux Libertine G"/>
        <family val="2"/>
        <charset val="1"/>
      </rPr>
      <t xml:space="preserve">|5-AI</t>
    </r>
    <r>
      <rPr>
        <sz val="11"/>
        <color theme="1"/>
        <rFont val="Linux Libertine G"/>
        <family val="2"/>
      </rPr>
      <t xml:space="preserve">大模型迭代进度</t>
    </r>
  </si>
  <si>
    <r>
      <rPr>
        <sz val="11"/>
        <color theme="1"/>
        <rFont val="Linux Libertine G"/>
        <family val="2"/>
        <charset val="1"/>
      </rPr>
      <t xml:space="preserve">5-AI</t>
    </r>
    <r>
      <rPr>
        <sz val="11"/>
        <color theme="1"/>
        <rFont val="Linux Libertine G"/>
        <family val="2"/>
      </rPr>
      <t xml:space="preserve">大模型迭代进度</t>
    </r>
  </si>
  <si>
    <r>
      <rPr>
        <sz val="11"/>
        <color theme="1"/>
        <rFont val="Linux Libertine G"/>
        <family val="2"/>
        <charset val="1"/>
      </rPr>
      <t xml:space="preserve">OpenAI/</t>
    </r>
    <r>
      <rPr>
        <sz val="11"/>
        <color theme="1"/>
        <rFont val="Linux Libertine G"/>
        <family val="2"/>
      </rPr>
      <t xml:space="preserve">百度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阿里</t>
    </r>
  </si>
  <si>
    <t xml:space="preserve">V4</t>
  </si>
  <si>
    <t xml:space="preserve">版本</t>
  </si>
  <si>
    <r>
      <rPr>
        <sz val="11"/>
        <color theme="1"/>
        <rFont val="Linux Libertine G"/>
        <family val="2"/>
      </rPr>
      <t xml:space="preserve">人形机器人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人形机器人出货量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</si>
  <si>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人形机器人出货量</t>
    </r>
  </si>
  <si>
    <r>
      <rPr>
        <sz val="11"/>
        <color theme="1"/>
        <rFont val="Linux Libertine G"/>
        <family val="2"/>
      </rPr>
      <t xml:space="preserve">台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月</t>
    </r>
  </si>
  <si>
    <r>
      <rPr>
        <sz val="11"/>
        <color theme="1"/>
        <rFont val="Linux Libertine G"/>
        <family val="2"/>
      </rPr>
      <t xml:space="preserve">人形机器人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核心零部件国产化率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</si>
  <si>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核心零部件国产化率</t>
    </r>
  </si>
  <si>
    <r>
      <rPr>
        <sz val="11"/>
        <color theme="1"/>
        <rFont val="Linux Libertine G"/>
        <family val="2"/>
      </rPr>
      <t xml:space="preserve">人形机器人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人形机器人应用场景拓展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</si>
  <si>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人形机器人应用场景拓展</t>
    </r>
  </si>
  <si>
    <t xml:space="preserve">个</t>
  </si>
  <si>
    <r>
      <rPr>
        <sz val="11"/>
        <color theme="1"/>
        <rFont val="Linux Libertine G"/>
        <family val="2"/>
      </rPr>
      <t xml:space="preserve">人形机器人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相关上市公司收入增速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</si>
  <si>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相关上市公司收入增速</t>
    </r>
  </si>
  <si>
    <r>
      <rPr>
        <sz val="11"/>
        <color theme="1"/>
        <rFont val="Linux Libertine G"/>
        <family val="2"/>
      </rPr>
      <t xml:space="preserve">人形机器人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人形机器人企业净利润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</si>
  <si>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人形机器人企业净利润</t>
    </r>
  </si>
  <si>
    <r>
      <rPr>
        <sz val="11"/>
        <color theme="1"/>
        <rFont val="Linux Libertine G"/>
        <family val="2"/>
      </rPr>
      <t xml:space="preserve">人形机器人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人形机器人行业毛利率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</si>
  <si>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人形机器人行业毛利率</t>
    </r>
  </si>
  <si>
    <r>
      <rPr>
        <sz val="11"/>
        <color theme="1"/>
        <rFont val="Linux Libertine G"/>
        <family val="2"/>
      </rPr>
      <t xml:space="preserve">人形机器人</t>
    </r>
    <r>
      <rPr>
        <sz val="11"/>
        <color theme="1"/>
        <rFont val="Linux Libertine G"/>
        <family val="2"/>
        <charset val="1"/>
      </rPr>
      <t xml:space="preserve">|12-</t>
    </r>
    <r>
      <rPr>
        <sz val="11"/>
        <color theme="1"/>
        <rFont val="Linux Libertine G"/>
        <family val="2"/>
      </rPr>
      <t xml:space="preserve">人形机器人行业研发投入</t>
    </r>
  </si>
  <si>
    <r>
      <rPr>
        <sz val="11"/>
        <color theme="1"/>
        <rFont val="Linux Libertine G"/>
        <family val="2"/>
        <charset val="1"/>
      </rPr>
      <t xml:space="preserve">12-</t>
    </r>
    <r>
      <rPr>
        <sz val="11"/>
        <color theme="1"/>
        <rFont val="Linux Libertine G"/>
        <family val="2"/>
      </rPr>
      <t xml:space="preserve">人形机器人行业研发投入</t>
    </r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</si>
  <si>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算力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全球</t>
    </r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服务器出货量增速</t>
    </r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</si>
  <si>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算力</t>
    </r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</si>
  <si>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全球</t>
    </r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服务器出货量增速</t>
    </r>
  </si>
  <si>
    <t xml:space="preserve">+58</t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</si>
  <si>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算力</t>
    </r>
    <r>
      <rPr>
        <sz val="11"/>
        <color theme="1"/>
        <rFont val="Linux Libertine G"/>
        <family val="2"/>
        <charset val="1"/>
      </rPr>
      <t xml:space="preserve">|2-GPU/ASIC</t>
    </r>
    <r>
      <rPr>
        <sz val="11"/>
        <color theme="1"/>
        <rFont val="Linux Libertine G"/>
        <family val="2"/>
      </rPr>
      <t xml:space="preserve">出货量</t>
    </r>
  </si>
  <si>
    <r>
      <rPr>
        <sz val="11"/>
        <color theme="1"/>
        <rFont val="Linux Libertine G"/>
        <family val="2"/>
        <charset val="1"/>
      </rPr>
      <t xml:space="preserve">2-GPU/ASIC</t>
    </r>
    <r>
      <rPr>
        <sz val="11"/>
        <color theme="1"/>
        <rFont val="Linux Libertine G"/>
        <family val="2"/>
      </rPr>
      <t xml:space="preserve">出货量</t>
    </r>
  </si>
  <si>
    <r>
      <rPr>
        <sz val="11"/>
        <color theme="1"/>
        <rFont val="Linux Libertine G"/>
        <family val="2"/>
      </rPr>
      <t xml:space="preserve">英伟达</t>
    </r>
    <r>
      <rPr>
        <sz val="11"/>
        <color theme="1"/>
        <rFont val="Linux Libertine G"/>
        <family val="2"/>
        <charset val="1"/>
      </rPr>
      <t xml:space="preserve">/AMD/</t>
    </r>
    <r>
      <rPr>
        <sz val="11"/>
        <color theme="1"/>
        <rFont val="Linux Libertine G"/>
        <family val="2"/>
      </rPr>
      <t xml:space="preserve">华为</t>
    </r>
  </si>
  <si>
    <t xml:space="preserve">+62</t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</si>
  <si>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算力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光模块出货量</t>
    </r>
  </si>
  <si>
    <t xml:space="preserve">+48</t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</si>
  <si>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算力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数据中心建设规模</t>
    </r>
  </si>
  <si>
    <t xml:space="preserve">115</t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</si>
  <si>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算力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液冷技术渗透率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</si>
  <si>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液冷技术渗透率</t>
    </r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</si>
  <si>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算力</t>
    </r>
    <r>
      <rPr>
        <sz val="11"/>
        <color theme="1"/>
        <rFont val="Linux Libertine G"/>
        <family val="2"/>
        <charset val="1"/>
      </rPr>
      <t xml:space="preserve">|6-AI</t>
    </r>
    <r>
      <rPr>
        <sz val="11"/>
        <color theme="1"/>
        <rFont val="Linux Libertine G"/>
        <family val="2"/>
      </rPr>
      <t xml:space="preserve">算力租赁价格</t>
    </r>
  </si>
  <si>
    <r>
      <rPr>
        <sz val="11"/>
        <color theme="1"/>
        <rFont val="Linux Libertine G"/>
        <family val="2"/>
        <charset val="1"/>
      </rPr>
      <t xml:space="preserve">6-AI</t>
    </r>
    <r>
      <rPr>
        <sz val="11"/>
        <color theme="1"/>
        <rFont val="Linux Libertine G"/>
        <family val="2"/>
      </rPr>
      <t xml:space="preserve">算力租赁价格</t>
    </r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</si>
  <si>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算力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云计算收入增速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</si>
  <si>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云计算收入增速</t>
    </r>
  </si>
  <si>
    <r>
      <rPr>
        <sz val="11"/>
        <color theme="1"/>
        <rFont val="Linux Libertine G"/>
        <family val="2"/>
      </rPr>
      <t xml:space="preserve">阿里云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腾讯云</t>
    </r>
    <r>
      <rPr>
        <sz val="11"/>
        <color theme="1"/>
        <rFont val="Linux Libertine G"/>
        <family val="2"/>
        <charset val="1"/>
      </rPr>
      <t xml:space="preserve">/AWS</t>
    </r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</si>
  <si>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算力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算力中心</t>
    </r>
    <r>
      <rPr>
        <sz val="11"/>
        <color theme="1"/>
        <rFont val="Linux Libertine G"/>
        <family val="2"/>
        <charset val="1"/>
      </rPr>
      <t xml:space="preserve">PUE</t>
    </r>
    <r>
      <rPr>
        <sz val="11"/>
        <color theme="1"/>
        <rFont val="Linux Libertine G"/>
        <family val="2"/>
      </rPr>
      <t xml:space="preserve">值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</si>
  <si>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算力中心</t>
    </r>
    <r>
      <rPr>
        <sz val="11"/>
        <color theme="1"/>
        <rFont val="Linux Libertine G"/>
        <family val="2"/>
        <charset val="1"/>
      </rPr>
      <t xml:space="preserve">PUE</t>
    </r>
    <r>
      <rPr>
        <sz val="11"/>
        <color theme="1"/>
        <rFont val="Linux Libertine G"/>
        <family val="2"/>
      </rPr>
      <t xml:space="preserve">值</t>
    </r>
  </si>
  <si>
    <t xml:space="preserve">1.28</t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</si>
  <si>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算力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国产</t>
    </r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芯片出货量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</si>
  <si>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国产</t>
    </r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芯片出货量</t>
    </r>
  </si>
  <si>
    <r>
      <rPr>
        <sz val="11"/>
        <color theme="1"/>
        <rFont val="Linux Libertine G"/>
        <family val="2"/>
      </rPr>
      <t xml:space="preserve">华为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寒武纪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海光</t>
    </r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</si>
  <si>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算力</t>
    </r>
    <r>
      <rPr>
        <sz val="11"/>
        <color theme="1"/>
        <rFont val="Linux Libertine G"/>
        <family val="2"/>
        <charset val="1"/>
      </rPr>
      <t xml:space="preserve">|10-AI</t>
    </r>
    <r>
      <rPr>
        <sz val="11"/>
        <color theme="1"/>
        <rFont val="Linux Libertine G"/>
        <family val="2"/>
      </rPr>
      <t xml:space="preserve">算力企业季度净利润</t>
    </r>
  </si>
  <si>
    <r>
      <rPr>
        <sz val="11"/>
        <color theme="1"/>
        <rFont val="Linux Libertine G"/>
        <family val="2"/>
        <charset val="1"/>
      </rPr>
      <t xml:space="preserve">10-AI</t>
    </r>
    <r>
      <rPr>
        <sz val="11"/>
        <color theme="1"/>
        <rFont val="Linux Libertine G"/>
        <family val="2"/>
      </rPr>
      <t xml:space="preserve">算力企业季度净利润</t>
    </r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</si>
  <si>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算力</t>
    </r>
    <r>
      <rPr>
        <sz val="11"/>
        <color theme="1"/>
        <rFont val="Linux Libertine G"/>
        <family val="2"/>
        <charset val="1"/>
      </rPr>
      <t xml:space="preserve">|11-AI</t>
    </r>
    <r>
      <rPr>
        <sz val="11"/>
        <color theme="1"/>
        <rFont val="Linux Libertine G"/>
        <family val="2"/>
      </rPr>
      <t xml:space="preserve">算力行业毛利率</t>
    </r>
  </si>
  <si>
    <r>
      <rPr>
        <sz val="11"/>
        <color theme="1"/>
        <rFont val="Linux Libertine G"/>
        <family val="2"/>
        <charset val="1"/>
      </rPr>
      <t xml:space="preserve">11-AI</t>
    </r>
    <r>
      <rPr>
        <sz val="11"/>
        <color theme="1"/>
        <rFont val="Linux Libertine G"/>
        <family val="2"/>
      </rPr>
      <t xml:space="preserve">算力行业毛利率</t>
    </r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</si>
  <si>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算力</t>
    </r>
    <r>
      <rPr>
        <sz val="11"/>
        <color theme="1"/>
        <rFont val="Linux Libertine G"/>
        <family val="2"/>
        <charset val="1"/>
      </rPr>
      <t xml:space="preserve">|12-AI</t>
    </r>
    <r>
      <rPr>
        <sz val="11"/>
        <color theme="1"/>
        <rFont val="Linux Libertine G"/>
        <family val="2"/>
      </rPr>
      <t xml:space="preserve">算力行业产能利用率</t>
    </r>
  </si>
  <si>
    <r>
      <rPr>
        <sz val="11"/>
        <color theme="1"/>
        <rFont val="Linux Libertine G"/>
        <family val="2"/>
        <charset val="1"/>
      </rPr>
      <t xml:space="preserve">12-AI</t>
    </r>
    <r>
      <rPr>
        <sz val="11"/>
        <color theme="1"/>
        <rFont val="Linux Libertine G"/>
        <family val="2"/>
      </rPr>
      <t xml:space="preserve">算力行业产能利用率</t>
    </r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</si>
  <si>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碳酸锂价格变化</t>
    </r>
  </si>
  <si>
    <t xml:space="preserve">锂电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</si>
  <si>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碳酸锂价格变化</t>
    </r>
  </si>
  <si>
    <r>
      <rPr>
        <sz val="11"/>
        <color theme="1"/>
        <rFont val="Linux Libertine G"/>
        <family val="2"/>
        <charset val="1"/>
      </rPr>
      <t xml:space="preserve">SMM/</t>
    </r>
    <r>
      <rPr>
        <sz val="11"/>
        <color theme="1"/>
        <rFont val="Linux Libertine G"/>
        <family val="2"/>
      </rPr>
      <t xml:space="preserve">上海有色网</t>
    </r>
  </si>
  <si>
    <r>
      <rPr>
        <sz val="11"/>
        <color theme="1"/>
        <rFont val="Linux Libertine G"/>
        <family val="2"/>
      </rPr>
      <t xml:space="preserve">万元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吨</t>
    </r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</si>
  <si>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氢氧化锂价格变化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</si>
  <si>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氢氧化锂价格变化</t>
    </r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</si>
  <si>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钴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镍价格变化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</si>
  <si>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钴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镍价格变化</t>
    </r>
  </si>
  <si>
    <t xml:space="preserve">LME/SMM</t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</si>
  <si>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动力电池产能规划增速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</si>
  <si>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动力电池产能规划增速</t>
    </r>
  </si>
  <si>
    <t xml:space="preserve">高工锂电</t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</si>
  <si>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新能源车渗透率预期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</si>
  <si>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新能源车渗透率预期</t>
    </r>
  </si>
  <si>
    <r>
      <rPr>
        <sz val="11"/>
        <color theme="1"/>
        <rFont val="Linux Libertine G"/>
        <family val="2"/>
      </rPr>
      <t xml:space="preserve">中汽协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乘联会</t>
    </r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</si>
  <si>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锂电设备订单增速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</si>
  <si>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锂电设备订单增速</t>
    </r>
  </si>
  <si>
    <r>
      <rPr>
        <sz val="11"/>
        <color theme="1"/>
        <rFont val="Linux Libertine G"/>
        <family val="2"/>
      </rPr>
      <t xml:space="preserve">先导智能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赢合科技</t>
    </r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</si>
  <si>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正极材料企业排产计划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</si>
  <si>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正极材料企业排产计划</t>
    </r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</si>
  <si>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动力电池装车量增速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</si>
  <si>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动力电池装车量增速</t>
    </r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</si>
  <si>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动力电池产量增速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</si>
  <si>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动力电池产量增速</t>
    </r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</si>
  <si>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锂电池出口金额增速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</si>
  <si>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锂电池出口金额增速</t>
    </r>
  </si>
  <si>
    <t xml:space="preserve">+32</t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</si>
  <si>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正极材料产量增速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</si>
  <si>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正极材料产量增速</t>
    </r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</si>
  <si>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|12-</t>
    </r>
    <r>
      <rPr>
        <sz val="11"/>
        <color theme="1"/>
        <rFont val="Linux Libertine G"/>
        <family val="2"/>
      </rPr>
      <t xml:space="preserve">负极材料产量增速</t>
    </r>
  </si>
  <si>
    <r>
      <rPr>
        <sz val="11"/>
        <color theme="1"/>
        <rFont val="Linux Libertine G"/>
        <family val="2"/>
        <charset val="1"/>
      </rPr>
      <t xml:space="preserve">12-</t>
    </r>
    <r>
      <rPr>
        <sz val="11"/>
        <color theme="1"/>
        <rFont val="Linux Libertine G"/>
        <family val="2"/>
      </rPr>
      <t xml:space="preserve">负极材料产量增速</t>
    </r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</si>
  <si>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|13-</t>
    </r>
    <r>
      <rPr>
        <sz val="11"/>
        <color theme="1"/>
        <rFont val="Linux Libertine G"/>
        <family val="2"/>
      </rPr>
      <t xml:space="preserve">电解液产量增速</t>
    </r>
  </si>
  <si>
    <r>
      <rPr>
        <sz val="11"/>
        <color theme="1"/>
        <rFont val="Linux Libertine G"/>
        <family val="2"/>
        <charset val="1"/>
      </rPr>
      <t xml:space="preserve">13-</t>
    </r>
    <r>
      <rPr>
        <sz val="11"/>
        <color theme="1"/>
        <rFont val="Linux Libertine G"/>
        <family val="2"/>
      </rPr>
      <t xml:space="preserve">电解液产量增速</t>
    </r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</si>
  <si>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|14-</t>
    </r>
    <r>
      <rPr>
        <sz val="11"/>
        <color theme="1"/>
        <rFont val="Linux Libertine G"/>
        <family val="2"/>
      </rPr>
      <t xml:space="preserve">锂电企业季度毛利率</t>
    </r>
  </si>
  <si>
    <r>
      <rPr>
        <sz val="11"/>
        <color theme="1"/>
        <rFont val="Linux Libertine G"/>
        <family val="2"/>
        <charset val="1"/>
      </rPr>
      <t xml:space="preserve">14-</t>
    </r>
    <r>
      <rPr>
        <sz val="11"/>
        <color theme="1"/>
        <rFont val="Linux Libertine G"/>
        <family val="2"/>
      </rPr>
      <t xml:space="preserve">锂电企业季度毛利率</t>
    </r>
  </si>
  <si>
    <t xml:space="preserve">16.5</t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</si>
  <si>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|15-</t>
    </r>
    <r>
      <rPr>
        <sz val="11"/>
        <color theme="1"/>
        <rFont val="Linux Libertine G"/>
        <family val="2"/>
      </rPr>
      <t xml:space="preserve">锂电企业季度净利润</t>
    </r>
  </si>
  <si>
    <r>
      <rPr>
        <sz val="11"/>
        <color theme="1"/>
        <rFont val="Linux Libertine G"/>
        <family val="2"/>
        <charset val="1"/>
      </rPr>
      <t xml:space="preserve">15-</t>
    </r>
    <r>
      <rPr>
        <sz val="11"/>
        <color theme="1"/>
        <rFont val="Linux Libertine G"/>
        <family val="2"/>
      </rPr>
      <t xml:space="preserve">锂电企业季度净利润</t>
    </r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</si>
  <si>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|16-</t>
    </r>
    <r>
      <rPr>
        <sz val="11"/>
        <color theme="1"/>
        <rFont val="Linux Libertine G"/>
        <family val="2"/>
      </rPr>
      <t xml:space="preserve">锂电行业产能利用率</t>
    </r>
  </si>
  <si>
    <r>
      <rPr>
        <sz val="11"/>
        <color theme="1"/>
        <rFont val="Linux Libertine G"/>
        <family val="2"/>
        <charset val="1"/>
      </rPr>
      <t xml:space="preserve">16-</t>
    </r>
    <r>
      <rPr>
        <sz val="11"/>
        <color theme="1"/>
        <rFont val="Linux Libertine G"/>
        <family val="2"/>
      </rPr>
      <t xml:space="preserve">锂电行业产能利用率</t>
    </r>
  </si>
  <si>
    <r>
      <rPr>
        <sz val="11"/>
        <color theme="1"/>
        <rFont val="Linux Libertine G"/>
        <family val="2"/>
      </rPr>
      <t xml:space="preserve">锂电</t>
    </r>
    <r>
      <rPr>
        <sz val="11"/>
        <color theme="1"/>
        <rFont val="Linux Libertine G"/>
        <family val="2"/>
        <charset val="1"/>
      </rPr>
      <t xml:space="preserve">|17-</t>
    </r>
    <r>
      <rPr>
        <sz val="11"/>
        <color theme="1"/>
        <rFont val="Linux Libertine G"/>
        <family val="2"/>
      </rPr>
      <t xml:space="preserve">锂电行业应收账款周转</t>
    </r>
  </si>
  <si>
    <r>
      <rPr>
        <sz val="11"/>
        <color theme="1"/>
        <rFont val="Linux Libertine G"/>
        <family val="2"/>
        <charset val="1"/>
      </rPr>
      <t xml:space="preserve">17-</t>
    </r>
    <r>
      <rPr>
        <sz val="11"/>
        <color theme="1"/>
        <rFont val="Linux Libertine G"/>
        <family val="2"/>
      </rPr>
      <t xml:space="preserve">锂电行业应收账款周转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</si>
  <si>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多晶硅料价格</t>
    </r>
  </si>
  <si>
    <t xml:space="preserve">光伏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</si>
  <si>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多晶硅料价格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</si>
  <si>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硅片价格变化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</si>
  <si>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硅片价格变化</t>
    </r>
  </si>
  <si>
    <r>
      <rPr>
        <sz val="11"/>
        <color theme="1"/>
        <rFont val="Linux Libertine G"/>
        <family val="2"/>
      </rPr>
      <t xml:space="preserve">元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片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</si>
  <si>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光伏组件价格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</si>
  <si>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光伏组件价格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</si>
  <si>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多晶硅产能投放计划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</si>
  <si>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多晶硅产能投放计划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</si>
  <si>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光伏玻璃价格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</si>
  <si>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光伏玻璃价格</t>
    </r>
  </si>
  <si>
    <t xml:space="preserve">18.5</t>
  </si>
  <si>
    <r>
      <rPr>
        <sz val="11"/>
        <color theme="1"/>
        <rFont val="Linux Libertine G"/>
        <family val="2"/>
      </rPr>
      <t xml:space="preserve">元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平米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</si>
  <si>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|6-EVA</t>
    </r>
    <r>
      <rPr>
        <sz val="11"/>
        <color theme="1"/>
        <rFont val="Linux Libertine G"/>
        <family val="2"/>
      </rPr>
      <t xml:space="preserve">胶膜价格</t>
    </r>
  </si>
  <si>
    <r>
      <rPr>
        <sz val="11"/>
        <color theme="1"/>
        <rFont val="Linux Libertine G"/>
        <family val="2"/>
        <charset val="1"/>
      </rPr>
      <t xml:space="preserve">6-EVA</t>
    </r>
    <r>
      <rPr>
        <sz val="11"/>
        <color theme="1"/>
        <rFont val="Linux Libertine G"/>
        <family val="2"/>
      </rPr>
      <t xml:space="preserve">胶膜价格</t>
    </r>
  </si>
  <si>
    <t xml:space="preserve">9.2</t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</si>
  <si>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光伏企业排产计划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</si>
  <si>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光伏企业排产计划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</si>
  <si>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光伏新增装机量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</si>
  <si>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光伏新增装机量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</si>
  <si>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组件出货量增速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</si>
  <si>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组件出货量增速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</si>
  <si>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电池片产量增速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</si>
  <si>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电池片产量增速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</si>
  <si>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光伏出口金额增速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</si>
  <si>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光伏出口金额增速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</si>
  <si>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|12-</t>
    </r>
    <r>
      <rPr>
        <sz val="11"/>
        <color theme="1"/>
        <rFont val="Linux Libertine G"/>
        <family val="2"/>
      </rPr>
      <t xml:space="preserve">分布式光伏装机占比</t>
    </r>
  </si>
  <si>
    <r>
      <rPr>
        <sz val="11"/>
        <color theme="1"/>
        <rFont val="Linux Libertine G"/>
        <family val="2"/>
        <charset val="1"/>
      </rPr>
      <t xml:space="preserve">12-</t>
    </r>
    <r>
      <rPr>
        <sz val="11"/>
        <color theme="1"/>
        <rFont val="Linux Libertine G"/>
        <family val="2"/>
      </rPr>
      <t xml:space="preserve">分布式光伏装机占比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</si>
  <si>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|13-</t>
    </r>
    <r>
      <rPr>
        <sz val="11"/>
        <color theme="1"/>
        <rFont val="Linux Libertine G"/>
        <family val="2"/>
      </rPr>
      <t xml:space="preserve">光伏逆变器出货量</t>
    </r>
  </si>
  <si>
    <r>
      <rPr>
        <sz val="11"/>
        <color theme="1"/>
        <rFont val="Linux Libertine G"/>
        <family val="2"/>
        <charset val="1"/>
      </rPr>
      <t xml:space="preserve">13-</t>
    </r>
    <r>
      <rPr>
        <sz val="11"/>
        <color theme="1"/>
        <rFont val="Linux Libertine G"/>
        <family val="2"/>
      </rPr>
      <t xml:space="preserve">光伏逆变器出货量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</si>
  <si>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|14-</t>
    </r>
    <r>
      <rPr>
        <sz val="11"/>
        <color theme="1"/>
        <rFont val="Linux Libertine G"/>
        <family val="2"/>
      </rPr>
      <t xml:space="preserve">光伏企业季度毛利率</t>
    </r>
  </si>
  <si>
    <r>
      <rPr>
        <sz val="11"/>
        <color theme="1"/>
        <rFont val="Linux Libertine G"/>
        <family val="2"/>
        <charset val="1"/>
      </rPr>
      <t xml:space="preserve">14-</t>
    </r>
    <r>
      <rPr>
        <sz val="11"/>
        <color theme="1"/>
        <rFont val="Linux Libertine G"/>
        <family val="2"/>
      </rPr>
      <t xml:space="preserve">光伏企业季度毛利率</t>
    </r>
  </si>
  <si>
    <t xml:space="preserve">14.5</t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</si>
  <si>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|15-</t>
    </r>
    <r>
      <rPr>
        <sz val="11"/>
        <color theme="1"/>
        <rFont val="Linux Libertine G"/>
        <family val="2"/>
      </rPr>
      <t xml:space="preserve">光伏企业季度净利润</t>
    </r>
  </si>
  <si>
    <r>
      <rPr>
        <sz val="11"/>
        <color theme="1"/>
        <rFont val="Linux Libertine G"/>
        <family val="2"/>
        <charset val="1"/>
      </rPr>
      <t xml:space="preserve">15-</t>
    </r>
    <r>
      <rPr>
        <sz val="11"/>
        <color theme="1"/>
        <rFont val="Linux Libertine G"/>
        <family val="2"/>
      </rPr>
      <t xml:space="preserve">光伏企业季度净利润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</si>
  <si>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|16-</t>
    </r>
    <r>
      <rPr>
        <sz val="11"/>
        <color theme="1"/>
        <rFont val="Linux Libertine G"/>
        <family val="2"/>
      </rPr>
      <t xml:space="preserve">光伏行业产能利用率</t>
    </r>
  </si>
  <si>
    <r>
      <rPr>
        <sz val="11"/>
        <color theme="1"/>
        <rFont val="Linux Libertine G"/>
        <family val="2"/>
        <charset val="1"/>
      </rPr>
      <t xml:space="preserve">16-</t>
    </r>
    <r>
      <rPr>
        <sz val="11"/>
        <color theme="1"/>
        <rFont val="Linux Libertine G"/>
        <family val="2"/>
      </rPr>
      <t xml:space="preserve">光伏行业产能利用率</t>
    </r>
  </si>
  <si>
    <r>
      <rPr>
        <sz val="11"/>
        <color theme="1"/>
        <rFont val="Linux Libertine G"/>
        <family val="2"/>
      </rPr>
      <t xml:space="preserve">光伏</t>
    </r>
    <r>
      <rPr>
        <sz val="11"/>
        <color theme="1"/>
        <rFont val="Linux Libertine G"/>
        <family val="2"/>
        <charset val="1"/>
      </rPr>
      <t xml:space="preserve">|17-</t>
    </r>
    <r>
      <rPr>
        <sz val="11"/>
        <color theme="1"/>
        <rFont val="Linux Libertine G"/>
        <family val="2"/>
      </rPr>
      <t xml:space="preserve">光伏行业资产负债率</t>
    </r>
  </si>
  <si>
    <r>
      <rPr>
        <sz val="11"/>
        <color theme="1"/>
        <rFont val="Linux Libertine G"/>
        <family val="2"/>
        <charset val="1"/>
      </rPr>
      <t xml:space="preserve">17-</t>
    </r>
    <r>
      <rPr>
        <sz val="11"/>
        <color theme="1"/>
        <rFont val="Linux Libertine G"/>
        <family val="2"/>
      </rPr>
      <t xml:space="preserve">光伏行业资产负债率</t>
    </r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</si>
  <si>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风电招标量</t>
    </r>
  </si>
  <si>
    <t xml:space="preserve">风电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</si>
  <si>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风电招标量</t>
    </r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</si>
  <si>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风机中标均价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</si>
  <si>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风机中标均价</t>
    </r>
  </si>
  <si>
    <t xml:space="preserve">金风科技</t>
  </si>
  <si>
    <t xml:space="preserve">1520</t>
  </si>
  <si>
    <r>
      <rPr>
        <sz val="11"/>
        <color theme="1"/>
        <rFont val="Linux Libertine G"/>
        <family val="2"/>
      </rPr>
      <t xml:space="preserve">元</t>
    </r>
    <r>
      <rPr>
        <sz val="11"/>
        <color theme="1"/>
        <rFont val="Linux Libertine G"/>
        <family val="2"/>
        <charset val="1"/>
      </rPr>
      <t xml:space="preserve">/kW</t>
    </r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</si>
  <si>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中厚板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钢铁价格</t>
    </r>
  </si>
  <si>
    <r>
      <rPr>
        <sz val="11"/>
        <color theme="1"/>
        <rFont val="Linux Libertine G"/>
        <family val="2"/>
        <charset val="1"/>
      </rPr>
      <t xml:space="preserve">3-</t>
    </r>
    <r>
      <rPr>
        <sz val="11"/>
        <color theme="1"/>
        <rFont val="Linux Libertine G"/>
        <family val="2"/>
      </rPr>
      <t xml:space="preserve">中厚板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钢铁价格</t>
    </r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</si>
  <si>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海上风电规划容量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</si>
  <si>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海上风电规划容量</t>
    </r>
  </si>
  <si>
    <r>
      <rPr>
        <sz val="11"/>
        <color theme="1"/>
        <rFont val="Linux Libertine G"/>
        <family val="2"/>
      </rPr>
      <t xml:space="preserve">国家能源局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各省发改委</t>
    </r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</si>
  <si>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风电项目核准量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</si>
  <si>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风电项目核准量</t>
    </r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</si>
  <si>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叶片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塔筒订单增速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</si>
  <si>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叶片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塔筒订单增速</t>
    </r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</si>
  <si>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风电整机企业排产计划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</si>
  <si>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风电整机企业排产计划</t>
    </r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</si>
  <si>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风电新增装机量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</si>
  <si>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风电新增装机量</t>
    </r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</si>
  <si>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风机产量增速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</si>
  <si>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风机产量增速</t>
    </r>
  </si>
  <si>
    <t xml:space="preserve">中国风能协会</t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</si>
  <si>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风电发电量增速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</si>
  <si>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风电发电量增速</t>
    </r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</si>
  <si>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风电利用率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</si>
  <si>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风电利用率</t>
    </r>
  </si>
  <si>
    <t xml:space="preserve">96.5</t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</si>
  <si>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|12-</t>
    </r>
    <r>
      <rPr>
        <sz val="11"/>
        <color theme="1"/>
        <rFont val="Linux Libertine G"/>
        <family val="2"/>
      </rPr>
      <t xml:space="preserve">海上风电装机量</t>
    </r>
  </si>
  <si>
    <r>
      <rPr>
        <sz val="11"/>
        <color theme="1"/>
        <rFont val="Linux Libertine G"/>
        <family val="2"/>
        <charset val="1"/>
      </rPr>
      <t xml:space="preserve">12-</t>
    </r>
    <r>
      <rPr>
        <sz val="11"/>
        <color theme="1"/>
        <rFont val="Linux Libertine G"/>
        <family val="2"/>
      </rPr>
      <t xml:space="preserve">海上风电装机量</t>
    </r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</si>
  <si>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|13-</t>
    </r>
    <r>
      <rPr>
        <sz val="11"/>
        <color theme="1"/>
        <rFont val="Linux Libertine G"/>
        <family val="2"/>
      </rPr>
      <t xml:space="preserve">风电出口金额增速</t>
    </r>
  </si>
  <si>
    <r>
      <rPr>
        <sz val="11"/>
        <color theme="1"/>
        <rFont val="Linux Libertine G"/>
        <family val="2"/>
        <charset val="1"/>
      </rPr>
      <t xml:space="preserve">13-</t>
    </r>
    <r>
      <rPr>
        <sz val="11"/>
        <color theme="1"/>
        <rFont val="Linux Libertine G"/>
        <family val="2"/>
      </rPr>
      <t xml:space="preserve">风电出口金额增速</t>
    </r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</si>
  <si>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|14-</t>
    </r>
    <r>
      <rPr>
        <sz val="11"/>
        <color theme="1"/>
        <rFont val="Linux Libertine G"/>
        <family val="2"/>
      </rPr>
      <t xml:space="preserve">风电企业季度毛利率</t>
    </r>
  </si>
  <si>
    <r>
      <rPr>
        <sz val="11"/>
        <color theme="1"/>
        <rFont val="Linux Libertine G"/>
        <family val="2"/>
        <charset val="1"/>
      </rPr>
      <t xml:space="preserve">14-</t>
    </r>
    <r>
      <rPr>
        <sz val="11"/>
        <color theme="1"/>
        <rFont val="Linux Libertine G"/>
        <family val="2"/>
      </rPr>
      <t xml:space="preserve">风电企业季度毛利率</t>
    </r>
  </si>
  <si>
    <t xml:space="preserve">19</t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</si>
  <si>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|15-</t>
    </r>
    <r>
      <rPr>
        <sz val="11"/>
        <color theme="1"/>
        <rFont val="Linux Libertine G"/>
        <family val="2"/>
      </rPr>
      <t xml:space="preserve">风电企业季度净利润</t>
    </r>
  </si>
  <si>
    <r>
      <rPr>
        <sz val="11"/>
        <color theme="1"/>
        <rFont val="Linux Libertine G"/>
        <family val="2"/>
        <charset val="1"/>
      </rPr>
      <t xml:space="preserve">15-</t>
    </r>
    <r>
      <rPr>
        <sz val="11"/>
        <color theme="1"/>
        <rFont val="Linux Libertine G"/>
        <family val="2"/>
      </rPr>
      <t xml:space="preserve">风电企业季度净利润</t>
    </r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</si>
  <si>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|16-</t>
    </r>
    <r>
      <rPr>
        <sz val="11"/>
        <color theme="1"/>
        <rFont val="Linux Libertine G"/>
        <family val="2"/>
      </rPr>
      <t xml:space="preserve">风电行业应收账款周转</t>
    </r>
  </si>
  <si>
    <r>
      <rPr>
        <sz val="11"/>
        <color theme="1"/>
        <rFont val="Linux Libertine G"/>
        <family val="2"/>
        <charset val="1"/>
      </rPr>
      <t xml:space="preserve">16-</t>
    </r>
    <r>
      <rPr>
        <sz val="11"/>
        <color theme="1"/>
        <rFont val="Linux Libertine G"/>
        <family val="2"/>
      </rPr>
      <t xml:space="preserve">风电行业应收账款周转</t>
    </r>
  </si>
  <si>
    <r>
      <rPr>
        <sz val="11"/>
        <color theme="1"/>
        <rFont val="Linux Libertine G"/>
        <family val="2"/>
      </rPr>
      <t xml:space="preserve">风电</t>
    </r>
    <r>
      <rPr>
        <sz val="11"/>
        <color theme="1"/>
        <rFont val="Linux Libertine G"/>
        <family val="2"/>
        <charset val="1"/>
      </rPr>
      <t xml:space="preserve">|17-</t>
    </r>
    <r>
      <rPr>
        <sz val="11"/>
        <color theme="1"/>
        <rFont val="Linux Libertine G"/>
        <family val="2"/>
      </rPr>
      <t xml:space="preserve">风电行业资产负债率</t>
    </r>
  </si>
  <si>
    <r>
      <rPr>
        <sz val="11"/>
        <color theme="1"/>
        <rFont val="Linux Libertine G"/>
        <family val="2"/>
        <charset val="1"/>
      </rPr>
      <t xml:space="preserve">17-</t>
    </r>
    <r>
      <rPr>
        <sz val="11"/>
        <color theme="1"/>
        <rFont val="Linux Libertine G"/>
        <family val="2"/>
      </rPr>
      <t xml:space="preserve">风电行业资产负债率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</si>
  <si>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储能系统招标量</t>
    </r>
  </si>
  <si>
    <t xml:space="preserve">储能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</si>
  <si>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储能系统招标量</t>
    </r>
  </si>
  <si>
    <r>
      <rPr>
        <sz val="11"/>
        <color theme="1"/>
        <rFont val="Linux Libertine G"/>
        <family val="2"/>
        <charset val="1"/>
      </rPr>
      <t xml:space="preserve">CNESA/</t>
    </r>
    <r>
      <rPr>
        <sz val="11"/>
        <color theme="1"/>
        <rFont val="Linux Libertine G"/>
        <family val="2"/>
      </rPr>
      <t xml:space="preserve">中关村储能联盟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</si>
  <si>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储能系统中标均价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</si>
  <si>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储能系统中标均价</t>
    </r>
  </si>
  <si>
    <t xml:space="preserve">0.48</t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</si>
  <si>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|3-</t>
    </r>
    <r>
      <rPr>
        <sz val="11"/>
        <color theme="1"/>
        <rFont val="Linux Libertine G"/>
        <family val="2"/>
      </rPr>
      <t xml:space="preserve">锂电池价格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</si>
  <si>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新型储能规划容量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</si>
  <si>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新型储能规划容量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</si>
  <si>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储能政策发布数量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</si>
  <si>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储能政策发布数量</t>
    </r>
  </si>
  <si>
    <r>
      <rPr>
        <sz val="11"/>
        <color theme="1"/>
        <rFont val="Linux Libertine G"/>
        <family val="2"/>
      </rPr>
      <t xml:space="preserve">国家能源局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发改委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</si>
  <si>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工商业储能</t>
    </r>
    <r>
      <rPr>
        <sz val="11"/>
        <color theme="1"/>
        <rFont val="Linux Libertine G"/>
        <family val="2"/>
        <charset val="1"/>
      </rPr>
      <t xml:space="preserve">IRR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</si>
  <si>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工商业储能</t>
    </r>
    <r>
      <rPr>
        <sz val="11"/>
        <color theme="1"/>
        <rFont val="Linux Libertine G"/>
        <family val="2"/>
        <charset val="1"/>
      </rPr>
      <t xml:space="preserve">IRR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</si>
  <si>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PCS</t>
    </r>
    <r>
      <rPr>
        <sz val="11"/>
        <color theme="1"/>
        <rFont val="Linux Libertine G"/>
        <family val="2"/>
      </rPr>
      <t xml:space="preserve">订单增速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</si>
  <si>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PCS</t>
    </r>
    <r>
      <rPr>
        <sz val="11"/>
        <color theme="1"/>
        <rFont val="Linux Libertine G"/>
        <family val="2"/>
      </rPr>
      <t xml:space="preserve">订单增速</t>
    </r>
  </si>
  <si>
    <r>
      <rPr>
        <sz val="11"/>
        <color theme="1"/>
        <rFont val="Linux Libertine G"/>
        <family val="2"/>
      </rPr>
      <t xml:space="preserve">阳光电源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上能电气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</si>
  <si>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储能新增装机量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</si>
  <si>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储能新增装机量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</si>
  <si>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储能项目并网量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</si>
  <si>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储能项目并网量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</si>
  <si>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工商业储能渗透率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</si>
  <si>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工商业储能渗透率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</si>
  <si>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储能出口金额增速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</si>
  <si>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储能出口金额增速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</si>
  <si>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|12-</t>
    </r>
    <r>
      <rPr>
        <sz val="11"/>
        <color theme="1"/>
        <rFont val="Linux Libertine G"/>
        <family val="2"/>
      </rPr>
      <t xml:space="preserve">电源侧储能配储比例</t>
    </r>
  </si>
  <si>
    <r>
      <rPr>
        <sz val="11"/>
        <color theme="1"/>
        <rFont val="Linux Libertine G"/>
        <family val="2"/>
        <charset val="1"/>
      </rPr>
      <t xml:space="preserve">12-</t>
    </r>
    <r>
      <rPr>
        <sz val="11"/>
        <color theme="1"/>
        <rFont val="Linux Libertine G"/>
        <family val="2"/>
      </rPr>
      <t xml:space="preserve">电源侧储能配储比例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</si>
  <si>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|13-</t>
    </r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EPC</t>
    </r>
    <r>
      <rPr>
        <sz val="11"/>
        <color theme="1"/>
        <rFont val="Linux Libertine G"/>
        <family val="2"/>
      </rPr>
      <t xml:space="preserve">中标量</t>
    </r>
  </si>
  <si>
    <r>
      <rPr>
        <sz val="11"/>
        <color theme="1"/>
        <rFont val="Linux Libertine G"/>
        <family val="2"/>
        <charset val="1"/>
      </rPr>
      <t xml:space="preserve">13-</t>
    </r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EPC</t>
    </r>
    <r>
      <rPr>
        <sz val="11"/>
        <color theme="1"/>
        <rFont val="Linux Libertine G"/>
        <family val="2"/>
      </rPr>
      <t xml:space="preserve">中标量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</si>
  <si>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|14-</t>
    </r>
    <r>
      <rPr>
        <sz val="11"/>
        <color theme="1"/>
        <rFont val="Linux Libertine G"/>
        <family val="2"/>
      </rPr>
      <t xml:space="preserve">储能企业季度毛利率</t>
    </r>
  </si>
  <si>
    <r>
      <rPr>
        <sz val="11"/>
        <color theme="1"/>
        <rFont val="Linux Libertine G"/>
        <family val="2"/>
        <charset val="1"/>
      </rPr>
      <t xml:space="preserve">14-</t>
    </r>
    <r>
      <rPr>
        <sz val="11"/>
        <color theme="1"/>
        <rFont val="Linux Libertine G"/>
        <family val="2"/>
      </rPr>
      <t xml:space="preserve">储能企业季度毛利率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</si>
  <si>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|15-</t>
    </r>
    <r>
      <rPr>
        <sz val="11"/>
        <color theme="1"/>
        <rFont val="Linux Libertine G"/>
        <family val="2"/>
      </rPr>
      <t xml:space="preserve">储能企业季度净利润</t>
    </r>
  </si>
  <si>
    <r>
      <rPr>
        <sz val="11"/>
        <color theme="1"/>
        <rFont val="Linux Libertine G"/>
        <family val="2"/>
        <charset val="1"/>
      </rPr>
      <t xml:space="preserve">15-</t>
    </r>
    <r>
      <rPr>
        <sz val="11"/>
        <color theme="1"/>
        <rFont val="Linux Libertine G"/>
        <family val="2"/>
      </rPr>
      <t xml:space="preserve">储能企业季度净利润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</si>
  <si>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|16-</t>
    </r>
    <r>
      <rPr>
        <sz val="11"/>
        <color theme="1"/>
        <rFont val="Linux Libertine G"/>
        <family val="2"/>
      </rPr>
      <t xml:space="preserve">储能项目</t>
    </r>
    <r>
      <rPr>
        <sz val="11"/>
        <color theme="1"/>
        <rFont val="Linux Libertine G"/>
        <family val="2"/>
        <charset val="1"/>
      </rPr>
      <t xml:space="preserve">IRR</t>
    </r>
    <r>
      <rPr>
        <sz val="11"/>
        <color theme="1"/>
        <rFont val="Linux Libertine G"/>
        <family val="2"/>
      </rPr>
      <t xml:space="preserve">实现值</t>
    </r>
  </si>
  <si>
    <r>
      <rPr>
        <sz val="11"/>
        <color theme="1"/>
        <rFont val="Linux Libertine G"/>
        <family val="2"/>
        <charset val="1"/>
      </rPr>
      <t xml:space="preserve">16-</t>
    </r>
    <r>
      <rPr>
        <sz val="11"/>
        <color theme="1"/>
        <rFont val="Linux Libertine G"/>
        <family val="2"/>
      </rPr>
      <t xml:space="preserve">储能项目</t>
    </r>
    <r>
      <rPr>
        <sz val="11"/>
        <color theme="1"/>
        <rFont val="Linux Libertine G"/>
        <family val="2"/>
        <charset val="1"/>
      </rPr>
      <t xml:space="preserve">IRR</t>
    </r>
    <r>
      <rPr>
        <sz val="11"/>
        <color theme="1"/>
        <rFont val="Linux Libertine G"/>
        <family val="2"/>
      </rPr>
      <t xml:space="preserve">实现值</t>
    </r>
  </si>
  <si>
    <r>
      <rPr>
        <sz val="11"/>
        <color theme="1"/>
        <rFont val="Linux Libertine G"/>
        <family val="2"/>
      </rPr>
      <t xml:space="preserve">储能</t>
    </r>
    <r>
      <rPr>
        <sz val="11"/>
        <color theme="1"/>
        <rFont val="Linux Libertine G"/>
        <family val="2"/>
        <charset val="1"/>
      </rPr>
      <t xml:space="preserve">|17-</t>
    </r>
    <r>
      <rPr>
        <sz val="11"/>
        <color theme="1"/>
        <rFont val="Linux Libertine G"/>
        <family val="2"/>
      </rPr>
      <t xml:space="preserve">储能行业产能利用率</t>
    </r>
  </si>
  <si>
    <r>
      <rPr>
        <sz val="11"/>
        <color theme="1"/>
        <rFont val="Linux Libertine G"/>
        <family val="2"/>
        <charset val="1"/>
      </rPr>
      <t xml:space="preserve">17-</t>
    </r>
    <r>
      <rPr>
        <sz val="11"/>
        <color theme="1"/>
        <rFont val="Linux Libertine G"/>
        <family val="2"/>
      </rPr>
      <t xml:space="preserve">储能行业产能利用率</t>
    </r>
  </si>
  <si>
    <r>
      <rPr>
        <sz val="11"/>
        <color theme="1"/>
        <rFont val="Linux Libertine G"/>
        <family val="2"/>
        <charset val="1"/>
      </rPr>
      <t xml:space="preserve">CXO|1-</t>
    </r>
    <r>
      <rPr>
        <sz val="11"/>
        <color theme="1"/>
        <rFont val="Linux Libertine G"/>
        <family val="2"/>
      </rPr>
      <t xml:space="preserve">全球生物医药融资额</t>
    </r>
  </si>
  <si>
    <t xml:space="preserve">CXO</t>
  </si>
  <si>
    <r>
      <rPr>
        <sz val="11"/>
        <color theme="1"/>
        <rFont val="Linux Libertine G"/>
        <family val="2"/>
        <charset val="1"/>
      </rPr>
      <t xml:space="preserve">1-</t>
    </r>
    <r>
      <rPr>
        <sz val="11"/>
        <color theme="1"/>
        <rFont val="Linux Libertine G"/>
        <family val="2"/>
      </rPr>
      <t xml:space="preserve">全球生物医药融资额</t>
    </r>
  </si>
  <si>
    <r>
      <rPr>
        <sz val="11"/>
        <color theme="1"/>
        <rFont val="Linux Libertine G"/>
        <family val="2"/>
        <charset val="1"/>
      </rPr>
      <t xml:space="preserve">CXO|2-FDA</t>
    </r>
    <r>
      <rPr>
        <sz val="11"/>
        <color theme="1"/>
        <rFont val="Linux Libertine G"/>
        <family val="2"/>
      </rPr>
      <t xml:space="preserve">新药批准数量</t>
    </r>
  </si>
  <si>
    <r>
      <rPr>
        <sz val="11"/>
        <color theme="1"/>
        <rFont val="Linux Libertine G"/>
        <family val="2"/>
        <charset val="1"/>
      </rPr>
      <t xml:space="preserve">2-FDA</t>
    </r>
    <r>
      <rPr>
        <sz val="11"/>
        <color theme="1"/>
        <rFont val="Linux Libertine G"/>
        <family val="2"/>
      </rPr>
      <t xml:space="preserve">新药批准数量</t>
    </r>
  </si>
  <si>
    <t xml:space="preserve">FDA</t>
  </si>
  <si>
    <r>
      <rPr>
        <sz val="11"/>
        <color theme="1"/>
        <rFont val="Linux Libertine G"/>
        <family val="2"/>
        <charset val="1"/>
      </rPr>
      <t xml:space="preserve">CXO|3-CXO</t>
    </r>
    <r>
      <rPr>
        <sz val="11"/>
        <color theme="1"/>
        <rFont val="Linux Libertine G"/>
        <family val="2"/>
      </rPr>
      <t xml:space="preserve">企业订单增速</t>
    </r>
  </si>
  <si>
    <r>
      <rPr>
        <sz val="11"/>
        <color theme="1"/>
        <rFont val="Linux Libertine G"/>
        <family val="2"/>
        <charset val="1"/>
      </rPr>
      <t xml:space="preserve">3-CXO</t>
    </r>
    <r>
      <rPr>
        <sz val="11"/>
        <color theme="1"/>
        <rFont val="Linux Libertine G"/>
        <family val="2"/>
      </rPr>
      <t xml:space="preserve">企业订单增速</t>
    </r>
  </si>
  <si>
    <r>
      <rPr>
        <sz val="11"/>
        <color theme="1"/>
        <rFont val="Linux Libertine G"/>
        <family val="2"/>
      </rPr>
      <t xml:space="preserve">药明康德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康龙化成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凯莱英</t>
    </r>
  </si>
  <si>
    <r>
      <rPr>
        <sz val="11"/>
        <color theme="1"/>
        <rFont val="Linux Libertine G"/>
        <family val="2"/>
        <charset val="1"/>
      </rPr>
      <t xml:space="preserve">CXO|4-</t>
    </r>
    <r>
      <rPr>
        <sz val="11"/>
        <color theme="1"/>
        <rFont val="Linux Libertine G"/>
        <family val="2"/>
      </rPr>
      <t xml:space="preserve">客户研发管线数量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</si>
  <si>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客户研发管线数量</t>
    </r>
  </si>
  <si>
    <t xml:space="preserve">Pharmaprojects</t>
  </si>
  <si>
    <r>
      <rPr>
        <sz val="11"/>
        <color theme="1"/>
        <rFont val="Linux Libertine G"/>
        <family val="2"/>
        <charset val="1"/>
      </rPr>
      <t xml:space="preserve">CXO|5-</t>
    </r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IND</t>
    </r>
    <r>
      <rPr>
        <sz val="11"/>
        <color theme="1"/>
        <rFont val="Linux Libertine G"/>
        <family val="2"/>
      </rPr>
      <t xml:space="preserve">数量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</si>
  <si>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IND</t>
    </r>
    <r>
      <rPr>
        <sz val="11"/>
        <color theme="1"/>
        <rFont val="Linux Libertine G"/>
        <family val="2"/>
      </rPr>
      <t xml:space="preserve">数量</t>
    </r>
  </si>
  <si>
    <r>
      <rPr>
        <sz val="11"/>
        <color theme="1"/>
        <rFont val="Linux Libertine G"/>
        <family val="2"/>
        <charset val="1"/>
      </rPr>
      <t xml:space="preserve">CXO|6-</t>
    </r>
    <r>
      <rPr>
        <sz val="11"/>
        <color theme="1"/>
        <rFont val="Linux Libertine G"/>
        <family val="2"/>
      </rPr>
      <t xml:space="preserve">大分子</t>
    </r>
    <r>
      <rPr>
        <sz val="11"/>
        <color theme="1"/>
        <rFont val="Linux Libertine G"/>
        <family val="2"/>
        <charset val="1"/>
      </rPr>
      <t xml:space="preserve">/ADC</t>
    </r>
    <r>
      <rPr>
        <sz val="11"/>
        <color theme="1"/>
        <rFont val="Linux Libertine G"/>
        <family val="2"/>
      </rPr>
      <t xml:space="preserve">药物研发热度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</si>
  <si>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大分子</t>
    </r>
    <r>
      <rPr>
        <sz val="11"/>
        <color theme="1"/>
        <rFont val="Linux Libertine G"/>
        <family val="2"/>
        <charset val="1"/>
      </rPr>
      <t xml:space="preserve">/ADC</t>
    </r>
    <r>
      <rPr>
        <sz val="11"/>
        <color theme="1"/>
        <rFont val="Linux Libertine G"/>
        <family val="2"/>
      </rPr>
      <t xml:space="preserve">药物研发热度</t>
    </r>
  </si>
  <si>
    <t xml:space="preserve">高</t>
  </si>
  <si>
    <r>
      <rPr>
        <sz val="11"/>
        <color theme="1"/>
        <rFont val="Linux Libertine G"/>
        <family val="2"/>
        <charset val="1"/>
      </rPr>
      <t xml:space="preserve">CXO|7-</t>
    </r>
    <r>
      <rPr>
        <sz val="11"/>
        <color theme="1"/>
        <rFont val="Linux Libertine G"/>
        <family val="2"/>
      </rPr>
      <t xml:space="preserve">地缘政治风险指数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</si>
  <si>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地缘政治风险指数</t>
    </r>
  </si>
  <si>
    <r>
      <rPr>
        <sz val="11"/>
        <color theme="1"/>
        <rFont val="Linux Libertine G"/>
        <family val="2"/>
        <charset val="1"/>
      </rPr>
      <t xml:space="preserve">CXO|8-CXO</t>
    </r>
    <r>
      <rPr>
        <sz val="11"/>
        <color theme="1"/>
        <rFont val="Linux Libertine G"/>
        <family val="2"/>
      </rPr>
      <t xml:space="preserve">企业收入增速</t>
    </r>
  </si>
  <si>
    <r>
      <rPr>
        <sz val="11"/>
        <color theme="1"/>
        <rFont val="Linux Libertine G"/>
        <family val="2"/>
        <charset val="1"/>
      </rPr>
      <t xml:space="preserve">8-CXO</t>
    </r>
    <r>
      <rPr>
        <sz val="11"/>
        <color theme="1"/>
        <rFont val="Linux Libertine G"/>
        <family val="2"/>
      </rPr>
      <t xml:space="preserve">企业收入增速</t>
    </r>
  </si>
  <si>
    <r>
      <rPr>
        <sz val="11"/>
        <color theme="1"/>
        <rFont val="Linux Libertine G"/>
        <family val="2"/>
        <charset val="1"/>
      </rPr>
      <t xml:space="preserve">CXO|9-CDMO</t>
    </r>
    <r>
      <rPr>
        <sz val="11"/>
        <color theme="1"/>
        <rFont val="Linux Libertine G"/>
        <family val="2"/>
      </rPr>
      <t xml:space="preserve">产能利用率</t>
    </r>
  </si>
  <si>
    <r>
      <rPr>
        <sz val="11"/>
        <color theme="1"/>
        <rFont val="Linux Libertine G"/>
        <family val="2"/>
        <charset val="1"/>
      </rPr>
      <t xml:space="preserve">9-CDMO</t>
    </r>
    <r>
      <rPr>
        <sz val="11"/>
        <color theme="1"/>
        <rFont val="Linux Libertine G"/>
        <family val="2"/>
      </rPr>
      <t xml:space="preserve">产能利用率</t>
    </r>
  </si>
  <si>
    <r>
      <rPr>
        <sz val="11"/>
        <color theme="1"/>
        <rFont val="Linux Libertine G"/>
        <family val="2"/>
        <charset val="1"/>
      </rPr>
      <t xml:space="preserve">CXO|10-</t>
    </r>
    <r>
      <rPr>
        <sz val="11"/>
        <color theme="1"/>
        <rFont val="Linux Libertine G"/>
        <family val="2"/>
      </rPr>
      <t xml:space="preserve">实验室服务收入增速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</si>
  <si>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实验室服务收入增速</t>
    </r>
  </si>
  <si>
    <r>
      <rPr>
        <sz val="11"/>
        <color theme="1"/>
        <rFont val="Linux Libertine G"/>
        <family val="2"/>
      </rPr>
      <t xml:space="preserve">药明康德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康龙化成</t>
    </r>
  </si>
  <si>
    <r>
      <rPr>
        <sz val="11"/>
        <color theme="1"/>
        <rFont val="Linux Libertine G"/>
        <family val="2"/>
        <charset val="1"/>
      </rPr>
      <t xml:space="preserve">CXO|11-</t>
    </r>
    <r>
      <rPr>
        <sz val="11"/>
        <color theme="1"/>
        <rFont val="Linux Libertine G"/>
        <family val="2"/>
      </rPr>
      <t xml:space="preserve">临床</t>
    </r>
    <r>
      <rPr>
        <sz val="11"/>
        <color theme="1"/>
        <rFont val="Linux Libertine G"/>
        <family val="2"/>
        <charset val="1"/>
      </rPr>
      <t xml:space="preserve">CRO</t>
    </r>
    <r>
      <rPr>
        <sz val="11"/>
        <color theme="1"/>
        <rFont val="Linux Libertine G"/>
        <family val="2"/>
      </rPr>
      <t xml:space="preserve">在研项目数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</si>
  <si>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临床</t>
    </r>
    <r>
      <rPr>
        <sz val="11"/>
        <color theme="1"/>
        <rFont val="Linux Libertine G"/>
        <family val="2"/>
        <charset val="1"/>
      </rPr>
      <t xml:space="preserve">CRO</t>
    </r>
    <r>
      <rPr>
        <sz val="11"/>
        <color theme="1"/>
        <rFont val="Linux Libertine G"/>
        <family val="2"/>
      </rPr>
      <t xml:space="preserve">在研项目数</t>
    </r>
  </si>
  <si>
    <r>
      <rPr>
        <sz val="11"/>
        <color theme="1"/>
        <rFont val="Linux Libertine G"/>
        <family val="2"/>
      </rPr>
      <t xml:space="preserve">泰格医药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诺思格</t>
    </r>
  </si>
  <si>
    <r>
      <rPr>
        <sz val="11"/>
        <color theme="1"/>
        <rFont val="Linux Libertine G"/>
        <family val="2"/>
        <charset val="1"/>
      </rPr>
      <t xml:space="preserve">CXO|12-CXO</t>
    </r>
    <r>
      <rPr>
        <sz val="11"/>
        <color theme="1"/>
        <rFont val="Linux Libertine G"/>
        <family val="2"/>
      </rPr>
      <t xml:space="preserve">企业合同负债</t>
    </r>
  </si>
  <si>
    <r>
      <rPr>
        <sz val="11"/>
        <color theme="1"/>
        <rFont val="Linux Libertine G"/>
        <family val="2"/>
        <charset val="1"/>
      </rPr>
      <t xml:space="preserve">12-CXO</t>
    </r>
    <r>
      <rPr>
        <sz val="11"/>
        <color theme="1"/>
        <rFont val="Linux Libertine G"/>
        <family val="2"/>
      </rPr>
      <t xml:space="preserve">企业合同负债</t>
    </r>
  </si>
  <si>
    <r>
      <rPr>
        <sz val="11"/>
        <color theme="1"/>
        <rFont val="Linux Libertine G"/>
        <family val="2"/>
        <charset val="1"/>
      </rPr>
      <t xml:space="preserve">CXO|13-CXO</t>
    </r>
    <r>
      <rPr>
        <sz val="11"/>
        <color theme="1"/>
        <rFont val="Linux Libertine G"/>
        <family val="2"/>
      </rPr>
      <t xml:space="preserve">企业海外收入占比</t>
    </r>
  </si>
  <si>
    <r>
      <rPr>
        <sz val="11"/>
        <color theme="1"/>
        <rFont val="Linux Libertine G"/>
        <family val="2"/>
        <charset val="1"/>
      </rPr>
      <t xml:space="preserve">13-CXO</t>
    </r>
    <r>
      <rPr>
        <sz val="11"/>
        <color theme="1"/>
        <rFont val="Linux Libertine G"/>
        <family val="2"/>
      </rPr>
      <t xml:space="preserve">企业海外收入占比</t>
    </r>
  </si>
  <si>
    <r>
      <rPr>
        <sz val="11"/>
        <color theme="1"/>
        <rFont val="Linux Libertine G"/>
        <family val="2"/>
        <charset val="1"/>
      </rPr>
      <t xml:space="preserve">CXO|14-CXO</t>
    </r>
    <r>
      <rPr>
        <sz val="11"/>
        <color theme="1"/>
        <rFont val="Linux Libertine G"/>
        <family val="2"/>
      </rPr>
      <t xml:space="preserve">企业季度毛利率</t>
    </r>
  </si>
  <si>
    <r>
      <rPr>
        <sz val="11"/>
        <color theme="1"/>
        <rFont val="Linux Libertine G"/>
        <family val="2"/>
        <charset val="1"/>
      </rPr>
      <t xml:space="preserve">14-CXO</t>
    </r>
    <r>
      <rPr>
        <sz val="11"/>
        <color theme="1"/>
        <rFont val="Linux Libertine G"/>
        <family val="2"/>
      </rPr>
      <t xml:space="preserve">企业季度毛利率</t>
    </r>
  </si>
  <si>
    <t xml:space="preserve">38.5</t>
  </si>
  <si>
    <r>
      <rPr>
        <sz val="11"/>
        <color theme="1"/>
        <rFont val="Linux Libertine G"/>
        <family val="2"/>
        <charset val="1"/>
      </rPr>
      <t xml:space="preserve">CXO|15-CXO</t>
    </r>
    <r>
      <rPr>
        <sz val="11"/>
        <color theme="1"/>
        <rFont val="Linux Libertine G"/>
        <family val="2"/>
      </rPr>
      <t xml:space="preserve">企业净利润增速</t>
    </r>
  </si>
  <si>
    <r>
      <rPr>
        <sz val="11"/>
        <color theme="1"/>
        <rFont val="Linux Libertine G"/>
        <family val="2"/>
        <charset val="1"/>
      </rPr>
      <t xml:space="preserve">15-CXO</t>
    </r>
    <r>
      <rPr>
        <sz val="11"/>
        <color theme="1"/>
        <rFont val="Linux Libertine G"/>
        <family val="2"/>
      </rPr>
      <t xml:space="preserve">企业净利润增速</t>
    </r>
  </si>
  <si>
    <r>
      <rPr>
        <sz val="11"/>
        <color theme="1"/>
        <rFont val="Linux Libertine G"/>
        <family val="2"/>
        <charset val="1"/>
      </rPr>
      <t xml:space="preserve">CXO|16-CXO</t>
    </r>
    <r>
      <rPr>
        <sz val="11"/>
        <color theme="1"/>
        <rFont val="Linux Libertine G"/>
        <family val="2"/>
      </rPr>
      <t xml:space="preserve">行业人均产出</t>
    </r>
  </si>
  <si>
    <r>
      <rPr>
        <sz val="11"/>
        <color theme="1"/>
        <rFont val="Linux Libertine G"/>
        <family val="2"/>
        <charset val="1"/>
      </rPr>
      <t xml:space="preserve">16-CXO</t>
    </r>
    <r>
      <rPr>
        <sz val="11"/>
        <color theme="1"/>
        <rFont val="Linux Libertine G"/>
        <family val="2"/>
      </rPr>
      <t xml:space="preserve">行业人均产出</t>
    </r>
  </si>
  <si>
    <r>
      <rPr>
        <sz val="11"/>
        <color theme="1"/>
        <rFont val="Linux Libertine G"/>
        <family val="2"/>
        <charset val="1"/>
      </rPr>
      <t xml:space="preserve">CXO|17-CXO</t>
    </r>
    <r>
      <rPr>
        <sz val="11"/>
        <color theme="1"/>
        <rFont val="Linux Libertine G"/>
        <family val="2"/>
      </rPr>
      <t xml:space="preserve">产能扩张进度</t>
    </r>
  </si>
  <si>
    <r>
      <rPr>
        <sz val="11"/>
        <color theme="1"/>
        <rFont val="Linux Libertine G"/>
        <family val="2"/>
        <charset val="1"/>
      </rPr>
      <t xml:space="preserve">17-CXO</t>
    </r>
    <r>
      <rPr>
        <sz val="11"/>
        <color theme="1"/>
        <rFont val="Linux Libertine G"/>
        <family val="2"/>
      </rPr>
      <t xml:space="preserve">产能扩张进度</t>
    </r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</si>
  <si>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|1-</t>
    </r>
    <r>
      <rPr>
        <sz val="11"/>
        <color theme="1"/>
        <rFont val="Linux Libertine G"/>
        <family val="2"/>
      </rPr>
      <t xml:space="preserve">全球生物医药融资额</t>
    </r>
  </si>
  <si>
    <t xml:space="preserve">创新药</t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</si>
  <si>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|2-</t>
    </r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IND</t>
    </r>
    <r>
      <rPr>
        <sz val="11"/>
        <color theme="1"/>
        <rFont val="Linux Libertine G"/>
        <family val="2"/>
      </rPr>
      <t xml:space="preserve">数量</t>
    </r>
  </si>
  <si>
    <r>
      <rPr>
        <sz val="11"/>
        <color theme="1"/>
        <rFont val="Linux Libertine G"/>
        <family val="2"/>
        <charset val="1"/>
      </rPr>
      <t xml:space="preserve">2-</t>
    </r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IND</t>
    </r>
    <r>
      <rPr>
        <sz val="11"/>
        <color theme="1"/>
        <rFont val="Linux Libertine G"/>
        <family val="2"/>
      </rPr>
      <t xml:space="preserve">数量</t>
    </r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</si>
  <si>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|3-NDA/BLA</t>
    </r>
    <r>
      <rPr>
        <sz val="11"/>
        <color theme="1"/>
        <rFont val="Linux Libertine G"/>
        <family val="2"/>
      </rPr>
      <t xml:space="preserve">申报数量</t>
    </r>
  </si>
  <si>
    <r>
      <rPr>
        <sz val="11"/>
        <color theme="1"/>
        <rFont val="Linux Libertine G"/>
        <family val="2"/>
        <charset val="1"/>
      </rPr>
      <t xml:space="preserve">3-NDA/BLA</t>
    </r>
    <r>
      <rPr>
        <sz val="11"/>
        <color theme="1"/>
        <rFont val="Linux Libertine G"/>
        <family val="2"/>
      </rPr>
      <t xml:space="preserve">申报数量</t>
    </r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</si>
  <si>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|4-</t>
    </r>
    <r>
      <rPr>
        <sz val="11"/>
        <color theme="1"/>
        <rFont val="Linux Libertine G"/>
        <family val="2"/>
      </rPr>
      <t xml:space="preserve">临床管线数量</t>
    </r>
  </si>
  <si>
    <r>
      <rPr>
        <sz val="11"/>
        <color theme="1"/>
        <rFont val="Linux Libertine G"/>
        <family val="2"/>
        <charset val="1"/>
      </rPr>
      <t xml:space="preserve">4-</t>
    </r>
    <r>
      <rPr>
        <sz val="11"/>
        <color theme="1"/>
        <rFont val="Linux Libertine G"/>
        <family val="2"/>
      </rPr>
      <t xml:space="preserve">临床管线数量</t>
    </r>
  </si>
  <si>
    <t xml:space="preserve">Pharmaprojects/Insight</t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</si>
  <si>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|5-</t>
    </r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BD</t>
    </r>
    <r>
      <rPr>
        <sz val="11"/>
        <color theme="1"/>
        <rFont val="Linux Libertine G"/>
        <family val="2"/>
      </rPr>
      <t xml:space="preserve">交易金额</t>
    </r>
  </si>
  <si>
    <r>
      <rPr>
        <sz val="11"/>
        <color theme="1"/>
        <rFont val="Linux Libertine G"/>
        <family val="2"/>
        <charset val="1"/>
      </rPr>
      <t xml:space="preserve">5-</t>
    </r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BD</t>
    </r>
    <r>
      <rPr>
        <sz val="11"/>
        <color theme="1"/>
        <rFont val="Linux Libertine G"/>
        <family val="2"/>
      </rPr>
      <t xml:space="preserve">交易金额</t>
    </r>
  </si>
  <si>
    <t xml:space="preserve">医药魔方</t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</si>
  <si>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|6-</t>
    </r>
    <r>
      <rPr>
        <sz val="11"/>
        <color theme="1"/>
        <rFont val="Linux Libertine G"/>
        <family val="2"/>
      </rPr>
      <t xml:space="preserve">医保谈判降价预期</t>
    </r>
  </si>
  <si>
    <r>
      <rPr>
        <sz val="11"/>
        <color theme="1"/>
        <rFont val="Linux Libertine G"/>
        <family val="2"/>
        <charset val="1"/>
      </rPr>
      <t xml:space="preserve">6-</t>
    </r>
    <r>
      <rPr>
        <sz val="11"/>
        <color theme="1"/>
        <rFont val="Linux Libertine G"/>
        <family val="2"/>
      </rPr>
      <t xml:space="preserve">医保谈判降价预期</t>
    </r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</si>
  <si>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|7-</t>
    </r>
    <r>
      <rPr>
        <sz val="11"/>
        <color theme="1"/>
        <rFont val="Linux Libertine G"/>
        <family val="2"/>
      </rPr>
      <t xml:space="preserve">创新药研发支出增速</t>
    </r>
  </si>
  <si>
    <r>
      <rPr>
        <sz val="11"/>
        <color theme="1"/>
        <rFont val="Linux Libertine G"/>
        <family val="2"/>
        <charset val="1"/>
      </rPr>
      <t xml:space="preserve">7-</t>
    </r>
    <r>
      <rPr>
        <sz val="11"/>
        <color theme="1"/>
        <rFont val="Linux Libertine G"/>
        <family val="2"/>
      </rPr>
      <t xml:space="preserve">创新药研发支出增速</t>
    </r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</si>
  <si>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|8-</t>
    </r>
    <r>
      <rPr>
        <sz val="11"/>
        <color theme="1"/>
        <rFont val="Linux Libertine G"/>
        <family val="2"/>
      </rPr>
      <t xml:space="preserve">创新药获批数量</t>
    </r>
  </si>
  <si>
    <r>
      <rPr>
        <sz val="11"/>
        <color theme="1"/>
        <rFont val="Linux Libertine G"/>
        <family val="2"/>
        <charset val="1"/>
      </rPr>
      <t xml:space="preserve">8-</t>
    </r>
    <r>
      <rPr>
        <sz val="11"/>
        <color theme="1"/>
        <rFont val="Linux Libertine G"/>
        <family val="2"/>
      </rPr>
      <t xml:space="preserve">创新药获批数量</t>
    </r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</si>
  <si>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|9-</t>
    </r>
    <r>
      <rPr>
        <sz val="11"/>
        <color theme="1"/>
        <rFont val="Linux Libertine G"/>
        <family val="2"/>
      </rPr>
      <t xml:space="preserve">创新药销售额增速</t>
    </r>
  </si>
  <si>
    <r>
      <rPr>
        <sz val="11"/>
        <color theme="1"/>
        <rFont val="Linux Libertine G"/>
        <family val="2"/>
        <charset val="1"/>
      </rPr>
      <t xml:space="preserve">9-</t>
    </r>
    <r>
      <rPr>
        <sz val="11"/>
        <color theme="1"/>
        <rFont val="Linux Libertine G"/>
        <family val="2"/>
      </rPr>
      <t xml:space="preserve">创新药销售额增速</t>
    </r>
  </si>
  <si>
    <r>
      <rPr>
        <sz val="11"/>
        <color theme="1"/>
        <rFont val="Linux Libertine G"/>
        <family val="2"/>
        <charset val="1"/>
      </rPr>
      <t xml:space="preserve">PDB/</t>
    </r>
    <r>
      <rPr>
        <sz val="11"/>
        <color theme="1"/>
        <rFont val="Linux Libertine G"/>
        <family val="2"/>
      </rPr>
      <t xml:space="preserve">样本医院</t>
    </r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</si>
  <si>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|10-</t>
    </r>
    <r>
      <rPr>
        <sz val="11"/>
        <color theme="1"/>
        <rFont val="Linux Libertine G"/>
        <family val="2"/>
      </rPr>
      <t xml:space="preserve">医院准入数量</t>
    </r>
  </si>
  <si>
    <r>
      <rPr>
        <sz val="11"/>
        <color theme="1"/>
        <rFont val="Linux Libertine G"/>
        <family val="2"/>
        <charset val="1"/>
      </rPr>
      <t xml:space="preserve">10-</t>
    </r>
    <r>
      <rPr>
        <sz val="11"/>
        <color theme="1"/>
        <rFont val="Linux Libertine G"/>
        <family val="2"/>
      </rPr>
      <t xml:space="preserve">医院准入数量</t>
    </r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</si>
  <si>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|11-</t>
    </r>
    <r>
      <rPr>
        <sz val="11"/>
        <color theme="1"/>
        <rFont val="Linux Libertine G"/>
        <family val="2"/>
      </rPr>
      <t xml:space="preserve">创新药处方量增速</t>
    </r>
  </si>
  <si>
    <r>
      <rPr>
        <sz val="11"/>
        <color theme="1"/>
        <rFont val="Linux Libertine G"/>
        <family val="2"/>
        <charset val="1"/>
      </rPr>
      <t xml:space="preserve">11-</t>
    </r>
    <r>
      <rPr>
        <sz val="11"/>
        <color theme="1"/>
        <rFont val="Linux Libertine G"/>
        <family val="2"/>
      </rPr>
      <t xml:space="preserve">创新药处方量增速</t>
    </r>
  </si>
  <si>
    <t xml:space="preserve">IQVIA</t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</si>
  <si>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|12-</t>
    </r>
    <r>
      <rPr>
        <sz val="11"/>
        <color theme="1"/>
        <rFont val="Linux Libertine G"/>
        <family val="2"/>
      </rPr>
      <t xml:space="preserve">创新药出口金额</t>
    </r>
  </si>
  <si>
    <r>
      <rPr>
        <sz val="11"/>
        <color theme="1"/>
        <rFont val="Linux Libertine G"/>
        <family val="2"/>
        <charset val="1"/>
      </rPr>
      <t xml:space="preserve">12-</t>
    </r>
    <r>
      <rPr>
        <sz val="11"/>
        <color theme="1"/>
        <rFont val="Linux Libertine G"/>
        <family val="2"/>
      </rPr>
      <t xml:space="preserve">创新药出口金额</t>
    </r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</si>
  <si>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|13-</t>
    </r>
    <r>
      <rPr>
        <sz val="11"/>
        <color theme="1"/>
        <rFont val="Linux Libertine G"/>
        <family val="2"/>
      </rPr>
      <t xml:space="preserve">生物类似药上市数量</t>
    </r>
  </si>
  <si>
    <r>
      <rPr>
        <sz val="11"/>
        <color theme="1"/>
        <rFont val="Linux Libertine G"/>
        <family val="2"/>
        <charset val="1"/>
      </rPr>
      <t xml:space="preserve">13-</t>
    </r>
    <r>
      <rPr>
        <sz val="11"/>
        <color theme="1"/>
        <rFont val="Linux Libertine G"/>
        <family val="2"/>
      </rPr>
      <t xml:space="preserve">生物类似药上市数量</t>
    </r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</si>
  <si>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|14-</t>
    </r>
    <r>
      <rPr>
        <sz val="11"/>
        <color theme="1"/>
        <rFont val="Linux Libertine G"/>
        <family val="2"/>
      </rPr>
      <t xml:space="preserve">创新药企业毛利率</t>
    </r>
  </si>
  <si>
    <r>
      <rPr>
        <sz val="11"/>
        <color theme="1"/>
        <rFont val="Linux Libertine G"/>
        <family val="2"/>
        <charset val="1"/>
      </rPr>
      <t xml:space="preserve">14-</t>
    </r>
    <r>
      <rPr>
        <sz val="11"/>
        <color theme="1"/>
        <rFont val="Linux Libertine G"/>
        <family val="2"/>
      </rPr>
      <t xml:space="preserve">创新药企业毛利率</t>
    </r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</si>
  <si>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|15-</t>
    </r>
    <r>
      <rPr>
        <sz val="11"/>
        <color theme="1"/>
        <rFont val="Linux Libertine G"/>
        <family val="2"/>
      </rPr>
      <t xml:space="preserve">创新药企业净利润</t>
    </r>
  </si>
  <si>
    <r>
      <rPr>
        <sz val="11"/>
        <color theme="1"/>
        <rFont val="Linux Libertine G"/>
        <family val="2"/>
        <charset val="1"/>
      </rPr>
      <t xml:space="preserve">15-</t>
    </r>
    <r>
      <rPr>
        <sz val="11"/>
        <color theme="1"/>
        <rFont val="Linux Libertine G"/>
        <family val="2"/>
      </rPr>
      <t xml:space="preserve">创新药企业净利润</t>
    </r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</si>
  <si>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|16-</t>
    </r>
    <r>
      <rPr>
        <sz val="11"/>
        <color theme="1"/>
        <rFont val="Linux Libertine G"/>
        <family val="2"/>
      </rPr>
      <t xml:space="preserve">创新药研发费用率</t>
    </r>
  </si>
  <si>
    <r>
      <rPr>
        <sz val="11"/>
        <color theme="1"/>
        <rFont val="Linux Libertine G"/>
        <family val="2"/>
        <charset val="1"/>
      </rPr>
      <t xml:space="preserve">16-</t>
    </r>
    <r>
      <rPr>
        <sz val="11"/>
        <color theme="1"/>
        <rFont val="Linux Libertine G"/>
        <family val="2"/>
      </rPr>
      <t xml:space="preserve">创新药研发费用率</t>
    </r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</si>
  <si>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|17-</t>
    </r>
    <r>
      <rPr>
        <sz val="11"/>
        <color theme="1"/>
        <rFont val="Linux Libertine G"/>
        <family val="2"/>
      </rPr>
      <t xml:space="preserve">创新药销售费用率</t>
    </r>
  </si>
  <si>
    <r>
      <rPr>
        <sz val="11"/>
        <color theme="1"/>
        <rFont val="Linux Libertine G"/>
        <family val="2"/>
        <charset val="1"/>
      </rPr>
      <t xml:space="preserve">17-</t>
    </r>
    <r>
      <rPr>
        <sz val="11"/>
        <color theme="1"/>
        <rFont val="Linux Libertine G"/>
        <family val="2"/>
      </rPr>
      <t xml:space="preserve">创新药销售费用率</t>
    </r>
  </si>
  <si>
    <r>
      <rPr>
        <sz val="11"/>
        <color theme="1"/>
        <rFont val="Linux Libertine G"/>
        <family val="2"/>
      </rPr>
      <t xml:space="preserve">创新药</t>
    </r>
    <r>
      <rPr>
        <sz val="11"/>
        <color theme="1"/>
        <rFont val="Linux Libertine G"/>
        <family val="2"/>
        <charset val="1"/>
      </rPr>
      <t xml:space="preserve">|18-</t>
    </r>
    <r>
      <rPr>
        <sz val="11"/>
        <color theme="1"/>
        <rFont val="Linux Libertine G"/>
        <family val="2"/>
      </rPr>
      <t xml:space="preserve">创新药经营性现金流</t>
    </r>
  </si>
  <si>
    <r>
      <rPr>
        <sz val="11"/>
        <color theme="1"/>
        <rFont val="Linux Libertine G"/>
        <family val="2"/>
        <charset val="1"/>
      </rPr>
      <t xml:space="preserve">18-</t>
    </r>
    <r>
      <rPr>
        <sz val="11"/>
        <color theme="1"/>
        <rFont val="Linux Libertine G"/>
        <family val="2"/>
      </rPr>
      <t xml:space="preserve">创新药经营性现金流</t>
    </r>
  </si>
  <si>
    <t xml:space="preserve">基础景气分</t>
  </si>
  <si>
    <t xml:space="preserve">核心增长内核</t>
  </si>
  <si>
    <t xml:space="preserve">必选先行标准</t>
  </si>
  <si>
    <t xml:space="preserve">风险否决重点</t>
  </si>
  <si>
    <r>
      <rPr>
        <b val="true"/>
        <sz val="11"/>
        <color rgb="FFFFFFFF"/>
        <rFont val="Linux Libertine G"/>
        <family val="2"/>
      </rPr>
      <t xml:space="preserve">事件证据数</t>
    </r>
    <r>
      <rPr>
        <b val="true"/>
        <sz val="11"/>
        <color rgb="FFFFFFFF"/>
        <rFont val="Cambria"/>
        <family val="0"/>
        <charset val="1"/>
      </rPr>
      <t xml:space="preserve">(0-3)</t>
    </r>
  </si>
  <si>
    <r>
      <rPr>
        <b val="true"/>
        <sz val="11"/>
        <color rgb="FFFFFFFF"/>
        <rFont val="Linux Libertine G"/>
        <family val="2"/>
      </rPr>
      <t xml:space="preserve">事件影响</t>
    </r>
    <r>
      <rPr>
        <b val="true"/>
        <sz val="11"/>
        <color rgb="FFFFFFFF"/>
        <rFont val="Cambria"/>
        <family val="0"/>
        <charset val="1"/>
      </rPr>
      <t xml:space="preserve">(-1.5~1.5)</t>
    </r>
  </si>
  <si>
    <r>
      <rPr>
        <b val="true"/>
        <sz val="11"/>
        <color rgb="FFFFFFFF"/>
        <rFont val="Linux Libertine G"/>
        <family val="2"/>
      </rPr>
      <t xml:space="preserve">风险扣分</t>
    </r>
    <r>
      <rPr>
        <b val="true"/>
        <sz val="11"/>
        <color rgb="FFFFFFFF"/>
        <rFont val="Cambria"/>
        <family val="0"/>
        <charset val="1"/>
      </rPr>
      <t xml:space="preserve">(0~-1.5)</t>
    </r>
  </si>
  <si>
    <t xml:space="preserve">事件有效影响</t>
  </si>
  <si>
    <t xml:space="preserve">最终行业分</t>
  </si>
  <si>
    <t xml:space="preserve">使用状态</t>
  </si>
  <si>
    <t xml:space="preserve">供给周期与养殖价差</t>
  </si>
  <si>
    <r>
      <rPr>
        <sz val="11"/>
        <color theme="1"/>
        <rFont val="Linux Libertine G"/>
        <family val="2"/>
      </rPr>
      <t xml:space="preserve">母猪存栏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淘汰率、仔猪价、饲料成本</t>
    </r>
  </si>
  <si>
    <r>
      <rPr>
        <sz val="11"/>
        <color theme="1"/>
        <rFont val="Linux Libertine G"/>
        <family val="2"/>
      </rPr>
      <t xml:space="preserve">单纯</t>
    </r>
    <r>
      <rPr>
        <sz val="11"/>
        <color theme="1"/>
        <rFont val="Linux Libertine G"/>
        <family val="2"/>
        <charset val="1"/>
      </rPr>
      <t xml:space="preserve">CPI</t>
    </r>
    <r>
      <rPr>
        <sz val="11"/>
        <color theme="1"/>
        <rFont val="Linux Libertine G"/>
        <family val="2"/>
      </rPr>
      <t xml:space="preserve">、年度种植面积</t>
    </r>
  </si>
  <si>
    <t xml:space="preserve">库存周期与价差修复</t>
  </si>
  <si>
    <t xml:space="preserve">下游订单、库存、计划新增产能</t>
  </si>
  <si>
    <t xml:space="preserve">原油绝对价格</t>
  </si>
  <si>
    <r>
      <rPr>
        <sz val="11"/>
        <color theme="1"/>
        <rFont val="Linux Libertine G"/>
        <family val="2"/>
      </rPr>
      <t xml:space="preserve">需求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去库与利润修复</t>
    </r>
  </si>
  <si>
    <t xml:space="preserve">地产施工、基建实物量、库存变化</t>
  </si>
  <si>
    <t xml:space="preserve">钢价绝对水平</t>
  </si>
  <si>
    <t xml:space="preserve">库存、供给约束与需求弹性</t>
  </si>
  <si>
    <r>
      <rPr>
        <sz val="11"/>
        <color theme="1"/>
        <rFont val="Linux Libertine G"/>
        <family val="2"/>
      </rPr>
      <t xml:space="preserve">库存、</t>
    </r>
    <r>
      <rPr>
        <sz val="11"/>
        <color theme="1"/>
        <rFont val="Linux Libertine G"/>
        <family val="2"/>
        <charset val="1"/>
      </rPr>
      <t xml:space="preserve">TC/RC</t>
    </r>
    <r>
      <rPr>
        <sz val="11"/>
        <color theme="1"/>
        <rFont val="Linux Libertine G"/>
        <family val="2"/>
      </rPr>
      <t xml:space="preserve">、美元、矿端扰动</t>
    </r>
  </si>
  <si>
    <t xml:space="preserve">金属绝对价格</t>
  </si>
  <si>
    <r>
      <rPr>
        <sz val="11"/>
        <color theme="1"/>
        <rFont val="Linux Libertine G"/>
        <family val="2"/>
      </rPr>
      <t xml:space="preserve">库存去化与需求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产能利用率</t>
    </r>
  </si>
  <si>
    <t xml:space="preserve">订单、库存周转、存储价格、终端出货</t>
  </si>
  <si>
    <t xml:space="preserve">行业总销售单指标</t>
  </si>
  <si>
    <t xml:space="preserve">更新需求、出口和产品结构</t>
  </si>
  <si>
    <t xml:space="preserve">地产竣工、海外订单、排产</t>
  </si>
  <si>
    <t xml:space="preserve">商品房销售</t>
  </si>
  <si>
    <t xml:space="preserve">动销、渠道与价格带</t>
  </si>
  <si>
    <t xml:space="preserve">经销商库存、终端动销、批价</t>
  </si>
  <si>
    <r>
      <rPr>
        <sz val="11"/>
        <color theme="1"/>
        <rFont val="Linux Libertine G"/>
        <family val="2"/>
        <charset val="1"/>
      </rPr>
      <t xml:space="preserve">CPI</t>
    </r>
    <r>
      <rPr>
        <sz val="11"/>
        <color theme="1"/>
        <rFont val="Linux Libertine G"/>
        <family val="2"/>
      </rPr>
      <t xml:space="preserve">单项</t>
    </r>
  </si>
  <si>
    <t xml:space="preserve">海外库存、订单与汇率</t>
  </si>
  <si>
    <t xml:space="preserve">海外零售库存、订单、汇率</t>
  </si>
  <si>
    <t xml:space="preserve">棉价单项</t>
  </si>
  <si>
    <r>
      <rPr>
        <sz val="11"/>
        <color theme="1"/>
        <rFont val="Linux Libertine G"/>
        <family val="2"/>
      </rPr>
      <t xml:space="preserve">地产后周期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出口与价差</t>
    </r>
  </si>
  <si>
    <t xml:space="preserve">竣工、海外地产、原料与产品价差</t>
  </si>
  <si>
    <t xml:space="preserve">纸浆绝对价格</t>
  </si>
  <si>
    <t xml:space="preserve">创新、诊疗与政策支付</t>
  </si>
  <si>
    <r>
      <rPr>
        <sz val="11"/>
        <color theme="1"/>
        <rFont val="Linux Libertine G"/>
        <family val="2"/>
        <charset val="1"/>
      </rPr>
      <t xml:space="preserve">IND/</t>
    </r>
    <r>
      <rPr>
        <sz val="11"/>
        <color theme="1"/>
        <rFont val="Linux Libertine G"/>
        <family val="2"/>
      </rPr>
      <t xml:space="preserve">注册、医保政策、研发融资</t>
    </r>
  </si>
  <si>
    <t xml:space="preserve">单一原料药价格</t>
  </si>
  <si>
    <t xml:space="preserve">利用小时、燃料传导与资本回报</t>
  </si>
  <si>
    <t xml:space="preserve">来水、燃料、电价机制、装机进度</t>
  </si>
  <si>
    <t xml:space="preserve">装机规划</t>
  </si>
  <si>
    <t xml:space="preserve">运价、运量与供给</t>
  </si>
  <si>
    <t xml:space="preserve">运力投放、运价、油价</t>
  </si>
  <si>
    <t xml:space="preserve">投资增速</t>
  </si>
  <si>
    <t xml:space="preserve">融资、销售与库存去化</t>
  </si>
  <si>
    <r>
      <rPr>
        <sz val="11"/>
        <color theme="1"/>
        <rFont val="Linux Libertine G"/>
        <family val="2"/>
      </rPr>
      <t xml:space="preserve">按揭利率、融资、限购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供给、城市库存</t>
    </r>
  </si>
  <si>
    <t xml:space="preserve">新开工单项</t>
  </si>
  <si>
    <t xml:space="preserve">客流、同店和渠道效率</t>
  </si>
  <si>
    <t xml:space="preserve">消费者信心、可支配收入、流量</t>
  </si>
  <si>
    <t xml:space="preserve">社零总额</t>
  </si>
  <si>
    <t xml:space="preserve">预订、客流与价格</t>
  </si>
  <si>
    <t xml:space="preserve">预订、客座率、出行意愿</t>
  </si>
  <si>
    <t xml:space="preserve">节假日单月值</t>
  </si>
  <si>
    <t xml:space="preserve">宏观扩散与企业盈利</t>
  </si>
  <si>
    <r>
      <rPr>
        <sz val="11"/>
        <color theme="1"/>
        <rFont val="Linux Libertine G"/>
        <family val="2"/>
        <charset val="1"/>
      </rPr>
      <t xml:space="preserve">PMI</t>
    </r>
    <r>
      <rPr>
        <sz val="11"/>
        <color theme="1"/>
        <rFont val="Linux Libertine G"/>
        <family val="2"/>
      </rPr>
      <t xml:space="preserve">新订单、社融、政策脉冲</t>
    </r>
  </si>
  <si>
    <r>
      <rPr>
        <sz val="11"/>
        <color theme="1"/>
        <rFont val="Linux Libertine G"/>
        <family val="2"/>
        <charset val="1"/>
      </rPr>
      <t xml:space="preserve">GDP</t>
    </r>
    <r>
      <rPr>
        <sz val="11"/>
        <color theme="1"/>
        <rFont val="Linux Libertine G"/>
        <family val="2"/>
      </rPr>
      <t xml:space="preserve">单项</t>
    </r>
  </si>
  <si>
    <t xml:space="preserve">地产基建实物量与库存</t>
  </si>
  <si>
    <t xml:space="preserve">新开工、基建项目、库存</t>
  </si>
  <si>
    <t xml:space="preserve">水泥价格单项</t>
  </si>
  <si>
    <t xml:space="preserve">财政资金、订单与回款</t>
  </si>
  <si>
    <t xml:space="preserve">专项债、项目开工、新签</t>
  </si>
  <si>
    <t xml:space="preserve">订单规模单项</t>
  </si>
  <si>
    <r>
      <rPr>
        <sz val="11"/>
        <color theme="1"/>
        <rFont val="Linux Libertine G"/>
        <family val="2"/>
      </rPr>
      <t xml:space="preserve">电网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新能源资本开支与订单</t>
    </r>
  </si>
  <si>
    <t xml:space="preserve">电网投资、招标、海外订单</t>
  </si>
  <si>
    <r>
      <rPr>
        <sz val="11"/>
        <color theme="1"/>
        <rFont val="Linux Libertine G"/>
        <family val="2"/>
      </rPr>
      <t xml:space="preserve">全行业组件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锂价</t>
    </r>
  </si>
  <si>
    <t xml:space="preserve">预算、订单与交付节奏</t>
  </si>
  <si>
    <r>
      <rPr>
        <sz val="11"/>
        <color theme="1"/>
        <rFont val="Linux Libertine G"/>
        <family val="2"/>
      </rPr>
      <t xml:space="preserve">预算、型号进度、订单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合同负债</t>
    </r>
  </si>
  <si>
    <t xml:space="preserve">地缘热度</t>
  </si>
  <si>
    <r>
      <rPr>
        <sz val="11"/>
        <color theme="1"/>
        <rFont val="Linux Libertine G"/>
        <family val="2"/>
        <charset val="1"/>
      </rPr>
      <t xml:space="preserve">IT</t>
    </r>
    <r>
      <rPr>
        <sz val="11"/>
        <color theme="1"/>
        <rFont val="Linux Libertine G"/>
        <family val="2"/>
      </rPr>
      <t xml:space="preserve">预算、订单和订阅渗透</t>
    </r>
  </si>
  <si>
    <r>
      <rPr>
        <sz val="11"/>
        <color theme="1"/>
        <rFont val="Linux Libertine G"/>
        <family val="2"/>
      </rPr>
      <t xml:space="preserve">企业</t>
    </r>
    <r>
      <rPr>
        <sz val="11"/>
        <color theme="1"/>
        <rFont val="Linux Libertine G"/>
        <family val="2"/>
        <charset val="1"/>
      </rPr>
      <t xml:space="preserve">IT</t>
    </r>
    <r>
      <rPr>
        <sz val="11"/>
        <color theme="1"/>
        <rFont val="Linux Libertine G"/>
        <family val="2"/>
      </rPr>
      <t xml:space="preserve">预算、云</t>
    </r>
    <r>
      <rPr>
        <sz val="11"/>
        <color theme="1"/>
        <rFont val="Linux Libertine G"/>
        <family val="2"/>
        <charset val="1"/>
      </rPr>
      <t xml:space="preserve">CAPEX</t>
    </r>
    <r>
      <rPr>
        <sz val="11"/>
        <color theme="1"/>
        <rFont val="Linux Libertine G"/>
        <family val="2"/>
      </rPr>
      <t xml:space="preserve">、招标</t>
    </r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</si>
  <si>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服务器热度</t>
    </r>
  </si>
  <si>
    <t xml:space="preserve">广告预算、内容供给与变现</t>
  </si>
  <si>
    <t xml:space="preserve">广告预算、版号、内容排期</t>
  </si>
  <si>
    <t xml:space="preserve">用户时长单项</t>
  </si>
  <si>
    <r>
      <rPr>
        <sz val="11"/>
        <color theme="1"/>
        <rFont val="Linux Libertine G"/>
        <family val="2"/>
      </rPr>
      <t xml:space="preserve">运营商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云</t>
    </r>
    <r>
      <rPr>
        <sz val="11"/>
        <color theme="1"/>
        <rFont val="Linux Libertine G"/>
        <family val="2"/>
        <charset val="1"/>
      </rPr>
      <t xml:space="preserve">CAPEX</t>
    </r>
    <r>
      <rPr>
        <sz val="11"/>
        <color theme="1"/>
        <rFont val="Linux Libertine G"/>
        <family val="2"/>
      </rPr>
      <t xml:space="preserve">与订单</t>
    </r>
  </si>
  <si>
    <r>
      <rPr>
        <sz val="11"/>
        <color theme="1"/>
        <rFont val="Linux Libertine G"/>
        <family val="2"/>
        <charset val="1"/>
      </rPr>
      <t xml:space="preserve">CAPEX</t>
    </r>
    <r>
      <rPr>
        <sz val="11"/>
        <color theme="1"/>
        <rFont val="Linux Libertine G"/>
        <family val="2"/>
      </rPr>
      <t xml:space="preserve">计划、光模块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设备订单</t>
    </r>
  </si>
  <si>
    <r>
      <rPr>
        <sz val="11"/>
        <color theme="1"/>
        <rFont val="Linux Libertine G"/>
        <family val="2"/>
        <charset val="1"/>
      </rPr>
      <t xml:space="preserve">5G</t>
    </r>
    <r>
      <rPr>
        <sz val="11"/>
        <color theme="1"/>
        <rFont val="Linux Libertine G"/>
        <family val="2"/>
      </rPr>
      <t xml:space="preserve">基站存量</t>
    </r>
  </si>
  <si>
    <t xml:space="preserve">信用扩张、息差与资产质量</t>
  </si>
  <si>
    <t xml:space="preserve">社融、贷款投放、利率曲线</t>
  </si>
  <si>
    <r>
      <rPr>
        <sz val="11"/>
        <color theme="1"/>
        <rFont val="Linux Libertine G"/>
        <family val="2"/>
        <charset val="1"/>
      </rPr>
      <t xml:space="preserve">M2</t>
    </r>
    <r>
      <rPr>
        <sz val="11"/>
        <color theme="1"/>
        <rFont val="Linux Libertine G"/>
        <family val="2"/>
      </rPr>
      <t xml:space="preserve">单项</t>
    </r>
  </si>
  <si>
    <t xml:space="preserve">成交活跃、产品发行与投资回报</t>
  </si>
  <si>
    <t xml:space="preserve">成交额、两融、基金发行</t>
  </si>
  <si>
    <r>
      <rPr>
        <sz val="11"/>
        <color theme="1"/>
        <rFont val="Linux Libertine G"/>
        <family val="2"/>
        <charset val="1"/>
      </rPr>
      <t xml:space="preserve">IPO</t>
    </r>
    <r>
      <rPr>
        <sz val="11"/>
        <color theme="1"/>
        <rFont val="Linux Libertine G"/>
        <family val="2"/>
      </rPr>
      <t xml:space="preserve">规模单项</t>
    </r>
  </si>
  <si>
    <t xml:space="preserve">产品周期、出口与库存</t>
  </si>
  <si>
    <t xml:space="preserve">库存系数、新品周期、出口订单</t>
  </si>
  <si>
    <t xml:space="preserve">销量总量</t>
  </si>
  <si>
    <t xml:space="preserve">制造业资本开支、订单与出口</t>
  </si>
  <si>
    <r>
      <rPr>
        <sz val="11"/>
        <color theme="1"/>
        <rFont val="Linux Libertine G"/>
        <family val="2"/>
        <charset val="1"/>
      </rPr>
      <t xml:space="preserve">PMI</t>
    </r>
    <r>
      <rPr>
        <sz val="11"/>
        <color theme="1"/>
        <rFont val="Linux Libertine G"/>
        <family val="2"/>
      </rPr>
      <t xml:space="preserve">新订单、开工小时、设备订单</t>
    </r>
  </si>
  <si>
    <t xml:space="preserve">固定资产投资总额</t>
  </si>
  <si>
    <r>
      <rPr>
        <sz val="11"/>
        <color theme="1"/>
        <rFont val="Linux Libertine G"/>
        <family val="2"/>
      </rPr>
      <t xml:space="preserve">日耗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库存与供给约束</t>
    </r>
  </si>
  <si>
    <r>
      <rPr>
        <sz val="11"/>
        <color theme="1"/>
        <rFont val="Linux Libertine G"/>
        <family val="2"/>
      </rPr>
      <t xml:space="preserve">日耗、港口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电厂库存、进口、安监</t>
    </r>
  </si>
  <si>
    <t xml:space="preserve">煤价绝对高位</t>
  </si>
  <si>
    <t xml:space="preserve">全球供需、库存与炼化价差</t>
  </si>
  <si>
    <r>
      <rPr>
        <sz val="11"/>
        <color theme="1"/>
        <rFont val="Linux Libertine G"/>
        <family val="2"/>
        <charset val="1"/>
      </rPr>
      <t xml:space="preserve">OPEC</t>
    </r>
    <r>
      <rPr>
        <sz val="11"/>
        <color theme="1"/>
        <rFont val="Linux Libertine G"/>
        <family val="2"/>
      </rPr>
      <t xml:space="preserve">、库存、需求预期</t>
    </r>
  </si>
  <si>
    <r>
      <rPr>
        <sz val="11"/>
        <color theme="1"/>
        <rFont val="Linux Libertine G"/>
        <family val="2"/>
        <charset val="1"/>
      </rPr>
      <t xml:space="preserve">Brent</t>
    </r>
    <r>
      <rPr>
        <sz val="11"/>
        <color theme="1"/>
        <rFont val="Linux Libertine G"/>
        <family val="2"/>
      </rPr>
      <t xml:space="preserve">单项</t>
    </r>
  </si>
  <si>
    <t xml:space="preserve">财政支付、订单与回款</t>
  </si>
  <si>
    <t xml:space="preserve">财政预算、项目订单、政策落地</t>
  </si>
  <si>
    <t xml:space="preserve">政策数量</t>
  </si>
  <si>
    <t xml:space="preserve">品牌渗透、渠道效率与复购</t>
  </si>
  <si>
    <t xml:space="preserve">内容转化、渠道库存、消费信心</t>
  </si>
  <si>
    <t xml:space="preserve">话题热度</t>
  </si>
  <si>
    <t xml:space="preserve">库存周期、供给约束与订单</t>
  </si>
  <si>
    <r>
      <rPr>
        <sz val="11"/>
        <color theme="1"/>
        <rFont val="Linux Libertine G"/>
        <family val="2"/>
      </rPr>
      <t xml:space="preserve">库存、存储价格、订单、</t>
    </r>
    <r>
      <rPr>
        <sz val="11"/>
        <color theme="1"/>
        <rFont val="Linux Libertine G"/>
        <family val="2"/>
        <charset val="1"/>
      </rPr>
      <t xml:space="preserve">CAPEX</t>
    </r>
  </si>
  <si>
    <t xml:space="preserve">销售额总量</t>
  </si>
  <si>
    <t xml:space="preserve">供给出清与终端需求</t>
  </si>
  <si>
    <t xml:space="preserve">供给投放、库存、招标、出口</t>
  </si>
  <si>
    <t xml:space="preserve">低价原料</t>
  </si>
  <si>
    <t xml:space="preserve">细分商业化与支付环境</t>
  </si>
  <si>
    <r>
      <rPr>
        <sz val="11"/>
        <color theme="1"/>
        <rFont val="Linux Libertine G"/>
        <family val="2"/>
      </rPr>
      <t xml:space="preserve">注册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审批、医保、研发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订单</t>
    </r>
  </si>
  <si>
    <t xml:space="preserve">医药行业总收入</t>
  </si>
  <si>
    <t xml:space="preserve">国产替代、订单与交付</t>
  </si>
  <si>
    <t xml:space="preserve">订单、进口替代、研发转化</t>
  </si>
  <si>
    <t xml:space="preserve">政策力度</t>
  </si>
  <si>
    <t xml:space="preserve">量产里程碑与商业订单</t>
  </si>
  <si>
    <r>
      <rPr>
        <sz val="11"/>
        <color theme="1"/>
        <rFont val="Linux Libertine G"/>
        <family val="2"/>
      </rPr>
      <t xml:space="preserve">量产时间、</t>
    </r>
    <r>
      <rPr>
        <sz val="11"/>
        <color theme="1"/>
        <rFont val="Linux Libertine G"/>
        <family val="2"/>
        <charset val="1"/>
      </rPr>
      <t xml:space="preserve">BOM</t>
    </r>
    <r>
      <rPr>
        <sz val="11"/>
        <color theme="1"/>
        <rFont val="Linux Libertine G"/>
        <family val="2"/>
      </rPr>
      <t xml:space="preserve">降本、订单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客户验证</t>
    </r>
  </si>
  <si>
    <t xml:space="preserve">模型热度</t>
  </si>
  <si>
    <r>
      <rPr>
        <sz val="11"/>
        <color theme="1"/>
        <rFont val="Linux Libertine G"/>
        <family val="2"/>
      </rPr>
      <t xml:space="preserve">云</t>
    </r>
    <r>
      <rPr>
        <sz val="11"/>
        <color theme="1"/>
        <rFont val="Linux Libertine G"/>
        <family val="2"/>
        <charset val="1"/>
      </rPr>
      <t xml:space="preserve">CAPEX</t>
    </r>
    <r>
      <rPr>
        <sz val="11"/>
        <color theme="1"/>
        <rFont val="Linux Libertine G"/>
        <family val="2"/>
      </rPr>
      <t xml:space="preserve">、供给与利用率</t>
    </r>
  </si>
  <si>
    <r>
      <rPr>
        <sz val="11"/>
        <color theme="1"/>
        <rFont val="Linux Libertine G"/>
        <family val="2"/>
      </rPr>
      <t xml:space="preserve">云厂商</t>
    </r>
    <r>
      <rPr>
        <sz val="11"/>
        <color theme="1"/>
        <rFont val="Linux Libertine G"/>
        <family val="2"/>
        <charset val="1"/>
      </rPr>
      <t xml:space="preserve">CAPEX</t>
    </r>
    <r>
      <rPr>
        <sz val="11"/>
        <color theme="1"/>
        <rFont val="Linux Libertine G"/>
        <family val="2"/>
      </rPr>
      <t xml:space="preserve">、</t>
    </r>
    <r>
      <rPr>
        <sz val="11"/>
        <color theme="1"/>
        <rFont val="Linux Libertine G"/>
        <family val="2"/>
        <charset val="1"/>
      </rPr>
      <t xml:space="preserve">GPU/</t>
    </r>
    <r>
      <rPr>
        <sz val="11"/>
        <color theme="1"/>
        <rFont val="Linux Libertine G"/>
        <family val="2"/>
      </rPr>
      <t xml:space="preserve">光模块订单、供给交期</t>
    </r>
  </si>
  <si>
    <t xml:space="preserve">主题热度</t>
  </si>
  <si>
    <t xml:space="preserve">供给出清、库存与订单</t>
  </si>
  <si>
    <t xml:space="preserve">产能投放、库存、排产、车型订单</t>
  </si>
  <si>
    <t xml:space="preserve">锂价下跌</t>
  </si>
  <si>
    <t xml:space="preserve">供给出清、排产与现金流</t>
  </si>
  <si>
    <t xml:space="preserve">产能出清、库存、排产、招标</t>
  </si>
  <si>
    <t xml:space="preserve">组件低价</t>
  </si>
  <si>
    <r>
      <rPr>
        <sz val="11"/>
        <color theme="1"/>
        <rFont val="Linux Libertine G"/>
        <family val="2"/>
      </rPr>
      <t xml:space="preserve">招标、交付与盈利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回款</t>
    </r>
  </si>
  <si>
    <t xml:space="preserve">招标、核准、海风进度</t>
  </si>
  <si>
    <t xml:space="preserve">低中标价</t>
  </si>
  <si>
    <r>
      <rPr>
        <sz val="11"/>
        <color theme="1"/>
        <rFont val="Linux Libertine G"/>
        <family val="2"/>
      </rPr>
      <t xml:space="preserve">项目</t>
    </r>
    <r>
      <rPr>
        <sz val="11"/>
        <color theme="1"/>
        <rFont val="Linux Libertine G"/>
        <family val="2"/>
        <charset val="1"/>
      </rPr>
      <t xml:space="preserve">IRR</t>
    </r>
    <r>
      <rPr>
        <sz val="11"/>
        <color theme="1"/>
        <rFont val="Linux Libertine G"/>
        <family val="2"/>
      </rPr>
      <t xml:space="preserve">、招标与并网利用</t>
    </r>
  </si>
  <si>
    <r>
      <rPr>
        <sz val="11"/>
        <color theme="1"/>
        <rFont val="Linux Libertine G"/>
        <family val="2"/>
      </rPr>
      <t xml:space="preserve">峰谷价差、</t>
    </r>
    <r>
      <rPr>
        <sz val="11"/>
        <color theme="1"/>
        <rFont val="Linux Libertine G"/>
        <family val="2"/>
        <charset val="1"/>
      </rPr>
      <t xml:space="preserve">IRR</t>
    </r>
    <r>
      <rPr>
        <sz val="11"/>
        <color theme="1"/>
        <rFont val="Linux Libertine G"/>
        <family val="2"/>
      </rPr>
      <t xml:space="preserve">、招标、海外订单</t>
    </r>
  </si>
  <si>
    <t xml:space="preserve">全球研发资金、订单与产能利用</t>
  </si>
  <si>
    <r>
      <rPr>
        <sz val="11"/>
        <color theme="1"/>
        <rFont val="Linux Libertine G"/>
        <family val="2"/>
      </rPr>
      <t xml:space="preserve">融资、</t>
    </r>
    <r>
      <rPr>
        <sz val="11"/>
        <color theme="1"/>
        <rFont val="Linux Libertine G"/>
        <family val="2"/>
        <charset val="1"/>
      </rPr>
      <t xml:space="preserve">IND</t>
    </r>
    <r>
      <rPr>
        <sz val="11"/>
        <color theme="1"/>
        <rFont val="Linux Libertine G"/>
        <family val="2"/>
      </rPr>
      <t xml:space="preserve">、订单、地缘风险</t>
    </r>
  </si>
  <si>
    <r>
      <rPr>
        <sz val="11"/>
        <color theme="1"/>
        <rFont val="Linux Libertine G"/>
        <family val="2"/>
        <charset val="1"/>
      </rPr>
      <t xml:space="preserve">FDA</t>
    </r>
    <r>
      <rPr>
        <sz val="11"/>
        <color theme="1"/>
        <rFont val="Linux Libertine G"/>
        <family val="2"/>
      </rPr>
      <t xml:space="preserve">批准数单项</t>
    </r>
  </si>
  <si>
    <t xml:space="preserve">研发兑现、商业化与支付</t>
  </si>
  <si>
    <r>
      <rPr>
        <sz val="11"/>
        <color theme="1"/>
        <rFont val="Linux Libertine G"/>
        <family val="2"/>
        <charset val="1"/>
      </rPr>
      <t xml:space="preserve">BD</t>
    </r>
    <r>
      <rPr>
        <sz val="11"/>
        <color theme="1"/>
        <rFont val="Linux Libertine G"/>
        <family val="2"/>
      </rPr>
      <t xml:space="preserve">、临床、获批、医保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准入</t>
    </r>
  </si>
  <si>
    <t xml:space="preserve">获批数量单项</t>
  </si>
  <si>
    <r>
      <rPr>
        <b val="true"/>
        <sz val="11"/>
        <color rgb="FFFFFFFF"/>
        <rFont val="Linux Libertine G"/>
        <family val="2"/>
      </rPr>
      <t xml:space="preserve">事件</t>
    </r>
    <r>
      <rPr>
        <b val="true"/>
        <sz val="11"/>
        <color rgb="FFFFFFFF"/>
        <rFont val="Cambria"/>
        <family val="0"/>
        <charset val="1"/>
      </rPr>
      <t xml:space="preserve">ID</t>
    </r>
  </si>
  <si>
    <t xml:space="preserve">日期</t>
  </si>
  <si>
    <t xml:space="preserve">受影响行业</t>
  </si>
  <si>
    <t xml:space="preserve">事件类别</t>
  </si>
  <si>
    <t xml:space="preserve">方向</t>
  </si>
  <si>
    <t xml:space="preserve">影响期限</t>
  </si>
  <si>
    <r>
      <rPr>
        <b val="true"/>
        <sz val="11"/>
        <color rgb="FFFFFFFF"/>
        <rFont val="Linux Libertine G"/>
        <family val="2"/>
      </rPr>
      <t xml:space="preserve">证据数</t>
    </r>
    <r>
      <rPr>
        <b val="true"/>
        <sz val="11"/>
        <color rgb="FFFFFFFF"/>
        <rFont val="Cambria"/>
        <family val="0"/>
        <charset val="1"/>
      </rPr>
      <t xml:space="preserve">(0-3)</t>
    </r>
  </si>
  <si>
    <t xml:space="preserve">验证指标</t>
  </si>
  <si>
    <t xml:space="preserve">证伪条件</t>
  </si>
  <si>
    <t xml:space="preserve">到期复核日</t>
  </si>
  <si>
    <t xml:space="preserve">状态</t>
  </si>
  <si>
    <t xml:space="preserve">备注</t>
  </si>
  <si>
    <t xml:space="preserve">EVT-001</t>
  </si>
  <si>
    <t xml:space="preserve">待验证</t>
  </si>
  <si>
    <t xml:space="preserve">EVT-002</t>
  </si>
  <si>
    <t xml:space="preserve">EVT-003</t>
  </si>
  <si>
    <t xml:space="preserve">EVT-004</t>
  </si>
  <si>
    <t xml:space="preserve">EVT-005</t>
  </si>
  <si>
    <t xml:space="preserve">EVT-006</t>
  </si>
  <si>
    <t xml:space="preserve">EVT-007</t>
  </si>
  <si>
    <t xml:space="preserve">EVT-008</t>
  </si>
  <si>
    <t xml:space="preserve">EVT-009</t>
  </si>
  <si>
    <t xml:space="preserve">EVT-010</t>
  </si>
  <si>
    <t xml:space="preserve">EVT-011</t>
  </si>
  <si>
    <t xml:space="preserve">EVT-012</t>
  </si>
  <si>
    <t xml:space="preserve">EVT-013</t>
  </si>
  <si>
    <t xml:space="preserve">EVT-014</t>
  </si>
  <si>
    <t xml:space="preserve">EVT-015</t>
  </si>
  <si>
    <t xml:space="preserve">EVT-016</t>
  </si>
  <si>
    <t xml:space="preserve">EVT-017</t>
  </si>
  <si>
    <t xml:space="preserve">EVT-018</t>
  </si>
  <si>
    <t xml:space="preserve">EVT-019</t>
  </si>
  <si>
    <t xml:space="preserve">EVT-020</t>
  </si>
  <si>
    <t xml:space="preserve">EVT-021</t>
  </si>
  <si>
    <t xml:space="preserve">EVT-022</t>
  </si>
  <si>
    <t xml:space="preserve">EVT-023</t>
  </si>
  <si>
    <t xml:space="preserve">EVT-024</t>
  </si>
  <si>
    <t xml:space="preserve">EVT-025</t>
  </si>
  <si>
    <t xml:space="preserve">EVT-026</t>
  </si>
  <si>
    <t xml:space="preserve">EVT-027</t>
  </si>
  <si>
    <t xml:space="preserve">EVT-028</t>
  </si>
  <si>
    <t xml:space="preserve">EVT-029</t>
  </si>
  <si>
    <t xml:space="preserve">EVT-030</t>
  </si>
  <si>
    <t xml:space="preserve">EVT-031</t>
  </si>
  <si>
    <t xml:space="preserve">EVT-032</t>
  </si>
  <si>
    <t xml:space="preserve">EVT-033</t>
  </si>
  <si>
    <t xml:space="preserve">EVT-034</t>
  </si>
  <si>
    <t xml:space="preserve">EVT-035</t>
  </si>
  <si>
    <t xml:space="preserve">EVT-036</t>
  </si>
  <si>
    <t xml:space="preserve">EVT-037</t>
  </si>
  <si>
    <t xml:space="preserve">EVT-038</t>
  </si>
  <si>
    <t xml:space="preserve">EVT-039</t>
  </si>
  <si>
    <t xml:space="preserve">EVT-040</t>
  </si>
  <si>
    <t xml:space="preserve">EVT-041</t>
  </si>
  <si>
    <t xml:space="preserve">EVT-042</t>
  </si>
  <si>
    <t xml:space="preserve">EVT-043</t>
  </si>
  <si>
    <t xml:space="preserve">EVT-044</t>
  </si>
  <si>
    <t xml:space="preserve">EVT-045</t>
  </si>
  <si>
    <t xml:space="preserve">EVT-046</t>
  </si>
  <si>
    <t xml:space="preserve">EVT-047</t>
  </si>
  <si>
    <t xml:space="preserve">EVT-048</t>
  </si>
  <si>
    <t xml:space="preserve">EVT-049</t>
  </si>
  <si>
    <t xml:space="preserve">EVT-050</t>
  </si>
  <si>
    <t xml:space="preserve">EVT-051</t>
  </si>
  <si>
    <t xml:space="preserve">EVT-052</t>
  </si>
  <si>
    <t xml:space="preserve">EVT-053</t>
  </si>
  <si>
    <t xml:space="preserve">EVT-054</t>
  </si>
  <si>
    <t xml:space="preserve">EVT-055</t>
  </si>
  <si>
    <t xml:space="preserve">EVT-056</t>
  </si>
  <si>
    <t xml:space="preserve">EVT-057</t>
  </si>
  <si>
    <t xml:space="preserve">EVT-058</t>
  </si>
  <si>
    <t xml:space="preserve">EVT-059</t>
  </si>
  <si>
    <t xml:space="preserve">EVT-060</t>
  </si>
  <si>
    <t xml:space="preserve">EVT-061</t>
  </si>
  <si>
    <t xml:space="preserve">EVT-062</t>
  </si>
  <si>
    <t xml:space="preserve">EVT-063</t>
  </si>
  <si>
    <t xml:space="preserve">EVT-064</t>
  </si>
  <si>
    <t xml:space="preserve">EVT-065</t>
  </si>
  <si>
    <t xml:space="preserve">EVT-066</t>
  </si>
  <si>
    <t xml:space="preserve">EVT-067</t>
  </si>
  <si>
    <t xml:space="preserve">EVT-068</t>
  </si>
  <si>
    <t xml:space="preserve">EVT-069</t>
  </si>
  <si>
    <t xml:space="preserve">EVT-070</t>
  </si>
  <si>
    <t xml:space="preserve">EVT-071</t>
  </si>
  <si>
    <t xml:space="preserve">EVT-072</t>
  </si>
  <si>
    <t xml:space="preserve">EVT-073</t>
  </si>
  <si>
    <t xml:space="preserve">EVT-074</t>
  </si>
  <si>
    <t xml:space="preserve">EVT-075</t>
  </si>
  <si>
    <t xml:space="preserve">EVT-076</t>
  </si>
  <si>
    <t xml:space="preserve">EVT-077</t>
  </si>
  <si>
    <t xml:space="preserve">EVT-078</t>
  </si>
  <si>
    <t xml:space="preserve">EVT-079</t>
  </si>
  <si>
    <t xml:space="preserve">EVT-080</t>
  </si>
  <si>
    <t xml:space="preserve">EVT-081</t>
  </si>
  <si>
    <t xml:space="preserve">EVT-082</t>
  </si>
  <si>
    <t xml:space="preserve">EVT-083</t>
  </si>
  <si>
    <t xml:space="preserve">EVT-084</t>
  </si>
  <si>
    <t xml:space="preserve">EVT-085</t>
  </si>
  <si>
    <t xml:space="preserve">EVT-086</t>
  </si>
  <si>
    <t xml:space="preserve">EVT-087</t>
  </si>
  <si>
    <t xml:space="preserve">EVT-088</t>
  </si>
  <si>
    <t xml:space="preserve">EVT-089</t>
  </si>
  <si>
    <t xml:space="preserve">EVT-090</t>
  </si>
  <si>
    <t xml:space="preserve">EVT-091</t>
  </si>
  <si>
    <t xml:space="preserve">EVT-092</t>
  </si>
  <si>
    <t xml:space="preserve">EVT-093</t>
  </si>
  <si>
    <t xml:space="preserve">EVT-094</t>
  </si>
  <si>
    <t xml:space="preserve">EVT-095</t>
  </si>
  <si>
    <t xml:space="preserve">EVT-096</t>
  </si>
  <si>
    <t xml:space="preserve">EVT-097</t>
  </si>
  <si>
    <t xml:space="preserve">EVT-098</t>
  </si>
  <si>
    <t xml:space="preserve">EVT-099</t>
  </si>
  <si>
    <t xml:space="preserve">EVT-100</t>
  </si>
  <si>
    <t xml:space="preserve">全行业景气度量化跟踪体系｜参数优化说明</t>
  </si>
  <si>
    <r>
      <rPr>
        <sz val="11"/>
        <color theme="1"/>
        <rFont val="Linux Libertine G"/>
        <family val="2"/>
      </rPr>
      <t xml:space="preserve">数据口径：保留原工作簿“截至</t>
    </r>
    <r>
      <rPr>
        <sz val="11"/>
        <color theme="1"/>
        <rFont val="Linux Libertine G"/>
        <family val="2"/>
        <charset val="1"/>
      </rPr>
      <t xml:space="preserve">2026</t>
    </r>
    <r>
      <rPr>
        <sz val="11"/>
        <color theme="1"/>
        <rFont val="Linux Libertine G"/>
        <family val="2"/>
      </rPr>
      <t xml:space="preserve">年</t>
    </r>
    <r>
      <rPr>
        <sz val="11"/>
        <color theme="1"/>
        <rFont val="Linux Libertine G"/>
        <family val="2"/>
        <charset val="1"/>
      </rPr>
      <t xml:space="preserve">5</t>
    </r>
    <r>
      <rPr>
        <sz val="11"/>
        <color theme="1"/>
        <rFont val="Linux Libertine G"/>
        <family val="2"/>
      </rPr>
      <t xml:space="preserve">月”的数值。本版优化权重、公式和阈值口径；不把旧数值视为实时投资数据。</t>
    </r>
  </si>
  <si>
    <t xml:space="preserve">审计结论</t>
  </si>
  <si>
    <r>
      <rPr>
        <sz val="11"/>
        <color theme="1"/>
        <rFont val="Linux Libertine G"/>
        <family val="2"/>
      </rPr>
      <t xml:space="preserve">原表无公式；</t>
    </r>
    <r>
      <rPr>
        <sz val="11"/>
        <color theme="1"/>
        <rFont val="Linux Libertine G"/>
        <family val="2"/>
        <charset val="1"/>
      </rPr>
      <t xml:space="preserve">43</t>
    </r>
    <r>
      <rPr>
        <sz val="11"/>
        <color theme="1"/>
        <rFont val="Linux Libertine G"/>
        <family val="2"/>
      </rPr>
      <t xml:space="preserve">个行业页权重和均大于</t>
    </r>
    <r>
      <rPr>
        <sz val="11"/>
        <color theme="1"/>
        <rFont val="Linux Libertine G"/>
        <family val="2"/>
        <charset val="1"/>
      </rPr>
      <t xml:space="preserve">1</t>
    </r>
    <r>
      <rPr>
        <sz val="11"/>
        <color theme="1"/>
        <rFont val="Linux Libertine G"/>
        <family val="2"/>
      </rPr>
      <t xml:space="preserve">；细分行业原加权分可超过</t>
    </r>
    <r>
      <rPr>
        <sz val="11"/>
        <color theme="1"/>
        <rFont val="Linux Libertine G"/>
        <family val="2"/>
        <charset val="1"/>
      </rPr>
      <t xml:space="preserve">10</t>
    </r>
    <r>
      <rPr>
        <sz val="11"/>
        <color theme="1"/>
        <rFont val="Linux Libertine G"/>
        <family val="2"/>
      </rPr>
      <t xml:space="preserve">；总览与行业页未链接。</t>
    </r>
  </si>
  <si>
    <t xml:space="preserve">本版修复</t>
  </si>
  <si>
    <r>
      <rPr>
        <sz val="11"/>
        <color theme="1"/>
        <rFont val="Linux Libertine G"/>
        <family val="2"/>
      </rPr>
      <t xml:space="preserve">各行业归一化为先行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同步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滞后合计</t>
    </r>
    <r>
      <rPr>
        <sz val="11"/>
        <color theme="1"/>
        <rFont val="Linux Libertine G"/>
        <family val="2"/>
        <charset val="1"/>
      </rPr>
      <t xml:space="preserve">100%</t>
    </r>
    <r>
      <rPr>
        <sz val="11"/>
        <color theme="1"/>
        <rFont val="Linux Libertine G"/>
        <family val="2"/>
      </rPr>
      <t xml:space="preserve">；行业综合分、分项分数和总览均改为公式联动。</t>
    </r>
  </si>
  <si>
    <t xml:space="preserve">阶段模板</t>
  </si>
  <si>
    <r>
      <rPr>
        <sz val="11"/>
        <color theme="1"/>
        <rFont val="Linux Libertine G"/>
        <family val="2"/>
      </rPr>
      <t xml:space="preserve">复苏</t>
    </r>
    <r>
      <rPr>
        <sz val="11"/>
        <color theme="1"/>
        <rFont val="Linux Libertine G"/>
        <family val="2"/>
        <charset val="1"/>
      </rPr>
      <t xml:space="preserve">55/30/15</t>
    </r>
    <r>
      <rPr>
        <sz val="11"/>
        <color theme="1"/>
        <rFont val="Linux Libertine G"/>
        <family val="2"/>
      </rPr>
      <t xml:space="preserve">；扩张</t>
    </r>
    <r>
      <rPr>
        <sz val="11"/>
        <color theme="1"/>
        <rFont val="Linux Libertine G"/>
        <family val="2"/>
        <charset val="1"/>
      </rPr>
      <t xml:space="preserve">45/40/15</t>
    </r>
    <r>
      <rPr>
        <sz val="11"/>
        <color theme="1"/>
        <rFont val="Linux Libertine G"/>
        <family val="2"/>
      </rPr>
      <t xml:space="preserve">；过热</t>
    </r>
    <r>
      <rPr>
        <sz val="11"/>
        <color theme="1"/>
        <rFont val="Linux Libertine G"/>
        <family val="2"/>
        <charset val="1"/>
      </rPr>
      <t xml:space="preserve">35/45/20</t>
    </r>
    <r>
      <rPr>
        <sz val="11"/>
        <color theme="1"/>
        <rFont val="Linux Libertine G"/>
        <family val="2"/>
      </rPr>
      <t xml:space="preserve">；下行</t>
    </r>
    <r>
      <rPr>
        <sz val="11"/>
        <color theme="1"/>
        <rFont val="Linux Libertine G"/>
        <family val="2"/>
        <charset val="1"/>
      </rPr>
      <t xml:space="preserve">50/30/20</t>
    </r>
    <r>
      <rPr>
        <sz val="11"/>
        <color theme="1"/>
        <rFont val="Linux Libertine G"/>
        <family val="2"/>
      </rPr>
      <t xml:space="preserve">；防御</t>
    </r>
    <r>
      <rPr>
        <sz val="11"/>
        <color theme="1"/>
        <rFont val="Linux Libertine G"/>
        <family val="2"/>
        <charset val="1"/>
      </rPr>
      <t xml:space="preserve">30/45/25</t>
    </r>
    <r>
      <rPr>
        <sz val="11"/>
        <color theme="1"/>
        <rFont val="Linux Libertine G"/>
        <family val="2"/>
      </rPr>
      <t xml:space="preserve">（顺序为先行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同步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滞后）。</t>
    </r>
  </si>
  <si>
    <t xml:space="preserve">阈值原则</t>
  </si>
  <si>
    <r>
      <rPr>
        <sz val="11"/>
        <color theme="1"/>
        <rFont val="Linux Libertine G"/>
        <family val="2"/>
      </rPr>
      <t xml:space="preserve">价格、库存、量、利润、政策分别采用分位、变化率、季调、</t>
    </r>
    <r>
      <rPr>
        <sz val="11"/>
        <color theme="1"/>
        <rFont val="Linux Libertine G"/>
        <family val="2"/>
        <charset val="1"/>
      </rPr>
      <t xml:space="preserve">TTM</t>
    </r>
    <r>
      <rPr>
        <sz val="11"/>
        <color theme="1"/>
        <rFont val="Linux Libertine G"/>
        <family val="2"/>
      </rPr>
      <t xml:space="preserve">、确认项上限；估值与交易信号单列。</t>
    </r>
  </si>
  <si>
    <t xml:space="preserve">使用纪律</t>
  </si>
  <si>
    <r>
      <rPr>
        <sz val="11"/>
        <color theme="1"/>
        <rFont val="Linux Libertine G"/>
        <family val="2"/>
      </rPr>
      <t xml:space="preserve">景气度只用于基本面筛选与排序，不能直接生成交易仓位；每次更新数据后须在</t>
    </r>
    <r>
      <rPr>
        <sz val="11"/>
        <color theme="1"/>
        <rFont val="Linux Libertine G"/>
        <family val="2"/>
        <charset val="1"/>
      </rPr>
      <t xml:space="preserve">Excel</t>
    </r>
    <r>
      <rPr>
        <sz val="11"/>
        <color theme="1"/>
        <rFont val="Linux Libertine G"/>
        <family val="2"/>
      </rPr>
      <t xml:space="preserve">中重算。</t>
    </r>
  </si>
  <si>
    <t xml:space="preserve">必选先行标准（未满足不得上调）</t>
  </si>
  <si>
    <t xml:space="preserve">同步确认标准</t>
  </si>
  <si>
    <r>
      <rPr>
        <b val="true"/>
        <sz val="11"/>
        <color rgb="FFFFFFFF"/>
        <rFont val="Linux Libertine G"/>
        <family val="2"/>
      </rPr>
      <t xml:space="preserve">质量</t>
    </r>
    <r>
      <rPr>
        <b val="true"/>
        <sz val="11"/>
        <color rgb="FFFFFFFF"/>
        <rFont val="Linux Libertine G"/>
        <family val="2"/>
        <charset val="1"/>
      </rPr>
      <t xml:space="preserve">/</t>
    </r>
    <r>
      <rPr>
        <b val="true"/>
        <sz val="11"/>
        <color rgb="FFFFFFFF"/>
        <rFont val="Linux Libertine G"/>
        <family val="2"/>
      </rPr>
      <t xml:space="preserve">盈利验证</t>
    </r>
  </si>
  <si>
    <t xml:space="preserve">不作为主评分的指标</t>
  </si>
  <si>
    <t xml:space="preserve">新标理由</t>
  </si>
  <si>
    <t xml:space="preserve">出栏量、猪鸡价、库存</t>
  </si>
  <si>
    <t xml:space="preserve">养殖现金成本、单头利润、经营现金流</t>
  </si>
  <si>
    <t xml:space="preserve">供给约束决定价格，利润需在出栏兑现后确认。</t>
  </si>
  <si>
    <t xml:space="preserve">开工率、产品价差、出口</t>
  </si>
  <si>
    <r>
      <rPr>
        <sz val="11"/>
        <color theme="1"/>
        <rFont val="Linux Libertine G"/>
        <family val="2"/>
      </rPr>
      <t xml:space="preserve">现金成本、</t>
    </r>
    <r>
      <rPr>
        <sz val="11"/>
        <color theme="1"/>
        <rFont val="Linux Libertine G"/>
        <family val="2"/>
        <charset val="1"/>
      </rPr>
      <t xml:space="preserve">ROE</t>
    </r>
    <r>
      <rPr>
        <sz val="11"/>
        <color theme="1"/>
        <rFont val="Linux Libertine G"/>
        <family val="2"/>
      </rPr>
      <t xml:space="preserve">、自由现金流</t>
    </r>
  </si>
  <si>
    <t xml:space="preserve">化工盈利取决于供需和价差，不是单一原料价格。</t>
  </si>
  <si>
    <r>
      <rPr>
        <sz val="11"/>
        <color theme="1"/>
        <rFont val="Linux Libertine G"/>
        <family val="2"/>
      </rPr>
      <t xml:space="preserve">表观消费、开工率、钢价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原料价差</t>
    </r>
  </si>
  <si>
    <t xml:space="preserve">吨钢利润、现金流、应收</t>
  </si>
  <si>
    <t xml:space="preserve">钢价上升若库存不去化或利润不扩张，不能确认景气。</t>
  </si>
  <si>
    <t xml:space="preserve">金属价、加工费、消费量</t>
  </si>
  <si>
    <t xml:space="preserve">单位成本、资本开支、现金流</t>
  </si>
  <si>
    <t xml:space="preserve">资源品价格需用供需紧张与加工利润验证。</t>
  </si>
  <si>
    <r>
      <rPr>
        <sz val="11"/>
        <color theme="1"/>
        <rFont val="Linux Libertine G"/>
        <family val="2"/>
      </rPr>
      <t xml:space="preserve">稼动率、出货、</t>
    </r>
    <r>
      <rPr>
        <sz val="11"/>
        <color theme="1"/>
        <rFont val="Linux Libertine G"/>
        <family val="2"/>
        <charset val="1"/>
      </rPr>
      <t xml:space="preserve">ASP</t>
    </r>
  </si>
  <si>
    <t xml:space="preserve">毛利率、资本开支回报、现金流</t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</si>
  <si>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、存储、消费电子周期不同，需拆分确认。</t>
    </r>
  </si>
  <si>
    <r>
      <rPr>
        <sz val="11"/>
        <color theme="1"/>
        <rFont val="Linux Libertine G"/>
        <family val="2"/>
      </rPr>
      <t xml:space="preserve">零售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出货、出口、</t>
    </r>
    <r>
      <rPr>
        <sz val="11"/>
        <color theme="1"/>
        <rFont val="Linux Libertine G"/>
        <family val="2"/>
        <charset val="1"/>
      </rPr>
      <t xml:space="preserve">ASP</t>
    </r>
  </si>
  <si>
    <t xml:space="preserve">毛利率、渠道库存、现金流</t>
  </si>
  <si>
    <t xml:space="preserve">竣工对家电更直接，销售只作前瞻背景。</t>
  </si>
  <si>
    <t xml:space="preserve">销量、同店、收入</t>
  </si>
  <si>
    <t xml:space="preserve">毛利率、费用率、经营现金流</t>
  </si>
  <si>
    <t xml:space="preserve">品牌消费的核心是量价与渠道健康，不是宏观通胀。</t>
  </si>
  <si>
    <t xml:space="preserve">出口、开工、零售</t>
  </si>
  <si>
    <t xml:space="preserve">库存周转、毛利率、现金流</t>
  </si>
  <si>
    <t xml:space="preserve">成本变化只有传导到订单和毛利才有意义。</t>
  </si>
  <si>
    <t xml:space="preserve">出货、开工、出口</t>
  </si>
  <si>
    <r>
      <rPr>
        <sz val="11"/>
        <color theme="1"/>
        <rFont val="Linux Libertine G"/>
        <family val="2"/>
      </rPr>
      <t xml:space="preserve">库存、</t>
    </r>
    <r>
      <rPr>
        <sz val="11"/>
        <color theme="1"/>
        <rFont val="Linux Libertine G"/>
        <family val="2"/>
        <charset val="1"/>
      </rPr>
      <t xml:space="preserve">ROE</t>
    </r>
    <r>
      <rPr>
        <sz val="11"/>
        <color theme="1"/>
        <rFont val="Linux Libertine G"/>
        <family val="2"/>
      </rPr>
      <t xml:space="preserve">、现金流</t>
    </r>
  </si>
  <si>
    <t xml:space="preserve">需求与产品价差共同决定轻工盈利。</t>
  </si>
  <si>
    <t xml:space="preserve">诊疗量、收入、器械出口</t>
  </si>
  <si>
    <t xml:space="preserve">毛利率、研发效率、经营现金流</t>
  </si>
  <si>
    <t xml:space="preserve">子行业差异大，政策和商业化必须分层。</t>
  </si>
  <si>
    <t xml:space="preserve">发电量、利用小时</t>
  </si>
  <si>
    <r>
      <rPr>
        <sz val="11"/>
        <color theme="1"/>
        <rFont val="Linux Libertine G"/>
        <family val="2"/>
        <charset val="1"/>
      </rPr>
      <t xml:space="preserve">ROE</t>
    </r>
    <r>
      <rPr>
        <sz val="11"/>
        <color theme="1"/>
        <rFont val="Linux Libertine G"/>
        <family val="2"/>
      </rPr>
      <t xml:space="preserve">、负债率、经营现金流</t>
    </r>
  </si>
  <si>
    <t xml:space="preserve">规划不产生收益，利用率和现金流才决定回报。</t>
  </si>
  <si>
    <r>
      <rPr>
        <sz val="11"/>
        <color theme="1"/>
        <rFont val="Linux Libertine G"/>
        <family val="2"/>
      </rPr>
      <t xml:space="preserve">客货运量、港口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快递量</t>
    </r>
  </si>
  <si>
    <r>
      <rPr>
        <sz val="11"/>
        <color theme="1"/>
        <rFont val="Linux Libertine G"/>
        <family val="2"/>
      </rPr>
      <t xml:space="preserve">单箱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单客利润、现金流</t>
    </r>
  </si>
  <si>
    <t xml:space="preserve">不同行业运价机制不同，必须拆航运航空快递。</t>
  </si>
  <si>
    <t xml:space="preserve">销售、房价、拿地</t>
  </si>
  <si>
    <t xml:space="preserve">现金流、债务到期、回款</t>
  </si>
  <si>
    <t xml:space="preserve">销售修复与融资改善是先决条件，开工滞后。</t>
  </si>
  <si>
    <r>
      <rPr>
        <sz val="11"/>
        <color theme="1"/>
        <rFont val="Linux Libertine G"/>
        <family val="2"/>
      </rPr>
      <t xml:space="preserve">同店、线上</t>
    </r>
    <r>
      <rPr>
        <sz val="11"/>
        <color theme="1"/>
        <rFont val="Linux Libertine G"/>
        <family val="2"/>
        <charset val="1"/>
      </rPr>
      <t xml:space="preserve">GMV</t>
    </r>
    <r>
      <rPr>
        <sz val="11"/>
        <color theme="1"/>
        <rFont val="Linux Libertine G"/>
        <family val="2"/>
      </rPr>
      <t xml:space="preserve">、零售额</t>
    </r>
  </si>
  <si>
    <t xml:space="preserve">库存周转、费用率、现金流</t>
  </si>
  <si>
    <t xml:space="preserve">行业景气取决于份额和渠道效率，不仅是宏观消费。</t>
  </si>
  <si>
    <r>
      <rPr>
        <sz val="11"/>
        <color theme="1"/>
        <rFont val="Linux Libertine G"/>
        <family val="2"/>
      </rPr>
      <t xml:space="preserve">人次、</t>
    </r>
    <r>
      <rPr>
        <sz val="11"/>
        <color theme="1"/>
        <rFont val="Linux Libertine G"/>
        <family val="2"/>
        <charset val="1"/>
      </rPr>
      <t xml:space="preserve">RevPAR</t>
    </r>
    <r>
      <rPr>
        <sz val="11"/>
        <color theme="1"/>
        <rFont val="Linux Libertine G"/>
        <family val="2"/>
      </rPr>
      <t xml:space="preserve">、餐饮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票房</t>
    </r>
  </si>
  <si>
    <t xml:space="preserve">单店利润、现金流</t>
  </si>
  <si>
    <t xml:space="preserve">服务消费高度季节性，需季调和高频确认。</t>
  </si>
  <si>
    <r>
      <rPr>
        <sz val="11"/>
        <color theme="1"/>
        <rFont val="Linux Libertine G"/>
        <family val="2"/>
      </rPr>
      <t xml:space="preserve">工业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投资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消费</t>
    </r>
  </si>
  <si>
    <t xml:space="preserve">企业利润、就业</t>
  </si>
  <si>
    <t xml:space="preserve">作为背景因子，不应与行业因子重复加权。</t>
  </si>
  <si>
    <t xml:space="preserve">出货、开工、价格</t>
  </si>
  <si>
    <t xml:space="preserve">吨利润、现金流</t>
  </si>
  <si>
    <t xml:space="preserve">水泥和玻璃供需不同，需分品种。</t>
  </si>
  <si>
    <t xml:space="preserve">产值、合同执行</t>
  </si>
  <si>
    <t xml:space="preserve">应收周转、经营现金流、负债</t>
  </si>
  <si>
    <t xml:space="preserve">建筑公司价值由回款和现金流决定，订单不是终点。</t>
  </si>
  <si>
    <t xml:space="preserve">交付、装机、出货</t>
  </si>
  <si>
    <t xml:space="preserve">毛利率、应收、现金流</t>
  </si>
  <si>
    <t xml:space="preserve">设备子行业驱动不同，不能由单一新能源价格代表。</t>
  </si>
  <si>
    <t xml:space="preserve">交付、收入</t>
  </si>
  <si>
    <t xml:space="preserve">毛利率、现金流、研发效率</t>
  </si>
  <si>
    <t xml:space="preserve">订单可见性高但兑现慢，需用合同负债和交付验证。</t>
  </si>
  <si>
    <t xml:space="preserve">订单、收入、续费</t>
  </si>
  <si>
    <r>
      <rPr>
        <sz val="11"/>
        <color theme="1"/>
        <rFont val="Linux Libertine G"/>
        <family val="2"/>
        <charset val="1"/>
      </rPr>
      <t xml:space="preserve">ARR/</t>
    </r>
    <r>
      <rPr>
        <sz val="11"/>
        <color theme="1"/>
        <rFont val="Linux Libertine G"/>
        <family val="2"/>
      </rPr>
      <t xml:space="preserve">回款、毛利率、现金流</t>
    </r>
  </si>
  <si>
    <t xml:space="preserve">软件景气由客户付费和回款决定，不由主题热度决定。</t>
  </si>
  <si>
    <t xml:space="preserve">广告、流水、付费用户</t>
  </si>
  <si>
    <r>
      <rPr>
        <sz val="11"/>
        <color theme="1"/>
        <rFont val="Linux Libertine G"/>
        <family val="2"/>
        <charset val="1"/>
      </rPr>
      <t xml:space="preserve">ARPU</t>
    </r>
    <r>
      <rPr>
        <sz val="11"/>
        <color theme="1"/>
        <rFont val="Linux Libertine G"/>
        <family val="2"/>
      </rPr>
      <t xml:space="preserve">、毛利率、现金流</t>
    </r>
  </si>
  <si>
    <t xml:space="preserve">时长需转化为广告或付费收入才能提升景气。</t>
  </si>
  <si>
    <t xml:space="preserve">出货、流量、收入</t>
  </si>
  <si>
    <r>
      <rPr>
        <sz val="11"/>
        <color theme="1"/>
        <rFont val="Linux Libertine G"/>
        <family val="2"/>
        <charset val="1"/>
      </rPr>
      <t xml:space="preserve">5G</t>
    </r>
    <r>
      <rPr>
        <sz val="11"/>
        <color theme="1"/>
        <rFont val="Linux Libertine G"/>
        <family val="2"/>
      </rPr>
      <t xml:space="preserve">建设已成熟，新增云与算力订单更关键。</t>
    </r>
  </si>
  <si>
    <r>
      <rPr>
        <sz val="11"/>
        <color theme="1"/>
        <rFont val="Linux Libertine G"/>
        <family val="2"/>
        <charset val="1"/>
      </rPr>
      <t xml:space="preserve">NIM</t>
    </r>
    <r>
      <rPr>
        <sz val="11"/>
        <color theme="1"/>
        <rFont val="Linux Libertine G"/>
        <family val="2"/>
      </rPr>
      <t xml:space="preserve">、中收、不良生成</t>
    </r>
  </si>
  <si>
    <r>
      <rPr>
        <sz val="11"/>
        <color theme="1"/>
        <rFont val="Linux Libertine G"/>
        <family val="2"/>
      </rPr>
      <t xml:space="preserve">拨备、</t>
    </r>
    <r>
      <rPr>
        <sz val="11"/>
        <color theme="1"/>
        <rFont val="Linux Libertine G"/>
        <family val="2"/>
        <charset val="1"/>
      </rPr>
      <t xml:space="preserve">ROE</t>
    </r>
    <r>
      <rPr>
        <sz val="11"/>
        <color theme="1"/>
        <rFont val="Linux Libertine G"/>
        <family val="2"/>
      </rPr>
      <t xml:space="preserve">、资本充足率</t>
    </r>
  </si>
  <si>
    <t xml:space="preserve">规模扩张不等于利润，需与息差和风险成本联动。</t>
  </si>
  <si>
    <r>
      <rPr>
        <sz val="11"/>
        <color theme="1"/>
        <rFont val="Linux Libertine G"/>
        <family val="2"/>
      </rPr>
      <t xml:space="preserve">经纪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投行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保费收入</t>
    </r>
  </si>
  <si>
    <r>
      <rPr>
        <sz val="11"/>
        <color theme="1"/>
        <rFont val="Linux Libertine G"/>
        <family val="2"/>
        <charset val="1"/>
      </rPr>
      <t xml:space="preserve">ROE</t>
    </r>
    <r>
      <rPr>
        <sz val="11"/>
        <color theme="1"/>
        <rFont val="Linux Libertine G"/>
        <family val="2"/>
      </rPr>
      <t xml:space="preserve">、综合成本率、偿付能力</t>
    </r>
  </si>
  <si>
    <t xml:space="preserve">券商和保险盈利链条不同，应拆分打分。</t>
  </si>
  <si>
    <r>
      <rPr>
        <sz val="11"/>
        <color theme="1"/>
        <rFont val="Linux Libertine G"/>
        <family val="2"/>
      </rPr>
      <t xml:space="preserve">零售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批发、渗透率</t>
    </r>
  </si>
  <si>
    <t xml:space="preserve">单车利润、渠道库存、现金流</t>
  </si>
  <si>
    <t xml:space="preserve">总量增长可能来自价格战，需用单车利润确认。</t>
  </si>
  <si>
    <t xml:space="preserve">产量、销量、出口</t>
  </si>
  <si>
    <t xml:space="preserve">利润率、库存、现金流</t>
  </si>
  <si>
    <t xml:space="preserve">实物订单和开工比宏观投资更贴近设备盈利。</t>
  </si>
  <si>
    <t xml:space="preserve">煤价、运价</t>
  </si>
  <si>
    <t xml:space="preserve">吨煤利润、现金流、资本开支</t>
  </si>
  <si>
    <t xml:space="preserve">高煤价可代表供需紧，也可能代表需求破坏，需防过热。</t>
  </si>
  <si>
    <t xml:space="preserve">油价、开工、裂解价差</t>
  </si>
  <si>
    <r>
      <rPr>
        <sz val="11"/>
        <color theme="1"/>
        <rFont val="Linux Libertine G"/>
        <family val="2"/>
        <charset val="1"/>
      </rPr>
      <t xml:space="preserve">ROE</t>
    </r>
    <r>
      <rPr>
        <sz val="11"/>
        <color theme="1"/>
        <rFont val="Linux Libertine G"/>
        <family val="2"/>
      </rPr>
      <t xml:space="preserve">、现金流、资本开支</t>
    </r>
  </si>
  <si>
    <t xml:space="preserve">原油上行对上游和炼化影响不同，必须用价差拆分。</t>
  </si>
  <si>
    <t xml:space="preserve">处理量、设备交付</t>
  </si>
  <si>
    <t xml:space="preserve">应收、经营现金流、坏账</t>
  </si>
  <si>
    <t xml:space="preserve">环保最大约束是回款，政策不能替代现金流。</t>
  </si>
  <si>
    <r>
      <rPr>
        <sz val="11"/>
        <color theme="1"/>
        <rFont val="Linux Libertine G"/>
        <family val="2"/>
      </rPr>
      <t xml:space="preserve">线上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线下</t>
    </r>
    <r>
      <rPr>
        <sz val="11"/>
        <color theme="1"/>
        <rFont val="Linux Libertine G"/>
        <family val="2"/>
        <charset val="1"/>
      </rPr>
      <t xml:space="preserve">GMV</t>
    </r>
    <r>
      <rPr>
        <sz val="11"/>
        <color theme="1"/>
        <rFont val="Linux Libertine G"/>
        <family val="2"/>
      </rPr>
      <t xml:space="preserve">、零售</t>
    </r>
  </si>
  <si>
    <t xml:space="preserve">毛利率、营销费用率、现金流</t>
  </si>
  <si>
    <t xml:space="preserve">热度需要转化为复购和盈利，避免流量虚高。</t>
  </si>
  <si>
    <r>
      <rPr>
        <sz val="11"/>
        <color theme="1"/>
        <rFont val="Linux Libertine G"/>
        <family val="2"/>
      </rPr>
      <t xml:space="preserve">稼动率、出货、设备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材料需求</t>
    </r>
  </si>
  <si>
    <r>
      <rPr>
        <sz val="11"/>
        <color theme="1"/>
        <rFont val="Linux Libertine G"/>
        <family val="2"/>
      </rPr>
      <t xml:space="preserve">毛利率、现金流、</t>
    </r>
    <r>
      <rPr>
        <sz val="11"/>
        <color theme="1"/>
        <rFont val="Linux Libertine G"/>
        <family val="2"/>
        <charset val="1"/>
      </rPr>
      <t xml:space="preserve">ROE</t>
    </r>
  </si>
  <si>
    <t xml:space="preserve">设计、制造、设备、封测的周期和利润传导不同。</t>
  </si>
  <si>
    <t xml:space="preserve">装机、出货、利用率</t>
  </si>
  <si>
    <t xml:space="preserve">毛利率、现金流、负债</t>
  </si>
  <si>
    <t xml:space="preserve">低价可能来自过剩；需以供给出清和盈利确认。</t>
  </si>
  <si>
    <t xml:space="preserve">收入、诊疗、出口</t>
  </si>
  <si>
    <t xml:space="preserve">毛利率、研发效率、现金流</t>
  </si>
  <si>
    <r>
      <rPr>
        <sz val="11"/>
        <color theme="1"/>
        <rFont val="Linux Libertine G"/>
        <family val="2"/>
      </rPr>
      <t xml:space="preserve">创新药、器械、</t>
    </r>
    <r>
      <rPr>
        <sz val="11"/>
        <color theme="1"/>
        <rFont val="Linux Libertine G"/>
        <family val="2"/>
        <charset val="1"/>
      </rPr>
      <t xml:space="preserve">CXO</t>
    </r>
    <r>
      <rPr>
        <sz val="11"/>
        <color theme="1"/>
        <rFont val="Linux Libertine G"/>
        <family val="2"/>
      </rPr>
      <t xml:space="preserve">、仿制药驱动不同。</t>
    </r>
  </si>
  <si>
    <t xml:space="preserve">出货、出口、利用率</t>
  </si>
  <si>
    <r>
      <rPr>
        <sz val="11"/>
        <color theme="1"/>
        <rFont val="Linux Libertine G"/>
        <family val="2"/>
      </rPr>
      <t xml:space="preserve">毛利率、现金流、</t>
    </r>
    <r>
      <rPr>
        <sz val="11"/>
        <color theme="1"/>
        <rFont val="Linux Libertine G"/>
        <family val="2"/>
        <charset val="1"/>
      </rPr>
      <t xml:space="preserve">ROIC</t>
    </r>
  </si>
  <si>
    <t xml:space="preserve">政策只有转化为订单和交付才提升基本面。</t>
  </si>
  <si>
    <t xml:space="preserve">出货、应用场景、国产化率</t>
  </si>
  <si>
    <t xml:space="preserve">收入、毛利率、现金消耗</t>
  </si>
  <si>
    <t xml:space="preserve">早期行业缺少稳定财务数据，必须以可验证里程碑为主。</t>
  </si>
  <si>
    <r>
      <rPr>
        <sz val="11"/>
        <color theme="1"/>
        <rFont val="Linux Libertine G"/>
        <family val="2"/>
      </rPr>
      <t xml:space="preserve">出货、租赁价、</t>
    </r>
    <r>
      <rPr>
        <sz val="11"/>
        <color theme="1"/>
        <rFont val="Linux Libertine G"/>
        <family val="2"/>
        <charset val="1"/>
      </rPr>
      <t xml:space="preserve">PUE/</t>
    </r>
    <r>
      <rPr>
        <sz val="11"/>
        <color theme="1"/>
        <rFont val="Linux Libertine G"/>
        <family val="2"/>
      </rPr>
      <t xml:space="preserve">上架率</t>
    </r>
  </si>
  <si>
    <t xml:space="preserve">毛利率、回款、现金流</t>
  </si>
  <si>
    <r>
      <rPr>
        <sz val="11"/>
        <color theme="1"/>
        <rFont val="Linux Libertine G"/>
        <family val="2"/>
      </rPr>
      <t xml:space="preserve">高</t>
    </r>
    <r>
      <rPr>
        <sz val="11"/>
        <color theme="1"/>
        <rFont val="Linux Libertine G"/>
        <family val="2"/>
        <charset val="1"/>
      </rPr>
      <t xml:space="preserve">CAPEX</t>
    </r>
    <r>
      <rPr>
        <sz val="11"/>
        <color theme="1"/>
        <rFont val="Linux Libertine G"/>
        <family val="2"/>
      </rPr>
      <t xml:space="preserve">行业需用利用率和回款防止只看订单。</t>
    </r>
  </si>
  <si>
    <t xml:space="preserve">装车、出货、出口</t>
  </si>
  <si>
    <t xml:space="preserve">单位利润、现金流、应收</t>
  </si>
  <si>
    <t xml:space="preserve">材料价格下降可能压缩而非改善盈利，必须看价差。</t>
  </si>
  <si>
    <t xml:space="preserve">装机、出货、出口</t>
  </si>
  <si>
    <t xml:space="preserve">单位利润、现金流、负债</t>
  </si>
  <si>
    <t xml:space="preserve">低组件价会提高装机但可能压低制造盈利，需双维打分。</t>
  </si>
  <si>
    <t xml:space="preserve">交付、装机、利用小时</t>
  </si>
  <si>
    <t xml:space="preserve">招标高增若价格过低或回款恶化，不应给高景气。</t>
  </si>
  <si>
    <t xml:space="preserve">并网、利用率、出货</t>
  </si>
  <si>
    <t xml:space="preserve">储能需求由项目经济性驱动，政策只作辅助。</t>
  </si>
  <si>
    <t xml:space="preserve">收入、利用率、项目数</t>
  </si>
  <si>
    <t xml:space="preserve">毛利率、现金流、人效</t>
  </si>
  <si>
    <t xml:space="preserve">客户研发投入和订单是最直接需求，地缘风险需单列扣分。</t>
  </si>
  <si>
    <t xml:space="preserve">销售、处方、出海</t>
  </si>
  <si>
    <t xml:space="preserve">现金流、销售效率、研发回报</t>
  </si>
  <si>
    <t xml:space="preserve">获批不等于商业化，需用准入、处方和现金流确认。</t>
  </si>
  <si>
    <t xml:space="preserve">行业景气度新打分机制（统一底层方法，行业核心标准库决定指标选择）</t>
  </si>
  <si>
    <t xml:space="preserve">环节</t>
  </si>
  <si>
    <t xml:space="preserve">新标准</t>
  </si>
  <si>
    <t xml:space="preserve">理由</t>
  </si>
  <si>
    <r>
      <rPr>
        <sz val="11"/>
        <color theme="1"/>
        <rFont val="Linux Libertine G"/>
        <family val="2"/>
        <charset val="1"/>
      </rPr>
      <t xml:space="preserve">1. </t>
    </r>
    <r>
      <rPr>
        <sz val="11"/>
        <color theme="1"/>
        <rFont val="Linux Libertine G"/>
        <family val="2"/>
      </rPr>
      <t xml:space="preserve">指标可用性</t>
    </r>
  </si>
  <si>
    <t xml:space="preserve">数据发布日期不滞后于其频率周期；异常值、口径变化、单月季节性先处理</t>
  </si>
  <si>
    <t xml:space="preserve">避免旧数据或异常点直接影响行业排序。</t>
  </si>
  <si>
    <r>
      <rPr>
        <sz val="11"/>
        <color theme="1"/>
        <rFont val="Linux Libertine G"/>
        <family val="2"/>
        <charset val="1"/>
      </rPr>
      <t xml:space="preserve">2. </t>
    </r>
    <r>
      <rPr>
        <sz val="11"/>
        <color theme="1"/>
        <rFont val="Linux Libertine G"/>
        <family val="2"/>
      </rPr>
      <t xml:space="preserve">单项标准化</t>
    </r>
  </si>
  <si>
    <r>
      <rPr>
        <sz val="11"/>
        <color theme="1"/>
        <rFont val="Linux Libertine G"/>
        <family val="2"/>
      </rPr>
      <t xml:space="preserve">方向调整后使用</t>
    </r>
    <r>
      <rPr>
        <sz val="11"/>
        <color theme="1"/>
        <rFont val="Linux Libertine G"/>
        <family val="2"/>
        <charset val="1"/>
      </rPr>
      <t xml:space="preserve">5</t>
    </r>
    <r>
      <rPr>
        <sz val="11"/>
        <color theme="1"/>
        <rFont val="Linux Libertine G"/>
        <family val="2"/>
      </rPr>
      <t xml:space="preserve">年滚动历史分位：</t>
    </r>
    <r>
      <rPr>
        <sz val="11"/>
        <color theme="1"/>
        <rFont val="Linux Libertine G"/>
        <family val="2"/>
        <charset val="1"/>
      </rPr>
      <t xml:space="preserve">P20/P40/P60/P80</t>
    </r>
    <r>
      <rPr>
        <sz val="11"/>
        <color theme="1"/>
        <rFont val="Linux Libertine G"/>
        <family val="2"/>
      </rPr>
      <t xml:space="preserve">对应</t>
    </r>
    <r>
      <rPr>
        <sz val="11"/>
        <color theme="1"/>
        <rFont val="Linux Libertine G"/>
        <family val="2"/>
        <charset val="1"/>
      </rPr>
      <t xml:space="preserve">2/4/6/8</t>
    </r>
    <r>
      <rPr>
        <sz val="11"/>
        <color theme="1"/>
        <rFont val="Linux Libertine G"/>
        <family val="2"/>
      </rPr>
      <t xml:space="preserve">分；价格和利润率另加</t>
    </r>
    <r>
      <rPr>
        <sz val="11"/>
        <color theme="1"/>
        <rFont val="Linux Libertine G"/>
        <family val="2"/>
        <charset val="1"/>
      </rPr>
      <t xml:space="preserve">3</t>
    </r>
    <r>
      <rPr>
        <sz val="11"/>
        <color theme="1"/>
        <rFont val="Linux Libertine G"/>
        <family val="2"/>
      </rPr>
      <t xml:space="preserve">个月动量确认</t>
    </r>
  </si>
  <si>
    <t xml:space="preserve">消除不同行业量纲差异，避免绝对阈值随通胀、技术降本而失效。</t>
  </si>
  <si>
    <r>
      <rPr>
        <sz val="11"/>
        <color theme="1"/>
        <rFont val="Linux Libertine G"/>
        <family val="2"/>
        <charset val="1"/>
      </rPr>
      <t xml:space="preserve">3. </t>
    </r>
    <r>
      <rPr>
        <sz val="11"/>
        <color theme="1"/>
        <rFont val="Linux Libertine G"/>
        <family val="2"/>
      </rPr>
      <t xml:space="preserve">因果层级</t>
    </r>
  </si>
  <si>
    <r>
      <rPr>
        <sz val="11"/>
        <color theme="1"/>
        <rFont val="Linux Libertine G"/>
        <family val="2"/>
      </rPr>
      <t xml:space="preserve">先行仅回答“是否会变”；同步回答“是否已发生”；滞后仅验证“盈利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现金流是否兑现”</t>
    </r>
  </si>
  <si>
    <t xml:space="preserve">防止政策、规划、价格等相关但非因果指标主导分数。</t>
  </si>
  <si>
    <r>
      <rPr>
        <sz val="11"/>
        <color theme="1"/>
        <rFont val="Linux Libertine G"/>
        <family val="2"/>
        <charset val="1"/>
      </rPr>
      <t xml:space="preserve">4. </t>
    </r>
    <r>
      <rPr>
        <sz val="11"/>
        <color theme="1"/>
        <rFont val="Linux Libertine G"/>
        <family val="2"/>
      </rPr>
      <t xml:space="preserve">上调门槛</t>
    </r>
  </si>
  <si>
    <r>
      <rPr>
        <sz val="11"/>
        <color theme="1"/>
        <rFont val="Linux Libertine G"/>
        <family val="2"/>
      </rPr>
      <t xml:space="preserve">行业分数上调一档，须至少</t>
    </r>
    <r>
      <rPr>
        <sz val="11"/>
        <color theme="1"/>
        <rFont val="Linux Libertine G"/>
        <family val="2"/>
        <charset val="1"/>
      </rPr>
      <t xml:space="preserve">2</t>
    </r>
    <r>
      <rPr>
        <sz val="11"/>
        <color theme="1"/>
        <rFont val="Linux Libertine G"/>
        <family val="2"/>
      </rPr>
      <t xml:space="preserve">项必选先行标准</t>
    </r>
    <r>
      <rPr>
        <sz val="11"/>
        <color theme="1"/>
        <rFont val="Linux Libertine G"/>
        <family val="2"/>
        <charset val="1"/>
      </rPr>
      <t xml:space="preserve">+1</t>
    </r>
    <r>
      <rPr>
        <sz val="11"/>
        <color theme="1"/>
        <rFont val="Linux Libertine G"/>
        <family val="2"/>
      </rPr>
      <t xml:space="preserve">项同步确认同向；仅先行改善时，综合分最高上调至</t>
    </r>
    <r>
      <rPr>
        <sz val="11"/>
        <color theme="1"/>
        <rFont val="Linux Libertine G"/>
        <family val="2"/>
        <charset val="1"/>
      </rPr>
      <t xml:space="preserve">6.5</t>
    </r>
  </si>
  <si>
    <t xml:space="preserve">降低假复苏和主题驱动的误判。</t>
  </si>
  <si>
    <r>
      <rPr>
        <sz val="11"/>
        <color theme="1"/>
        <rFont val="Linux Libertine G"/>
        <family val="2"/>
        <charset val="1"/>
      </rPr>
      <t xml:space="preserve">5. </t>
    </r>
    <r>
      <rPr>
        <sz val="11"/>
        <color theme="1"/>
        <rFont val="Linux Libertine G"/>
        <family val="2"/>
      </rPr>
      <t xml:space="preserve">过热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风险扣分</t>
    </r>
  </si>
  <si>
    <r>
      <rPr>
        <sz val="11"/>
        <color theme="1"/>
        <rFont val="Linux Libertine G"/>
        <family val="2"/>
      </rPr>
      <t xml:space="preserve">价格或估值急升但库存、需求、利润未确认时，价格指标封顶</t>
    </r>
    <r>
      <rPr>
        <sz val="11"/>
        <color theme="1"/>
        <rFont val="Linux Libertine G"/>
        <family val="2"/>
        <charset val="1"/>
      </rPr>
      <t xml:space="preserve">8</t>
    </r>
    <r>
      <rPr>
        <sz val="11"/>
        <color theme="1"/>
        <rFont val="Linux Libertine G"/>
        <family val="2"/>
      </rPr>
      <t xml:space="preserve">分；现金流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应收恶化时，行业综合分扣</t>
    </r>
    <r>
      <rPr>
        <sz val="11"/>
        <color theme="1"/>
        <rFont val="Linux Libertine G"/>
        <family val="2"/>
        <charset val="1"/>
      </rPr>
      <t xml:space="preserve">0.5–1.5</t>
    </r>
    <r>
      <rPr>
        <sz val="11"/>
        <color theme="1"/>
        <rFont val="Linux Libertine G"/>
        <family val="2"/>
      </rPr>
      <t xml:space="preserve">分</t>
    </r>
  </si>
  <si>
    <t xml:space="preserve">价格上涨不必然转化为盈利，回款恶化会先破坏基本面。</t>
  </si>
  <si>
    <r>
      <rPr>
        <sz val="11"/>
        <color theme="1"/>
        <rFont val="Linux Libertine G"/>
        <family val="2"/>
        <charset val="1"/>
      </rPr>
      <t xml:space="preserve">6. </t>
    </r>
    <r>
      <rPr>
        <sz val="11"/>
        <color theme="1"/>
        <rFont val="Linux Libertine G"/>
        <family val="2"/>
      </rPr>
      <t xml:space="preserve">权重限制</t>
    </r>
  </si>
  <si>
    <r>
      <rPr>
        <sz val="11"/>
        <color theme="1"/>
        <rFont val="Linux Libertine G"/>
        <family val="2"/>
      </rPr>
      <t xml:space="preserve">单项权重≤</t>
    </r>
    <r>
      <rPr>
        <sz val="11"/>
        <color theme="1"/>
        <rFont val="Linux Libertine G"/>
        <family val="2"/>
        <charset val="1"/>
      </rPr>
      <t xml:space="preserve">15%</t>
    </r>
    <r>
      <rPr>
        <sz val="11"/>
        <color theme="1"/>
        <rFont val="Linux Libertine G"/>
        <family val="2"/>
      </rPr>
      <t xml:space="preserve">；政策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规划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热度单项≤</t>
    </r>
    <r>
      <rPr>
        <sz val="11"/>
        <color theme="1"/>
        <rFont val="Linux Libertine G"/>
        <family val="2"/>
        <charset val="1"/>
      </rPr>
      <t xml:space="preserve">8%</t>
    </r>
    <r>
      <rPr>
        <sz val="11"/>
        <color theme="1"/>
        <rFont val="Linux Libertine G"/>
        <family val="2"/>
      </rPr>
      <t xml:space="preserve">；任一高度相关指标组（如多种价格）合计≤</t>
    </r>
    <r>
      <rPr>
        <sz val="11"/>
        <color theme="1"/>
        <rFont val="Linux Libertine G"/>
        <family val="2"/>
        <charset val="1"/>
      </rPr>
      <t xml:space="preserve">25%</t>
    </r>
  </si>
  <si>
    <r>
      <rPr>
        <sz val="11"/>
        <color theme="1"/>
        <rFont val="Linux Libertine G"/>
        <family val="2"/>
      </rPr>
      <t xml:space="preserve">降低重复计分和政策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情绪放大。</t>
    </r>
  </si>
  <si>
    <r>
      <rPr>
        <sz val="11"/>
        <color theme="1"/>
        <rFont val="Linux Libertine G"/>
        <family val="2"/>
        <charset val="1"/>
      </rPr>
      <t xml:space="preserve">7. </t>
    </r>
    <r>
      <rPr>
        <sz val="11"/>
        <color theme="1"/>
        <rFont val="Linux Libertine G"/>
        <family val="2"/>
      </rPr>
      <t xml:space="preserve">阶段权重</t>
    </r>
  </si>
  <si>
    <r>
      <rPr>
        <sz val="11"/>
        <color theme="1"/>
        <rFont val="Linux Libertine G"/>
        <family val="2"/>
      </rPr>
      <t xml:space="preserve">复苏</t>
    </r>
    <r>
      <rPr>
        <sz val="11"/>
        <color theme="1"/>
        <rFont val="Linux Libertine G"/>
        <family val="2"/>
        <charset val="1"/>
      </rPr>
      <t xml:space="preserve">55/30/15</t>
    </r>
    <r>
      <rPr>
        <sz val="11"/>
        <color theme="1"/>
        <rFont val="Linux Libertine G"/>
        <family val="2"/>
      </rPr>
      <t xml:space="preserve">；扩张</t>
    </r>
    <r>
      <rPr>
        <sz val="11"/>
        <color theme="1"/>
        <rFont val="Linux Libertine G"/>
        <family val="2"/>
        <charset val="1"/>
      </rPr>
      <t xml:space="preserve">45/40/15</t>
    </r>
    <r>
      <rPr>
        <sz val="11"/>
        <color theme="1"/>
        <rFont val="Linux Libertine G"/>
        <family val="2"/>
      </rPr>
      <t xml:space="preserve">；过热</t>
    </r>
    <r>
      <rPr>
        <sz val="11"/>
        <color theme="1"/>
        <rFont val="Linux Libertine G"/>
        <family val="2"/>
        <charset val="1"/>
      </rPr>
      <t xml:space="preserve">35/45/20</t>
    </r>
    <r>
      <rPr>
        <sz val="11"/>
        <color theme="1"/>
        <rFont val="Linux Libertine G"/>
        <family val="2"/>
      </rPr>
      <t xml:space="preserve">；下行</t>
    </r>
    <r>
      <rPr>
        <sz val="11"/>
        <color theme="1"/>
        <rFont val="Linux Libertine G"/>
        <family val="2"/>
        <charset val="1"/>
      </rPr>
      <t xml:space="preserve">50/30/20</t>
    </r>
    <r>
      <rPr>
        <sz val="11"/>
        <color theme="1"/>
        <rFont val="Linux Libertine G"/>
        <family val="2"/>
      </rPr>
      <t xml:space="preserve">；防御</t>
    </r>
    <r>
      <rPr>
        <sz val="11"/>
        <color theme="1"/>
        <rFont val="Linux Libertine G"/>
        <family val="2"/>
        <charset val="1"/>
      </rPr>
      <t xml:space="preserve">30/45/25</t>
    </r>
    <r>
      <rPr>
        <sz val="11"/>
        <color theme="1"/>
        <rFont val="Linux Libertine G"/>
        <family val="2"/>
      </rPr>
      <t xml:space="preserve">（先行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同步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滞后）</t>
    </r>
  </si>
  <si>
    <t xml:space="preserve">不同阶段的信息含量不同，固定权重会滞后或误判。</t>
  </si>
  <si>
    <r>
      <rPr>
        <sz val="11"/>
        <color theme="1"/>
        <rFont val="Linux Libertine G"/>
        <family val="2"/>
        <charset val="1"/>
      </rPr>
      <t xml:space="preserve">8. </t>
    </r>
    <r>
      <rPr>
        <sz val="11"/>
        <color theme="1"/>
        <rFont val="Linux Libertine G"/>
        <family val="2"/>
      </rPr>
      <t xml:space="preserve">输出边界</t>
    </r>
  </si>
  <si>
    <t xml:space="preserve">景气度只输出：行业排序、阶段、证据缺口和风险；估值、资金面、交易时点单独建模</t>
  </si>
  <si>
    <t xml:space="preserve">避免把基本面景气直接等同为买卖信号。</t>
  </si>
  <si>
    <t xml:space="preserve">全行业景气度量化跟踪总览表（参数优化版）</t>
  </si>
  <si>
    <r>
      <rPr>
        <b val="true"/>
        <sz val="9"/>
        <color rgb="FF000000"/>
        <rFont val="Linux Libertine G"/>
        <family val="2"/>
      </rPr>
      <t xml:space="preserve">本页公式连接各行业归一化评分；需按各页</t>
    </r>
    <r>
      <rPr>
        <b val="true"/>
        <sz val="9"/>
        <color rgb="FF000000"/>
        <rFont val="Linux Libertine G"/>
        <family val="2"/>
        <charset val="1"/>
      </rPr>
      <t xml:space="preserve">N</t>
    </r>
    <r>
      <rPr>
        <b val="true"/>
        <sz val="9"/>
        <color rgb="FF000000"/>
        <rFont val="Linux Libertine G"/>
        <family val="2"/>
      </rPr>
      <t xml:space="preserve">列口径更新数据并打开</t>
    </r>
    <r>
      <rPr>
        <b val="true"/>
        <sz val="9"/>
        <color rgb="FF000000"/>
        <rFont val="Linux Libertine G"/>
        <family val="2"/>
        <charset val="1"/>
      </rPr>
      <t xml:space="preserve">Excel</t>
    </r>
    <r>
      <rPr>
        <b val="true"/>
        <sz val="9"/>
        <color rgb="FF000000"/>
        <rFont val="Linux Libertine G"/>
        <family val="2"/>
      </rPr>
      <t xml:space="preserve">重算后，再用于横向排序。</t>
    </r>
  </si>
  <si>
    <t xml:space="preserve">行业名称</t>
  </si>
  <si>
    <t xml:space="preserve">先行指标
得分</t>
  </si>
  <si>
    <t xml:space="preserve">同步指标
得分</t>
  </si>
  <si>
    <t xml:space="preserve">滞后指标
得分</t>
  </si>
  <si>
    <t xml:space="preserve">综合景气度
评分</t>
  </si>
  <si>
    <t xml:space="preserve">景气度
判断</t>
  </si>
  <si>
    <t xml:space="preserve">阶段框架</t>
  </si>
  <si>
    <t xml:space="preserve">建议使用方式</t>
  </si>
  <si>
    <t xml:space="preserve">行业分类</t>
  </si>
  <si>
    <t xml:space="preserve">核心跟踪要点</t>
  </si>
  <si>
    <r>
      <rPr>
        <sz val="9"/>
        <color rgb="FF000000"/>
        <rFont val="Linux Libertine G"/>
        <family val="2"/>
      </rPr>
      <t xml:space="preserve">强周期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供给出清</t>
    </r>
  </si>
  <si>
    <t xml:space="preserve">基本面筛选与排序；非交易仓位指令</t>
  </si>
  <si>
    <t xml:space="preserve">一级行业</t>
  </si>
  <si>
    <t xml:space="preserve">先用库存、供给、订单确认反转；价格本身不能直接等同高景气。</t>
  </si>
  <si>
    <r>
      <rPr>
        <sz val="9"/>
        <color rgb="FF000000"/>
        <rFont val="Linux Libertine G"/>
        <family val="2"/>
      </rPr>
      <t xml:space="preserve">资源品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宏观供需</t>
    </r>
  </si>
  <si>
    <t xml:space="preserve">库存、加工费、美元和价格共同确认。</t>
  </si>
  <si>
    <r>
      <rPr>
        <sz val="9"/>
        <color rgb="FF000000"/>
        <rFont val="Linux Libertine G"/>
        <family val="2"/>
      </rPr>
      <t xml:space="preserve">科技制造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订单库存周期</t>
    </r>
  </si>
  <si>
    <t xml:space="preserve">订单、库存和利用率优先；不同子行业拆分后再汇总。</t>
  </si>
  <si>
    <r>
      <rPr>
        <sz val="9"/>
        <color rgb="FF000000"/>
        <rFont val="Linux Libertine G"/>
        <family val="2"/>
      </rPr>
      <t xml:space="preserve">消费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需求恢复</t>
    </r>
  </si>
  <si>
    <r>
      <rPr>
        <sz val="9"/>
        <color rgb="FF000000"/>
        <rFont val="Linux Libertine G"/>
        <family val="2"/>
      </rPr>
      <t xml:space="preserve">高频需求、渠道库存和价格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利润交叉确认，使用季调数据。</t>
    </r>
  </si>
  <si>
    <r>
      <rPr>
        <sz val="9"/>
        <color rgb="FF000000"/>
        <rFont val="Linux Libertine G"/>
        <family val="2"/>
      </rPr>
      <t xml:space="preserve">防御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成熟</t>
    </r>
  </si>
  <si>
    <t xml:space="preserve">同步经营和现金流优先；先行指标只作边际变化确认。</t>
  </si>
  <si>
    <r>
      <rPr>
        <sz val="9"/>
        <color rgb="FF000000"/>
        <rFont val="Linux Libertine G"/>
        <family val="2"/>
      </rPr>
      <t xml:space="preserve">扩张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订单周期</t>
    </r>
  </si>
  <si>
    <t xml:space="preserve">订单、需求和利润三段式确认，避免单一宏观指标主导。</t>
  </si>
  <si>
    <r>
      <rPr>
        <sz val="9"/>
        <color rgb="FF000000"/>
        <rFont val="Linux Libertine G"/>
        <family val="2"/>
      </rPr>
      <t xml:space="preserve">政策资本开支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交付</t>
    </r>
  </si>
  <si>
    <t xml:space="preserve">政策与规划只作确认项，必须由招标、交付、回款和利润验证。</t>
  </si>
  <si>
    <r>
      <rPr>
        <sz val="9"/>
        <color rgb="FF000000"/>
        <rFont val="Linux Libertine G"/>
        <family val="2"/>
      </rPr>
      <t xml:space="preserve">信用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风险偏好周期</t>
    </r>
  </si>
  <si>
    <t xml:space="preserve">信用与资产质量优先；券商、保险、银行不宜混算。</t>
  </si>
  <si>
    <t xml:space="preserve">重点细分行业</t>
  </si>
  <si>
    <r>
      <rPr>
        <sz val="9"/>
        <color rgb="FF000000"/>
        <rFont val="Linux Libertine G"/>
        <family val="2"/>
      </rPr>
      <t xml:space="preserve">早期产业化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兑现</t>
    </r>
  </si>
  <si>
    <t xml:space="preserve">量产、订单、交付优先；热度与规划指标不得主导评分。</t>
  </si>
  <si>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算力</t>
    </r>
  </si>
  <si>
    <r>
      <rPr>
        <sz val="11"/>
        <color theme="1"/>
        <rFont val="Linux Libertine G"/>
        <family val="2"/>
      </rPr>
      <t xml:space="preserve">早期产业化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兑现</t>
    </r>
  </si>
  <si>
    <t xml:space="preserve">行业景气度量化跟踪体系（参数优化版）— 农林牧渔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</si>
  <si>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。先用库存、供给、订单确认反转；价格本身不能直接等同高景气。｜核心验证：供给周期与养殖价差；必选：母猪存栏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淘汰率、仔猪价、饲料成本</t>
    </r>
  </si>
  <si>
    <t xml:space="preserve">最新数值</t>
  </si>
  <si>
    <t xml:space="preserve">趋势</t>
  </si>
  <si>
    <t xml:space="preserve">权重</t>
  </si>
  <si>
    <r>
      <rPr>
        <b val="true"/>
        <sz val="10"/>
        <color rgb="FFFFFFFF"/>
        <rFont val="Linux Libertine G"/>
        <family val="2"/>
      </rPr>
      <t xml:space="preserve">评分
</t>
    </r>
    <r>
      <rPr>
        <b val="true"/>
        <sz val="10"/>
        <color rgb="FFFFFFFF"/>
        <rFont val="Linux Libertine G"/>
        <family val="2"/>
        <charset val="1"/>
      </rPr>
      <t xml:space="preserve">(1-10)</t>
    </r>
  </si>
  <si>
    <t xml:space="preserve">评分阈值说明</t>
  </si>
  <si>
    <t xml:space="preserve">历史分位</t>
  </si>
  <si>
    <t xml:space="preserve">对景气度影响</t>
  </si>
  <si>
    <t xml:space="preserve">跟踪频率</t>
  </si>
  <si>
    <t xml:space="preserve">原权重</t>
  </si>
  <si>
    <t xml:space="preserve">参数优化建议</t>
  </si>
  <si>
    <t xml:space="preserve">评分口径（更新时采用）</t>
  </si>
  <si>
    <t xml:space="preserve">阶段分项</t>
  </si>
  <si>
    <t xml:space="preserve">公式分数</t>
  </si>
  <si>
    <r>
      <rPr>
        <b val="true"/>
        <sz val="10"/>
        <color rgb="FFFFFFFF"/>
        <rFont val="Linux Libertine G"/>
        <family val="2"/>
      </rPr>
      <t xml:space="preserve">【第一部分：先行指标（</t>
    </r>
    <r>
      <rPr>
        <b val="true"/>
        <sz val="10"/>
        <color rgb="FFFFFFFF"/>
        <rFont val="Linux Libertine G"/>
        <family val="2"/>
        <charset val="1"/>
      </rPr>
      <t xml:space="preserve">Leading Indicators</t>
    </r>
    <r>
      <rPr>
        <b val="true"/>
        <sz val="10"/>
        <color rgb="FFFFFFFF"/>
        <rFont val="Linux Libertine G"/>
        <family val="2"/>
      </rPr>
      <t xml:space="preserve">）——提前</t>
    </r>
    <r>
      <rPr>
        <b val="true"/>
        <sz val="10"/>
        <color rgb="FFFFFFFF"/>
        <rFont val="Linux Libertine G"/>
        <family val="2"/>
        <charset val="1"/>
      </rPr>
      <t xml:space="preserve">1-2</t>
    </r>
    <r>
      <rPr>
        <b val="true"/>
        <sz val="10"/>
        <color rgb="FFFFFFFF"/>
        <rFont val="Linux Libertine G"/>
        <family val="2"/>
      </rPr>
      <t xml:space="preserve">个季度预示景气变化】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</si>
  <si>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能繁母猪存栏量变化</t>
    </r>
  </si>
  <si>
    <t xml:space="preserve">企稳</t>
  </si>
  <si>
    <r>
      <rPr>
        <sz val="9"/>
        <color rgb="FF000000"/>
        <rFont val="微软雅黑"/>
        <family val="2"/>
        <charset val="134"/>
      </rPr>
      <t xml:space="preserve">&gt;5%=10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,&lt;-2%=2</t>
    </r>
    <r>
      <rPr>
        <sz val="9"/>
        <color rgb="FF000000"/>
        <rFont val="Linux Libertine G"/>
        <family val="2"/>
      </rPr>
      <t xml:space="preserve">分</t>
    </r>
  </si>
  <si>
    <t xml:space="preserve">45%</t>
  </si>
  <si>
    <t xml:space="preserve">产能温和回升，供给端压力可控</t>
  </si>
  <si>
    <t xml:space="preserve">月度</t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</si>
  <si>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50%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</si>
  <si>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仔猪价格变化</t>
    </r>
  </si>
  <si>
    <r>
      <rPr>
        <sz val="9"/>
        <color rgb="FF000000"/>
        <rFont val="Linux Libertine G"/>
        <family val="2"/>
      </rPr>
      <t xml:space="preserve">农业农村部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博亚和讯</t>
    </r>
  </si>
  <si>
    <t xml:space="preserve">大涨</t>
  </si>
  <si>
    <r>
      <rPr>
        <sz val="9"/>
        <color rgb="FF000000"/>
        <rFont val="微软雅黑"/>
        <family val="2"/>
        <charset val="134"/>
      </rPr>
      <t xml:space="preserve">&gt;30%=10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,10-30%=8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,&lt;-10%=2</t>
    </r>
    <r>
      <rPr>
        <sz val="9"/>
        <color rgb="FF000000"/>
        <rFont val="Linux Libertine G"/>
        <family val="2"/>
      </rPr>
      <t xml:space="preserve">分</t>
    </r>
  </si>
  <si>
    <t xml:space="preserve">78%</t>
  </si>
  <si>
    <r>
      <rPr>
        <sz val="9"/>
        <color rgb="FF000000"/>
        <rFont val="Linux Libertine G"/>
        <family val="2"/>
      </rPr>
      <t xml:space="preserve">补栏积极性高，预示</t>
    </r>
    <r>
      <rPr>
        <sz val="9"/>
        <color rgb="FF000000"/>
        <rFont val="Linux Libertine G"/>
        <family val="2"/>
        <charset val="1"/>
      </rPr>
      <t xml:space="preserve">6</t>
    </r>
    <r>
      <rPr>
        <sz val="9"/>
        <color rgb="FF000000"/>
        <rFont val="Linux Libertine G"/>
        <family val="2"/>
      </rPr>
      <t xml:space="preserve">个月后出栏增加</t>
    </r>
  </si>
  <si>
    <t xml:space="preserve">周度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</si>
  <si>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饲料价格变化</t>
    </r>
  </si>
  <si>
    <t xml:space="preserve">下行</t>
  </si>
  <si>
    <r>
      <rPr>
        <sz val="9"/>
        <color rgb="FF000000"/>
        <rFont val="微软雅黑"/>
        <family val="2"/>
        <charset val="134"/>
      </rPr>
      <t xml:space="preserve">&lt;-10%=10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,&gt;10%=2</t>
    </r>
    <r>
      <rPr>
        <sz val="9"/>
        <color rgb="FF000000"/>
        <rFont val="Linux Libertine G"/>
        <family val="2"/>
      </rPr>
      <t xml:space="preserve">分</t>
    </r>
  </si>
  <si>
    <t xml:space="preserve">35%</t>
  </si>
  <si>
    <t xml:space="preserve">成本端改善，养殖利润修复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</si>
  <si>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农产品进口量增速</t>
    </r>
  </si>
  <si>
    <t xml:space="preserve">上行</t>
  </si>
  <si>
    <r>
      <rPr>
        <sz val="9"/>
        <color rgb="FF000000"/>
        <rFont val="微软雅黑"/>
        <family val="2"/>
        <charset val="134"/>
      </rPr>
      <t xml:space="preserve">&lt;-5%=10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,-5-0%=8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,&gt;10%=2</t>
    </r>
    <r>
      <rPr>
        <sz val="9"/>
        <color rgb="FF000000"/>
        <rFont val="Linux Libertine G"/>
        <family val="2"/>
      </rPr>
      <t xml:space="preserve">分</t>
    </r>
  </si>
  <si>
    <t xml:space="preserve">52%</t>
  </si>
  <si>
    <t xml:space="preserve">进口平稳，国内供给基本自足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</si>
  <si>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种植面积变化</t>
    </r>
  </si>
  <si>
    <r>
      <rPr>
        <sz val="9"/>
        <color rgb="FF000000"/>
        <rFont val="微软雅黑"/>
        <family val="2"/>
        <charset val="134"/>
      </rPr>
      <t xml:space="preserve">&gt;2%=10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,-5--2%=4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,&lt;-5%=2</t>
    </r>
    <r>
      <rPr>
        <sz val="9"/>
        <color rgb="FF000000"/>
        <rFont val="Linux Libertine G"/>
        <family val="2"/>
      </rPr>
      <t xml:space="preserve">分</t>
    </r>
  </si>
  <si>
    <t xml:space="preserve">48%</t>
  </si>
  <si>
    <t xml:space="preserve">种植面积稳定，产量预期平稳</t>
  </si>
  <si>
    <t xml:space="preserve">年度</t>
  </si>
  <si>
    <r>
      <rPr>
        <b val="true"/>
        <sz val="10"/>
        <color rgb="FFFFFFFF"/>
        <rFont val="Linux Libertine G"/>
        <family val="2"/>
      </rPr>
      <t xml:space="preserve">【第二部分：同步指标（</t>
    </r>
    <r>
      <rPr>
        <b val="true"/>
        <sz val="10"/>
        <color rgb="FFFFFFFF"/>
        <rFont val="Linux Libertine G"/>
        <family val="2"/>
        <charset val="1"/>
      </rPr>
      <t xml:space="preserve">Coincident Indicators</t>
    </r>
    <r>
      <rPr>
        <b val="true"/>
        <sz val="10"/>
        <color rgb="FFFFFFFF"/>
        <rFont val="Linux Libertine G"/>
        <family val="2"/>
      </rPr>
      <t xml:space="preserve">）——与当前景气同步变动】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</si>
  <si>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生猪出栏均价</t>
    </r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</si>
  <si>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公斤</t>
    </r>
  </si>
  <si>
    <r>
      <rPr>
        <sz val="9"/>
        <color rgb="FF000000"/>
        <rFont val="微软雅黑"/>
        <family val="2"/>
        <charset val="134"/>
      </rPr>
      <t xml:space="preserve">&gt;20=10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,16-20=8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,14-16=6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,12-14=4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,&lt;12=2</t>
    </r>
    <r>
      <rPr>
        <sz val="9"/>
        <color rgb="FF000000"/>
        <rFont val="Linux Libertine G"/>
        <family val="2"/>
      </rPr>
      <t xml:space="preserve">分</t>
    </r>
  </si>
  <si>
    <t xml:space="preserve">55%</t>
  </si>
  <si>
    <t xml:space="preserve">猪价温和回升，养殖盈利改善</t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</si>
  <si>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35%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</si>
  <si>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白羽肉鸡价格</t>
    </r>
  </si>
  <si>
    <r>
      <rPr>
        <sz val="9"/>
        <color rgb="FF000000"/>
        <rFont val="微软雅黑"/>
        <family val="2"/>
        <charset val="134"/>
      </rPr>
      <t xml:space="preserve">&gt;10=10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,7-8=6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,6-7=4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,&lt;6=2</t>
    </r>
    <r>
      <rPr>
        <sz val="9"/>
        <color rgb="FF000000"/>
        <rFont val="Linux Libertine G"/>
        <family val="2"/>
      </rPr>
      <t xml:space="preserve">分</t>
    </r>
  </si>
  <si>
    <t xml:space="preserve">62%</t>
  </si>
  <si>
    <t xml:space="preserve">禽价处于较好水平，养殖利润可观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</si>
  <si>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水产批发价格指数</t>
    </r>
  </si>
  <si>
    <r>
      <rPr>
        <sz val="9"/>
        <color rgb="FF000000"/>
        <rFont val="微软雅黑"/>
        <family val="2"/>
        <charset val="134"/>
      </rPr>
      <t xml:space="preserve">&gt;120=10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,110-120=8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,100-110=6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,90-100=4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,&lt;90=2</t>
    </r>
    <r>
      <rPr>
        <sz val="9"/>
        <color rgb="FF000000"/>
        <rFont val="Linux Libertine G"/>
        <family val="2"/>
      </rPr>
      <t xml:space="preserve">分</t>
    </r>
  </si>
  <si>
    <t xml:space="preserve">58%</t>
  </si>
  <si>
    <t xml:space="preserve">水产价格温和上涨，消费旺季来临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</si>
  <si>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农产品批发价格</t>
    </r>
    <r>
      <rPr>
        <sz val="9"/>
        <color rgb="FF000000"/>
        <rFont val="微软雅黑"/>
        <family val="2"/>
        <charset val="134"/>
      </rPr>
      <t xml:space="preserve">200</t>
    </r>
    <r>
      <rPr>
        <sz val="9"/>
        <color rgb="FF000000"/>
        <rFont val="Linux Libertine G"/>
        <family val="2"/>
      </rPr>
      <t xml:space="preserve">指数</t>
    </r>
  </si>
  <si>
    <r>
      <rPr>
        <sz val="9"/>
        <color rgb="FF000000"/>
        <rFont val="微软雅黑"/>
        <family val="2"/>
        <charset val="134"/>
      </rPr>
      <t xml:space="preserve">&gt;130=10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,120-130=8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,110-120=6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,100-110=4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,&lt;100=2</t>
    </r>
    <r>
      <rPr>
        <sz val="9"/>
        <color rgb="FF000000"/>
        <rFont val="Linux Libertine G"/>
        <family val="2"/>
      </rPr>
      <t xml:space="preserve">分</t>
    </r>
  </si>
  <si>
    <t xml:space="preserve">54%</t>
  </si>
  <si>
    <t xml:space="preserve">农产品价格整体平稳略升</t>
  </si>
  <si>
    <t xml:space="preserve">日度</t>
  </si>
  <si>
    <r>
      <rPr>
        <b val="true"/>
        <sz val="10"/>
        <color rgb="FFFFFFFF"/>
        <rFont val="Linux Libertine G"/>
        <family val="2"/>
      </rPr>
      <t xml:space="preserve">【第三部分：滞后指标（</t>
    </r>
    <r>
      <rPr>
        <b val="true"/>
        <sz val="10"/>
        <color rgb="FFFFFFFF"/>
        <rFont val="Linux Libertine G"/>
        <family val="2"/>
        <charset val="1"/>
      </rPr>
      <t xml:space="preserve">Lagging Indicators</t>
    </r>
    <r>
      <rPr>
        <b val="true"/>
        <sz val="10"/>
        <color rgb="FFFFFFFF"/>
        <rFont val="Linux Libertine G"/>
        <family val="2"/>
      </rPr>
      <t xml:space="preserve">）——滞后</t>
    </r>
    <r>
      <rPr>
        <b val="true"/>
        <sz val="10"/>
        <color rgb="FFFFFFFF"/>
        <rFont val="Linux Libertine G"/>
        <family val="2"/>
        <charset val="1"/>
      </rPr>
      <t xml:space="preserve">1-2</t>
    </r>
    <r>
      <rPr>
        <b val="true"/>
        <sz val="10"/>
        <color rgb="FFFFFFFF"/>
        <rFont val="Linux Libertine G"/>
        <family val="2"/>
      </rPr>
      <t xml:space="preserve">个季度反映景气变化】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</si>
  <si>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养殖企业季度净利润率</t>
    </r>
  </si>
  <si>
    <r>
      <rPr>
        <sz val="9"/>
        <color rgb="FF000000"/>
        <rFont val="微软雅黑"/>
        <family val="2"/>
        <charset val="134"/>
      </rPr>
      <t xml:space="preserve">&gt;15%=10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,-5-0%=4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,&lt;-5%=2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</si>
  <si>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养殖利润转正，景气度回升</t>
    </r>
  </si>
  <si>
    <t xml:space="preserve">季度</t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</si>
  <si>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15%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</si>
  <si>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农林牧渔固定资产投资增速</t>
    </r>
  </si>
  <si>
    <t xml:space="preserve">60%</t>
  </si>
  <si>
    <t xml:space="preserve">投资回暖，产能扩张意愿增强</t>
  </si>
  <si>
    <r>
      <rPr>
        <sz val="9"/>
        <color rgb="FF000000"/>
        <rFont val="微软雅黑"/>
        <family val="2"/>
        <charset val="134"/>
      </rPr>
      <t xml:space="preserve">12-CPI</t>
    </r>
    <r>
      <rPr>
        <sz val="9"/>
        <color rgb="FF000000"/>
        <rFont val="Linux Libertine G"/>
        <family val="2"/>
      </rPr>
      <t xml:space="preserve">食品项同比</t>
    </r>
  </si>
  <si>
    <t xml:space="preserve">42%</t>
  </si>
  <si>
    <t xml:space="preserve">食品通胀温和，终端需求平稳</t>
  </si>
  <si>
    <t xml:space="preserve">行业综合景气度加权得分</t>
  </si>
  <si>
    <r>
      <rPr>
        <sz val="9"/>
        <color rgb="FF000000"/>
        <rFont val="Linux Libertine G"/>
        <family val="2"/>
      </rPr>
      <t xml:space="preserve">综合分</t>
    </r>
    <r>
      <rPr>
        <sz val="9"/>
        <color rgb="FF000000"/>
        <rFont val="Linux Libertine G"/>
        <family val="2"/>
        <charset val="1"/>
      </rPr>
      <t xml:space="preserve">=Σ(</t>
    </r>
    <r>
      <rPr>
        <sz val="9"/>
        <color rgb="FF000000"/>
        <rFont val="Linux Libertine G"/>
        <family val="2"/>
      </rPr>
      <t xml:space="preserve">建议权重</t>
    </r>
    <r>
      <rPr>
        <sz val="9"/>
        <color rgb="FF000000"/>
        <rFont val="Linux Libertine G"/>
        <family val="2"/>
        <charset val="1"/>
      </rPr>
      <t xml:space="preserve">×</t>
    </r>
    <r>
      <rPr>
        <sz val="9"/>
        <color rgb="FF000000"/>
        <rFont val="Linux Libertine G"/>
        <family val="2"/>
      </rPr>
      <t xml:space="preserve">单项评分</t>
    </r>
    <r>
      <rPr>
        <sz val="9"/>
        <color rgb="FF000000"/>
        <rFont val="Linux Libertine G"/>
        <family val="2"/>
        <charset val="1"/>
      </rPr>
      <t xml:space="preserve">)</t>
    </r>
    <r>
      <rPr>
        <sz val="9"/>
        <color rgb="FF000000"/>
        <rFont val="Linux Libertine G"/>
        <family val="2"/>
      </rPr>
      <t xml:space="preserve">，建议权重和</t>
    </r>
    <r>
      <rPr>
        <sz val="9"/>
        <color rgb="FF000000"/>
        <rFont val="Linux Libertine G"/>
        <family val="2"/>
        <charset val="1"/>
      </rPr>
      <t xml:space="preserve">=100%</t>
    </r>
    <r>
      <rPr>
        <sz val="9"/>
        <color rgb="FF000000"/>
        <rFont val="Linux Libertine G"/>
        <family val="2"/>
      </rPr>
      <t xml:space="preserve">。</t>
    </r>
  </si>
  <si>
    <t xml:space="preserve">行业景气度量化跟踪体系（参数优化版）— 基础化工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</si>
  <si>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。先用库存、供给、订单确认反转；价格本身不能直接等同高景气。｜核心验证：库存周期与价差修复；必选：下游订单、库存、计划新增产能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</si>
  <si>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原油价格变化</t>
    </r>
  </si>
  <si>
    <r>
      <rPr>
        <sz val="9"/>
        <color rgb="FF000000"/>
        <rFont val="微软雅黑"/>
        <family val="2"/>
        <charset val="134"/>
      </rPr>
      <t xml:space="preserve">WTI/</t>
    </r>
    <r>
      <rPr>
        <sz val="9"/>
        <color rgb="FF000000"/>
        <rFont val="Linux Libertine G"/>
        <family val="2"/>
      </rPr>
      <t xml:space="preserve">布伦特</t>
    </r>
  </si>
  <si>
    <r>
      <rPr>
        <sz val="9"/>
        <color rgb="FF000000"/>
        <rFont val="Linux Libertine G"/>
        <family val="2"/>
      </rPr>
      <t xml:space="preserve">美元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桶</t>
    </r>
  </si>
  <si>
    <r>
      <rPr>
        <sz val="9"/>
        <color rgb="FF000000"/>
        <rFont val="微软雅黑"/>
        <family val="2"/>
        <charset val="134"/>
      </rPr>
      <t xml:space="preserve">60-80=10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80-90=8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90-100=6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&gt;100=4</t>
    </r>
    <r>
      <rPr>
        <sz val="9"/>
        <color rgb="FF000000"/>
        <rFont val="Linux Libertine G"/>
        <family val="2"/>
      </rPr>
      <t xml:space="preserve">分</t>
    </r>
  </si>
  <si>
    <t xml:space="preserve">油价中枢回落，成本压力缓解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</si>
  <si>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煤化工原料煤价格</t>
    </r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</si>
  <si>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吨</t>
    </r>
  </si>
  <si>
    <r>
      <rPr>
        <sz val="9"/>
        <color rgb="FF000000"/>
        <rFont val="微软雅黑"/>
        <family val="2"/>
        <charset val="134"/>
      </rPr>
      <t xml:space="preserve">&lt;700=10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,700-800=8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,800-900=6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,900-1000=4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,&gt;1000=2</t>
    </r>
    <r>
      <rPr>
        <sz val="9"/>
        <color rgb="FF000000"/>
        <rFont val="Linux Libertine G"/>
        <family val="2"/>
      </rPr>
      <t xml:space="preserve">分</t>
    </r>
  </si>
  <si>
    <t xml:space="preserve">30%</t>
  </si>
  <si>
    <t xml:space="preserve">煤价处于低位，煤化工成本优势明显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</si>
  <si>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化工品产能利用率</t>
    </r>
  </si>
  <si>
    <r>
      <rPr>
        <sz val="9"/>
        <color rgb="FF000000"/>
        <rFont val="微软雅黑"/>
        <family val="2"/>
        <charset val="134"/>
      </rPr>
      <t xml:space="preserve">&gt;80%=10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,75-80%=8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,70-75%=6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,65-70%=4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,&lt;65%=2</t>
    </r>
    <r>
      <rPr>
        <sz val="9"/>
        <color rgb="FF000000"/>
        <rFont val="Linux Libertine G"/>
        <family val="2"/>
      </rPr>
      <t xml:space="preserve">分</t>
    </r>
  </si>
  <si>
    <t xml:space="preserve">产能利用率回升，供需格局改善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</si>
  <si>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新增产能投放计划</t>
    </r>
  </si>
  <si>
    <r>
      <rPr>
        <sz val="9"/>
        <color rgb="FF000000"/>
        <rFont val="Linux Libertine G"/>
        <family val="2"/>
      </rPr>
      <t xml:space="preserve">公司公告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行业协会</t>
    </r>
  </si>
  <si>
    <t xml:space="preserve">放缓</t>
  </si>
  <si>
    <r>
      <rPr>
        <sz val="9"/>
        <color rgb="FF000000"/>
        <rFont val="微软雅黑"/>
        <family val="2"/>
        <charset val="134"/>
      </rPr>
      <t xml:space="preserve">&lt;2%=10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,5-8%=6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,8-12%=4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,&gt;12%=2</t>
    </r>
    <r>
      <rPr>
        <sz val="9"/>
        <color rgb="FF000000"/>
        <rFont val="Linux Libertine G"/>
        <family val="2"/>
      </rPr>
      <t xml:space="preserve">分</t>
    </r>
  </si>
  <si>
    <t xml:space="preserve">产能投放放缓，供给压力减轻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</si>
  <si>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中国化工产品价格指数</t>
    </r>
    <r>
      <rPr>
        <sz val="9"/>
        <color rgb="FF000000"/>
        <rFont val="微软雅黑"/>
        <family val="2"/>
        <charset val="134"/>
      </rPr>
      <t xml:space="preserve">(CCPI)</t>
    </r>
  </si>
  <si>
    <r>
      <rPr>
        <sz val="9"/>
        <color rgb="FF000000"/>
        <rFont val="微软雅黑"/>
        <family val="2"/>
        <charset val="134"/>
      </rPr>
      <t xml:space="preserve">&gt;5500=10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,5000-5500=8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,4500-5000=6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,4000-4500=4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,&lt;4000=2</t>
    </r>
    <r>
      <rPr>
        <sz val="9"/>
        <color rgb="FF000000"/>
        <rFont val="Linux Libertine G"/>
        <family val="2"/>
      </rPr>
      <t xml:space="preserve">分</t>
    </r>
  </si>
  <si>
    <t xml:space="preserve">化工品价格温和上涨，价差修复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</si>
  <si>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主要化工品价差</t>
    </r>
  </si>
  <si>
    <r>
      <rPr>
        <sz val="9"/>
        <color rgb="FF000000"/>
        <rFont val="微软雅黑"/>
        <family val="2"/>
        <charset val="134"/>
      </rPr>
      <t xml:space="preserve">%vs</t>
    </r>
    <r>
      <rPr>
        <sz val="9"/>
        <color rgb="FF000000"/>
        <rFont val="Linux Libertine G"/>
        <family val="2"/>
      </rPr>
      <t xml:space="preserve">均值</t>
    </r>
  </si>
  <si>
    <r>
      <rPr>
        <sz val="9"/>
        <color rgb="FF000000"/>
        <rFont val="微软雅黑"/>
        <family val="2"/>
        <charset val="134"/>
      </rPr>
      <t xml:space="preserve">&gt;</t>
    </r>
    <r>
      <rPr>
        <sz val="9"/>
        <color rgb="FF000000"/>
        <rFont val="Linux Libertine G"/>
        <family val="2"/>
      </rPr>
      <t xml:space="preserve">历史均值</t>
    </r>
    <r>
      <rPr>
        <sz val="9"/>
        <color rgb="FF000000"/>
        <rFont val="微软雅黑"/>
        <family val="2"/>
        <charset val="134"/>
      </rPr>
      <t xml:space="preserve">20%=10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,-20--10%=4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,&lt;-20%=2</t>
    </r>
    <r>
      <rPr>
        <sz val="9"/>
        <color rgb="FF000000"/>
        <rFont val="Linux Libertine G"/>
        <family val="2"/>
      </rPr>
      <t xml:space="preserve">分</t>
    </r>
  </si>
  <si>
    <t xml:space="preserve">价差改善，企业盈利空间扩大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</si>
  <si>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化工品库存天数</t>
    </r>
  </si>
  <si>
    <r>
      <rPr>
        <sz val="9"/>
        <color rgb="FF000000"/>
        <rFont val="微软雅黑"/>
        <family val="2"/>
        <charset val="134"/>
      </rPr>
      <t xml:space="preserve">&lt;15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,20-25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,25-30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,&gt;30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</si>
  <si>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40%</t>
  </si>
  <si>
    <t xml:space="preserve">库存健康，去库接近尾声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</si>
  <si>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化工品出口增速</t>
    </r>
  </si>
  <si>
    <t xml:space="preserve">65%</t>
  </si>
  <si>
    <t xml:space="preserve">出口强劲，外需支撑景气度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</si>
  <si>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化工企业季度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</si>
  <si>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&gt;12%=10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,8-12%=8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,4-8%=6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,0-4%=4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</si>
  <si>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50%</t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</si>
  <si>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盈利修复，</t>
    </r>
    <r>
      <rPr>
        <sz val="9"/>
        <color rgb="FF000000"/>
        <rFont val="微软雅黑"/>
        <family val="2"/>
        <charset val="134"/>
      </rPr>
      <t xml:space="preserve">ROE</t>
    </r>
    <r>
      <rPr>
        <sz val="9"/>
        <color rgb="FF000000"/>
        <rFont val="Linux Libertine G"/>
        <family val="2"/>
      </rPr>
      <t xml:space="preserve">回升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</si>
  <si>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化工行业固定资产投资增速</t>
    </r>
  </si>
  <si>
    <r>
      <rPr>
        <sz val="9"/>
        <color rgb="FF000000"/>
        <rFont val="微软雅黑"/>
        <family val="2"/>
        <charset val="134"/>
      </rPr>
      <t xml:space="preserve">&gt;10%=10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,-5-0%=4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,&lt;-5%=2</t>
    </r>
    <r>
      <rPr>
        <sz val="9"/>
        <color rgb="FF000000"/>
        <rFont val="Linux Libertine G"/>
        <family val="2"/>
      </rPr>
      <t xml:space="preserve">分</t>
    </r>
  </si>
  <si>
    <t xml:space="preserve">投资回暖，扩产意愿增强</t>
  </si>
  <si>
    <r>
      <rPr>
        <sz val="9"/>
        <color rgb="FF000000"/>
        <rFont val="微软雅黑"/>
        <family val="2"/>
        <charset val="134"/>
      </rPr>
      <t xml:space="preserve">11-PPI</t>
    </r>
    <r>
      <rPr>
        <sz val="9"/>
        <color rgb="FF000000"/>
        <rFont val="Linux Libertine G"/>
        <family val="2"/>
      </rPr>
      <t xml:space="preserve">化工原料同比</t>
    </r>
  </si>
  <si>
    <r>
      <rPr>
        <sz val="9"/>
        <color rgb="FF000000"/>
        <rFont val="微软雅黑"/>
        <family val="2"/>
        <charset val="134"/>
      </rPr>
      <t xml:space="preserve">&gt;5%=10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,-3-0%=6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,-6--3%=4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,&lt;-6%=2</t>
    </r>
    <r>
      <rPr>
        <sz val="9"/>
        <color rgb="FF000000"/>
        <rFont val="Linux Libertine G"/>
        <family val="2"/>
      </rPr>
      <t xml:space="preserve">分</t>
    </r>
  </si>
  <si>
    <t xml:space="preserve">价格同比转正，通缩压力缓解</t>
  </si>
  <si>
    <t xml:space="preserve">行业景气度量化跟踪体系（参数优化版）— 钢铁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</si>
  <si>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。先用库存、供给、订单确认反转；价格本身不能直接等同高景气。｜核心验证：需求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去库与利润修复；必选：地产施工、基建实物量、库存变化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</si>
  <si>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铁矿石价格变化</t>
    </r>
  </si>
  <si>
    <r>
      <rPr>
        <sz val="9"/>
        <color rgb="FF000000"/>
        <rFont val="Linux Libertine G"/>
        <family val="2"/>
      </rPr>
      <t xml:space="preserve">普氏</t>
    </r>
    <r>
      <rPr>
        <sz val="9"/>
        <color rgb="FF000000"/>
        <rFont val="Linux Libertine G"/>
        <family val="2"/>
        <charset val="1"/>
      </rPr>
      <t xml:space="preserve">62%</t>
    </r>
    <r>
      <rPr>
        <sz val="9"/>
        <color rgb="FF000000"/>
        <rFont val="Linux Libertine G"/>
        <family val="2"/>
      </rPr>
      <t xml:space="preserve">指数</t>
    </r>
  </si>
  <si>
    <r>
      <rPr>
        <sz val="9"/>
        <color rgb="FF000000"/>
        <rFont val="Linux Libertine G"/>
        <family val="2"/>
      </rPr>
      <t xml:space="preserve">美元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吨</t>
    </r>
  </si>
  <si>
    <r>
      <rPr>
        <sz val="9"/>
        <color rgb="FF000000"/>
        <rFont val="微软雅黑"/>
        <family val="2"/>
        <charset val="134"/>
      </rPr>
      <t xml:space="preserve">80-100=10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,70-80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100-120=8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120-140=6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&gt;140=4</t>
    </r>
    <r>
      <rPr>
        <sz val="9"/>
        <color rgb="FF000000"/>
        <rFont val="Linux Libertine G"/>
        <family val="2"/>
      </rPr>
      <t xml:space="preserve">分</t>
    </r>
  </si>
  <si>
    <t xml:space="preserve">矿价回落，成本压力减轻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</si>
  <si>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焦煤价格变化</t>
    </r>
  </si>
  <si>
    <r>
      <rPr>
        <sz val="9"/>
        <color rgb="FF000000"/>
        <rFont val="微软雅黑"/>
        <family val="2"/>
        <charset val="134"/>
      </rPr>
      <t xml:space="preserve">CCI</t>
    </r>
    <r>
      <rPr>
        <sz val="9"/>
        <color rgb="FF000000"/>
        <rFont val="Linux Libertine G"/>
        <family val="2"/>
      </rPr>
      <t xml:space="preserve">指数</t>
    </r>
  </si>
  <si>
    <r>
      <rPr>
        <sz val="9"/>
        <color rgb="FF000000"/>
        <rFont val="微软雅黑"/>
        <family val="2"/>
        <charset val="134"/>
      </rPr>
      <t xml:space="preserve">&lt;1500=10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,1500-1800=8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,1800-2200=6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,2200-2600=4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,&gt;2600=2</t>
    </r>
    <r>
      <rPr>
        <sz val="9"/>
        <color rgb="FF000000"/>
        <rFont val="Linux Libertine G"/>
        <family val="2"/>
      </rPr>
      <t xml:space="preserve">分</t>
    </r>
  </si>
  <si>
    <t xml:space="preserve">焦煤价格回落，焦炭成本下降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</si>
  <si>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高炉开工率</t>
    </r>
  </si>
  <si>
    <r>
      <rPr>
        <sz val="9"/>
        <color rgb="FF000000"/>
        <rFont val="微软雅黑"/>
        <family val="2"/>
        <charset val="134"/>
      </rPr>
      <t xml:space="preserve">&gt;85%=10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,80-85%=8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,75-80%=6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,70-75%=4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,&lt;70%=2</t>
    </r>
    <r>
      <rPr>
        <sz val="9"/>
        <color rgb="FF000000"/>
        <rFont val="Linux Libertine G"/>
        <family val="2"/>
      </rPr>
      <t xml:space="preserve">分</t>
    </r>
  </si>
  <si>
    <t xml:space="preserve">开工率回升，生产积极性改善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</si>
  <si>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钢材社会库存变化</t>
    </r>
  </si>
  <si>
    <t xml:space="preserve">去库</t>
  </si>
  <si>
    <t xml:space="preserve">38%</t>
  </si>
  <si>
    <t xml:space="preserve">库存去化顺利，供需格局改善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</si>
  <si>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螺纹钢现货价格</t>
    </r>
  </si>
  <si>
    <r>
      <rPr>
        <sz val="9"/>
        <color rgb="FF000000"/>
        <rFont val="微软雅黑"/>
        <family val="2"/>
        <charset val="134"/>
      </rPr>
      <t xml:space="preserve">&gt;4000=10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,3500-4000=8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,3000-3500=6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,2500-3000=4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,&lt;2500=2</t>
    </r>
    <r>
      <rPr>
        <sz val="9"/>
        <color rgb="FF000000"/>
        <rFont val="Linux Libertine G"/>
        <family val="2"/>
      </rPr>
      <t xml:space="preserve">分</t>
    </r>
  </si>
  <si>
    <t xml:space="preserve">钢价温和回升，盈利边际改善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</si>
  <si>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热轧板卷价格</t>
    </r>
  </si>
  <si>
    <r>
      <rPr>
        <sz val="9"/>
        <color rgb="FF000000"/>
        <rFont val="微软雅黑"/>
        <family val="2"/>
        <charset val="134"/>
      </rPr>
      <t xml:space="preserve">&gt;4200=10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,3800-4200=8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,3400-3800=6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,3000-3400=4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,&lt;3000=2</t>
    </r>
    <r>
      <rPr>
        <sz val="9"/>
        <color rgb="FF000000"/>
        <rFont val="Linux Libertine G"/>
        <family val="2"/>
      </rPr>
      <t xml:space="preserve">分</t>
    </r>
  </si>
  <si>
    <t xml:space="preserve">板材价格回升，制造业需求支撑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</si>
  <si>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钢厂盈利面</t>
    </r>
  </si>
  <si>
    <r>
      <rPr>
        <sz val="9"/>
        <color rgb="FF000000"/>
        <rFont val="微软雅黑"/>
        <family val="2"/>
        <charset val="134"/>
      </rPr>
      <t xml:space="preserve">&gt;70%=10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,50-70%=8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,30-50%=6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,10-30%=4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,&lt;10%=2</t>
    </r>
    <r>
      <rPr>
        <sz val="9"/>
        <color rgb="FF000000"/>
        <rFont val="Linux Libertine G"/>
        <family val="2"/>
      </rPr>
      <t xml:space="preserve">分</t>
    </r>
  </si>
  <si>
    <t xml:space="preserve">盈利面扩大，过半钢厂实现盈利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</si>
  <si>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钢材表观消费量</t>
    </r>
  </si>
  <si>
    <r>
      <rPr>
        <sz val="9"/>
        <color rgb="FF000000"/>
        <rFont val="Linux Libertine G"/>
        <family val="2"/>
      </rPr>
      <t xml:space="preserve">亿吨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年化</t>
    </r>
  </si>
  <si>
    <r>
      <rPr>
        <sz val="9"/>
        <color rgb="FF000000"/>
        <rFont val="微软雅黑"/>
        <family val="2"/>
        <charset val="134"/>
      </rPr>
      <t xml:space="preserve">&gt;1.1</t>
    </r>
    <r>
      <rPr>
        <sz val="9"/>
        <color rgb="FF000000"/>
        <rFont val="Linux Libertine G"/>
        <family val="2"/>
      </rPr>
      <t xml:space="preserve">亿年化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,1.0-1.1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,0.9-1.0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,0.8-0.9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,&lt;0.8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</si>
  <si>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表观消费回升，需求端改善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</si>
  <si>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钢铁企业季度净利润</t>
    </r>
  </si>
  <si>
    <r>
      <rPr>
        <sz val="9"/>
        <color rgb="FF000000"/>
        <rFont val="微软雅黑"/>
        <family val="2"/>
        <charset val="134"/>
      </rPr>
      <t xml:space="preserve">&gt;50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,20-50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</si>
  <si>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扭亏为盈，利润端改善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</si>
  <si>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钢铁行业产能利用率</t>
    </r>
  </si>
  <si>
    <t xml:space="preserve">产能利用率回升，供需趋于平衡</t>
  </si>
  <si>
    <r>
      <rPr>
        <sz val="9"/>
        <color rgb="FF000000"/>
        <rFont val="微软雅黑"/>
        <family val="2"/>
        <charset val="134"/>
      </rPr>
      <t xml:space="preserve">11-PPI</t>
    </r>
    <r>
      <rPr>
        <sz val="9"/>
        <color rgb="FF000000"/>
        <rFont val="Linux Libertine G"/>
        <family val="2"/>
      </rPr>
      <t xml:space="preserve">黑色金属冶炼同比</t>
    </r>
  </si>
  <si>
    <r>
      <rPr>
        <sz val="9"/>
        <color rgb="FF000000"/>
        <rFont val="微软雅黑"/>
        <family val="2"/>
        <charset val="134"/>
      </rPr>
      <t xml:space="preserve">&gt;5%=10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,-5-0%=6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,&lt;-10%=2</t>
    </r>
    <r>
      <rPr>
        <sz val="9"/>
        <color rgb="FF000000"/>
        <rFont val="Linux Libertine G"/>
        <family val="2"/>
      </rPr>
      <t xml:space="preserve">分</t>
    </r>
  </si>
  <si>
    <t xml:space="preserve">行业景气度量化跟踪体系（参数优化版）— 有色金属</t>
  </si>
  <si>
    <r>
      <rPr>
        <b val="true"/>
        <sz val="9"/>
        <color rgb="FF000000"/>
        <rFont val="Linux Libertine G"/>
        <family val="2"/>
      </rPr>
      <t xml:space="preserve">默认阶段框架：资源品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宏观供需｜先行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=45%/40%/15%</t>
    </r>
    <r>
      <rPr>
        <b val="true"/>
        <sz val="9"/>
        <color rgb="FF000000"/>
        <rFont val="Linux Libertine G"/>
        <family val="2"/>
      </rPr>
      <t xml:space="preserve">。库存、加工费、美元和价格共同确认。｜核心验证：库存、供给约束与需求弹性；必选：库存、</t>
    </r>
    <r>
      <rPr>
        <b val="true"/>
        <sz val="9"/>
        <color rgb="FF000000"/>
        <rFont val="Linux Libertine G"/>
        <family val="2"/>
        <charset val="1"/>
      </rPr>
      <t xml:space="preserve">TC/RC</t>
    </r>
    <r>
      <rPr>
        <b val="true"/>
        <sz val="9"/>
        <color rgb="FF000000"/>
        <rFont val="Linux Libertine G"/>
        <family val="2"/>
      </rPr>
      <t xml:space="preserve">、美元、矿端扰动</t>
    </r>
  </si>
  <si>
    <r>
      <rPr>
        <sz val="9"/>
        <color rgb="FF000000"/>
        <rFont val="微软雅黑"/>
        <family val="2"/>
        <charset val="134"/>
      </rPr>
      <t xml:space="preserve">1-LME</t>
    </r>
    <r>
      <rPr>
        <sz val="9"/>
        <color rgb="FF000000"/>
        <rFont val="Linux Libertine G"/>
        <family val="2"/>
      </rPr>
      <t xml:space="preserve">铜库存变化</t>
    </r>
  </si>
  <si>
    <r>
      <rPr>
        <sz val="9"/>
        <color rgb="FF000000"/>
        <rFont val="微软雅黑"/>
        <family val="2"/>
        <charset val="134"/>
      </rPr>
      <t xml:space="preserve">&lt;-10%=10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,&gt;20%=2</t>
    </r>
    <r>
      <rPr>
        <sz val="9"/>
        <color rgb="FF000000"/>
        <rFont val="Linux Libertine G"/>
        <family val="2"/>
      </rPr>
      <t xml:space="preserve">分</t>
    </r>
  </si>
  <si>
    <t xml:space="preserve">全球库存去化，供给偏紧</t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</si>
  <si>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45%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</si>
  <si>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铜精矿</t>
    </r>
    <r>
      <rPr>
        <sz val="9"/>
        <color rgb="FF000000"/>
        <rFont val="微软雅黑"/>
        <family val="2"/>
        <charset val="134"/>
      </rPr>
      <t xml:space="preserve">TC/RC</t>
    </r>
  </si>
  <si>
    <r>
      <rPr>
        <sz val="9"/>
        <color rgb="FF000000"/>
        <rFont val="微软雅黑"/>
        <family val="2"/>
        <charset val="134"/>
      </rPr>
      <t xml:space="preserve">&gt;80=10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,40-60=6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,20-40=4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,&lt;20=2</t>
    </r>
    <r>
      <rPr>
        <sz val="9"/>
        <color rgb="FF000000"/>
        <rFont val="Linux Libertine G"/>
        <family val="2"/>
      </rPr>
      <t xml:space="preserve">分</t>
    </r>
  </si>
  <si>
    <t xml:space="preserve">15%</t>
  </si>
  <si>
    <t xml:space="preserve">加工费极低，铜矿供给紧张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</si>
  <si>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美元指数</t>
    </r>
  </si>
  <si>
    <r>
      <rPr>
        <sz val="9"/>
        <color rgb="FF000000"/>
        <rFont val="微软雅黑"/>
        <family val="2"/>
        <charset val="134"/>
      </rPr>
      <t xml:space="preserve">&lt;100=10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,100-103=8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,103-106=6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,106-110=4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,&gt;110=2</t>
    </r>
    <r>
      <rPr>
        <sz val="9"/>
        <color rgb="FF000000"/>
        <rFont val="Linux Libertine G"/>
        <family val="2"/>
      </rPr>
      <t xml:space="preserve">分</t>
    </r>
  </si>
  <si>
    <t xml:space="preserve">美元走弱，利好大宗商品定价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</si>
  <si>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全球矿山资本开支增速</t>
    </r>
  </si>
  <si>
    <t xml:space="preserve">资本开支增加，远期供给有望改善</t>
  </si>
  <si>
    <r>
      <rPr>
        <sz val="9"/>
        <color rgb="FF000000"/>
        <rFont val="微软雅黑"/>
        <family val="2"/>
        <charset val="134"/>
      </rPr>
      <t xml:space="preserve">5-LME</t>
    </r>
    <r>
      <rPr>
        <sz val="9"/>
        <color rgb="FF000000"/>
        <rFont val="Linux Libertine G"/>
        <family val="2"/>
      </rPr>
      <t xml:space="preserve">铜现货价格</t>
    </r>
  </si>
  <si>
    <r>
      <rPr>
        <sz val="9"/>
        <color rgb="FF000000"/>
        <rFont val="微软雅黑"/>
        <family val="2"/>
        <charset val="134"/>
      </rPr>
      <t xml:space="preserve">&gt;9500=10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,8500-9500=8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,7500-8500=6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,6500-7500=4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,&lt;6500=2</t>
    </r>
    <r>
      <rPr>
        <sz val="9"/>
        <color rgb="FF000000"/>
        <rFont val="Linux Libertine G"/>
        <family val="2"/>
      </rPr>
      <t xml:space="preserve">分</t>
    </r>
  </si>
  <si>
    <t xml:space="preserve">85%</t>
  </si>
  <si>
    <r>
      <rPr>
        <sz val="9"/>
        <color rgb="FF000000"/>
        <rFont val="Linux Libertine G"/>
        <family val="2"/>
      </rPr>
      <t xml:space="preserve">铜价处于历史高位，新能源</t>
    </r>
    <r>
      <rPr>
        <sz val="9"/>
        <color rgb="FF000000"/>
        <rFont val="Linux Libertine G"/>
        <family val="2"/>
        <charset val="1"/>
      </rPr>
      <t xml:space="preserve">+AI</t>
    </r>
    <r>
      <rPr>
        <sz val="9"/>
        <color rgb="FF000000"/>
        <rFont val="Linux Libertine G"/>
        <family val="2"/>
      </rPr>
      <t xml:space="preserve">需求强劲</t>
    </r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</si>
  <si>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40%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</si>
  <si>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铝现货价格</t>
    </r>
  </si>
  <si>
    <r>
      <rPr>
        <sz val="9"/>
        <color rgb="FF000000"/>
        <rFont val="微软雅黑"/>
        <family val="2"/>
        <charset val="134"/>
      </rPr>
      <t xml:space="preserve">&gt;20000=10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,18000-20000=8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,16000-18000=6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,14000-16000=4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,&lt;14000=2</t>
    </r>
    <r>
      <rPr>
        <sz val="9"/>
        <color rgb="FF000000"/>
        <rFont val="Linux Libertine G"/>
        <family val="2"/>
      </rPr>
      <t xml:space="preserve">分</t>
    </r>
  </si>
  <si>
    <t xml:space="preserve">铝价高位运行，氧化铝成本支撑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</si>
  <si>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有色金属冶炼加工费</t>
    </r>
  </si>
  <si>
    <r>
      <rPr>
        <sz val="9"/>
        <color rgb="FF000000"/>
        <rFont val="微软雅黑"/>
        <family val="2"/>
        <charset val="134"/>
      </rPr>
      <t xml:space="preserve">&gt;</t>
    </r>
    <r>
      <rPr>
        <sz val="9"/>
        <color rgb="FF000000"/>
        <rFont val="Linux Libertine G"/>
        <family val="2"/>
      </rPr>
      <t xml:space="preserve">均值</t>
    </r>
    <r>
      <rPr>
        <sz val="9"/>
        <color rgb="FF000000"/>
        <rFont val="微软雅黑"/>
        <family val="2"/>
        <charset val="134"/>
      </rPr>
      <t xml:space="preserve">20%=10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,-20--10%=4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,&lt;-20%=2</t>
    </r>
    <r>
      <rPr>
        <sz val="9"/>
        <color rgb="FF000000"/>
        <rFont val="Linux Libertine G"/>
        <family val="2"/>
      </rPr>
      <t xml:space="preserve">分</t>
    </r>
  </si>
  <si>
    <t xml:space="preserve">加工费改善，冶炼端利润修复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</si>
  <si>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中国有色金属消费量</t>
    </r>
  </si>
  <si>
    <r>
      <rPr>
        <sz val="9"/>
        <color rgb="FF000000"/>
        <rFont val="微软雅黑"/>
        <family val="2"/>
        <charset val="134"/>
      </rPr>
      <t xml:space="preserve">&gt;8%=10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,5-8%=8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</si>
  <si>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消费量稳健增长，新能源需求拉动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</si>
  <si>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有色企业季度净利润</t>
    </r>
  </si>
  <si>
    <r>
      <rPr>
        <sz val="9"/>
        <color rgb="FF000000"/>
        <rFont val="微软雅黑"/>
        <family val="2"/>
        <charset val="134"/>
      </rPr>
      <t xml:space="preserve">&gt;100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,50-100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,10-50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</si>
  <si>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72%</t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</si>
  <si>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业绩爆发，小金属板块净利增</t>
    </r>
    <r>
      <rPr>
        <sz val="9"/>
        <color rgb="FF000000"/>
        <rFont val="微软雅黑"/>
        <family val="2"/>
        <charset val="134"/>
      </rPr>
      <t xml:space="preserve">93%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</si>
  <si>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有色金属库存周转天数</t>
    </r>
  </si>
  <si>
    <r>
      <rPr>
        <sz val="9"/>
        <color rgb="FF000000"/>
        <rFont val="微软雅黑"/>
        <family val="2"/>
        <charset val="134"/>
      </rPr>
      <t xml:space="preserve">&lt;30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,45-60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,&gt;75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</si>
  <si>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库存周转加快，运营效率提升</t>
  </si>
  <si>
    <r>
      <rPr>
        <sz val="9"/>
        <color rgb="FF000000"/>
        <rFont val="微软雅黑"/>
        <family val="2"/>
        <charset val="134"/>
      </rPr>
      <t xml:space="preserve">11-PPI</t>
    </r>
    <r>
      <rPr>
        <sz val="9"/>
        <color rgb="FF000000"/>
        <rFont val="Linux Libertine G"/>
        <family val="2"/>
      </rPr>
      <t xml:space="preserve">有色金属冶炼同比</t>
    </r>
  </si>
  <si>
    <t xml:space="preserve">75%</t>
  </si>
  <si>
    <t xml:space="preserve">价格同比大涨，行业景气度高企</t>
  </si>
  <si>
    <t xml:space="preserve">行业景气度量化跟踪体系（参数优化版）— 电子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</si>
  <si>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。订单、库存和利用率优先；不同子行业拆分后再汇总。｜核心验证：库存去化与需求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产能利用率；必选：订单、库存周转、存储价格、终端出货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</si>
  <si>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全球半导体销售额增速</t>
    </r>
  </si>
  <si>
    <r>
      <rPr>
        <sz val="9"/>
        <color rgb="FF000000"/>
        <rFont val="微软雅黑"/>
        <family val="2"/>
        <charset val="134"/>
      </rPr>
      <t xml:space="preserve">&gt;20%=10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</si>
  <si>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半导体周期强劲复苏，</t>
    </r>
    <r>
      <rPr>
        <sz val="9"/>
        <color rgb="FF000000"/>
        <rFont val="Linux Libertine G"/>
        <family val="2"/>
        <charset val="1"/>
      </rPr>
      <t xml:space="preserve">AI</t>
    </r>
    <r>
      <rPr>
        <sz val="9"/>
        <color rgb="FF000000"/>
        <rFont val="Linux Libertine G"/>
        <family val="2"/>
      </rPr>
      <t xml:space="preserve">需求驱动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</si>
  <si>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存储芯片价格变化</t>
    </r>
  </si>
  <si>
    <r>
      <rPr>
        <sz val="9"/>
        <color rgb="FF000000"/>
        <rFont val="Linux Libertine G"/>
        <family val="2"/>
      </rPr>
      <t xml:space="preserve">涨价</t>
    </r>
    <r>
      <rPr>
        <sz val="9"/>
        <color rgb="FF000000"/>
        <rFont val="Linux Libertine G"/>
        <family val="2"/>
        <charset val="1"/>
      </rPr>
      <t xml:space="preserve">&gt;10%=10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涨价</t>
    </r>
    <r>
      <rPr>
        <sz val="9"/>
        <color rgb="FF000000"/>
        <rFont val="Linux Libertine G"/>
        <family val="2"/>
        <charset val="1"/>
      </rPr>
      <t xml:space="preserve">5-10%=8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持平</t>
    </r>
    <r>
      <rPr>
        <sz val="9"/>
        <color rgb="FF000000"/>
        <rFont val="Linux Libertine G"/>
        <family val="2"/>
        <charset val="1"/>
      </rPr>
      <t xml:space="preserve">=5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跌价</t>
    </r>
    <r>
      <rPr>
        <sz val="9"/>
        <color rgb="FF000000"/>
        <rFont val="Linux Libertine G"/>
        <family val="2"/>
        <charset val="1"/>
      </rPr>
      <t xml:space="preserve">5-10%=3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跌价</t>
    </r>
    <r>
      <rPr>
        <sz val="9"/>
        <color rgb="FF000000"/>
        <rFont val="Linux Libertine G"/>
        <family val="2"/>
        <charset val="1"/>
      </rPr>
      <t xml:space="preserve">&gt;10%=1</t>
    </r>
    <r>
      <rPr>
        <sz val="9"/>
        <color rgb="FF000000"/>
        <rFont val="Linux Libertine G"/>
        <family val="2"/>
      </rPr>
      <t xml:space="preserve">分</t>
    </r>
  </si>
  <si>
    <t xml:space="preserve">82%</t>
  </si>
  <si>
    <r>
      <rPr>
        <sz val="9"/>
        <color rgb="FF000000"/>
        <rFont val="Linux Libertine G"/>
        <family val="2"/>
      </rPr>
      <t xml:space="preserve">存储超级周期，</t>
    </r>
    <r>
      <rPr>
        <sz val="9"/>
        <color rgb="FF000000"/>
        <rFont val="Linux Libertine G"/>
        <family val="2"/>
        <charset val="1"/>
      </rPr>
      <t xml:space="preserve">HBM</t>
    </r>
    <r>
      <rPr>
        <sz val="9"/>
        <color rgb="FF000000"/>
        <rFont val="Linux Libertine G"/>
        <family val="2"/>
      </rPr>
      <t xml:space="preserve">需求爆发</t>
    </r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</si>
  <si>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硅片出货量增速</t>
    </r>
  </si>
  <si>
    <r>
      <rPr>
        <sz val="9"/>
        <color rgb="FF000000"/>
        <rFont val="微软雅黑"/>
        <family val="2"/>
        <charset val="134"/>
      </rPr>
      <t xml:space="preserve">&gt;30%=10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</si>
  <si>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68%</t>
  </si>
  <si>
    <t xml:space="preserve">硅片需求回暖，晶圆厂扩产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</si>
  <si>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设备商订单增速</t>
    </r>
  </si>
  <si>
    <r>
      <rPr>
        <sz val="9"/>
        <color rgb="FF000000"/>
        <rFont val="Linux Libertine G"/>
        <family val="2"/>
      </rPr>
      <t xml:space="preserve">应用材料</t>
    </r>
    <r>
      <rPr>
        <sz val="9"/>
        <color rgb="FF000000"/>
        <rFont val="Linux Libertine G"/>
        <family val="2"/>
        <charset val="1"/>
      </rPr>
      <t xml:space="preserve">/ASML</t>
    </r>
    <r>
      <rPr>
        <sz val="9"/>
        <color rgb="FF000000"/>
        <rFont val="Linux Libertine G"/>
        <family val="2"/>
      </rPr>
      <t xml:space="preserve">财报</t>
    </r>
  </si>
  <si>
    <r>
      <rPr>
        <sz val="9"/>
        <color rgb="FF000000"/>
        <rFont val="微软雅黑"/>
        <family val="2"/>
        <charset val="134"/>
      </rPr>
      <t xml:space="preserve">&gt;40%=10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,20-40%=8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</si>
  <si>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设备订单高增，扩产周期确认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</si>
  <si>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下游客户库存周转天数</t>
    </r>
  </si>
  <si>
    <t xml:space="preserve">去库完成</t>
  </si>
  <si>
    <r>
      <rPr>
        <sz val="9"/>
        <color rgb="FF000000"/>
        <rFont val="Linux Libertine G"/>
        <family val="2"/>
      </rPr>
      <t xml:space="preserve">去库完成</t>
    </r>
    <r>
      <rPr>
        <sz val="9"/>
        <color rgb="FF000000"/>
        <rFont val="Linux Libertine G"/>
        <family val="2"/>
        <charset val="1"/>
      </rPr>
      <t xml:space="preserve">&lt;60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Linux Libertine G"/>
        <family val="2"/>
        <charset val="1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去库中</t>
    </r>
    <r>
      <rPr>
        <sz val="9"/>
        <color rgb="FF000000"/>
        <rFont val="Linux Libertine G"/>
        <family val="2"/>
        <charset val="1"/>
      </rPr>
      <t xml:space="preserve">60-80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Linux Libertine G"/>
        <family val="2"/>
        <charset val="1"/>
      </rPr>
      <t xml:space="preserve">=7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高位</t>
    </r>
    <r>
      <rPr>
        <sz val="9"/>
        <color rgb="FF000000"/>
        <rFont val="Linux Libertine G"/>
        <family val="2"/>
        <charset val="1"/>
      </rPr>
      <t xml:space="preserve">80-100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Linux Libertine G"/>
        <family val="2"/>
        <charset val="1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补库初期</t>
    </r>
    <r>
      <rPr>
        <sz val="9"/>
        <color rgb="FF000000"/>
        <rFont val="Linux Libertine G"/>
        <family val="2"/>
        <charset val="1"/>
      </rPr>
      <t xml:space="preserve">100-120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Linux Libertine G"/>
        <family val="2"/>
        <charset val="1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补库后期</t>
    </r>
    <r>
      <rPr>
        <sz val="9"/>
        <color rgb="FF000000"/>
        <rFont val="Linux Libertine G"/>
        <family val="2"/>
        <charset val="1"/>
      </rPr>
      <t xml:space="preserve">&gt;120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Linux Libertine G"/>
        <family val="2"/>
        <charset val="1"/>
      </rPr>
      <t xml:space="preserve">=3</t>
    </r>
    <r>
      <rPr>
        <sz val="9"/>
        <color rgb="FF000000"/>
        <rFont val="Linux Libertine G"/>
        <family val="2"/>
      </rPr>
      <t xml:space="preserve">分</t>
    </r>
  </si>
  <si>
    <t xml:space="preserve">库存去化完成，补库周期即将启动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</si>
  <si>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晶圆厂产能利用率</t>
    </r>
  </si>
  <si>
    <r>
      <rPr>
        <sz val="9"/>
        <color rgb="FF000000"/>
        <rFont val="Linux Libertine G"/>
        <family val="2"/>
      </rPr>
      <t xml:space="preserve">台积电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中芯国际</t>
    </r>
  </si>
  <si>
    <r>
      <rPr>
        <sz val="9"/>
        <color rgb="FF000000"/>
        <rFont val="微软雅黑"/>
        <family val="2"/>
        <charset val="134"/>
      </rPr>
      <t xml:space="preserve">&gt;90%=10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,80-90%=8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,70-80%=6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,&lt;60%=2</t>
    </r>
    <r>
      <rPr>
        <sz val="9"/>
        <color rgb="FF000000"/>
        <rFont val="Linux Libertine G"/>
        <family val="2"/>
      </rPr>
      <t xml:space="preserve">分</t>
    </r>
  </si>
  <si>
    <t xml:space="preserve">产能利用率高位，供需偏紧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</si>
  <si>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智能手机出货量增速</t>
    </r>
  </si>
  <si>
    <r>
      <rPr>
        <sz val="9"/>
        <color rgb="FF000000"/>
        <rFont val="Linux Libertine G"/>
        <family val="2"/>
      </rPr>
      <t xml:space="preserve">手机出货回暖，</t>
    </r>
    <r>
      <rPr>
        <sz val="9"/>
        <color rgb="FF000000"/>
        <rFont val="Linux Libertine G"/>
        <family val="2"/>
        <charset val="1"/>
      </rPr>
      <t xml:space="preserve">AI</t>
    </r>
    <r>
      <rPr>
        <sz val="9"/>
        <color rgb="FF000000"/>
        <rFont val="Linux Libertine G"/>
        <family val="2"/>
      </rPr>
      <t xml:space="preserve">手机换机潮</t>
    </r>
  </si>
  <si>
    <r>
      <rPr>
        <sz val="9"/>
        <color rgb="FF000000"/>
        <rFont val="微软雅黑"/>
        <family val="2"/>
        <charset val="134"/>
      </rPr>
      <t xml:space="preserve">8-PC</t>
    </r>
    <r>
      <rPr>
        <sz val="9"/>
        <color rgb="FF000000"/>
        <rFont val="Linux Libertine G"/>
        <family val="2"/>
      </rPr>
      <t xml:space="preserve">出货量增速</t>
    </r>
  </si>
  <si>
    <r>
      <rPr>
        <sz val="9"/>
        <color rgb="FF000000"/>
        <rFont val="微软雅黑"/>
        <family val="2"/>
        <charset val="134"/>
      </rPr>
      <t xml:space="preserve">PC</t>
    </r>
    <r>
      <rPr>
        <sz val="9"/>
        <color rgb="FF000000"/>
        <rFont val="Linux Libertine G"/>
        <family val="2"/>
      </rPr>
      <t xml:space="preserve">出货温和复苏，</t>
    </r>
    <r>
      <rPr>
        <sz val="9"/>
        <color rgb="FF000000"/>
        <rFont val="微软雅黑"/>
        <family val="2"/>
        <charset val="134"/>
      </rPr>
      <t xml:space="preserve">AI PC</t>
    </r>
    <r>
      <rPr>
        <sz val="9"/>
        <color rgb="FF000000"/>
        <rFont val="Linux Libertine G"/>
        <family val="2"/>
      </rPr>
      <t xml:space="preserve">渗透</t>
    </r>
  </si>
  <si>
    <r>
      <rPr>
        <sz val="9"/>
        <color rgb="FF000000"/>
        <rFont val="微软雅黑"/>
        <family val="2"/>
        <charset val="134"/>
      </rPr>
      <t xml:space="preserve">9-MLCC</t>
    </r>
    <r>
      <rPr>
        <sz val="9"/>
        <color rgb="FF000000"/>
        <rFont val="Linux Libertine G"/>
        <family val="2"/>
      </rPr>
      <t xml:space="preserve">出货量</t>
    </r>
  </si>
  <si>
    <r>
      <rPr>
        <sz val="9"/>
        <color rgb="FF000000"/>
        <rFont val="Linux Libertine G"/>
        <family val="2"/>
      </rPr>
      <t xml:space="preserve">村田</t>
    </r>
    <r>
      <rPr>
        <sz val="9"/>
        <color rgb="FF000000"/>
        <rFont val="Linux Libertine G"/>
        <family val="2"/>
        <charset val="1"/>
      </rPr>
      <t xml:space="preserve">/TDK</t>
    </r>
  </si>
  <si>
    <r>
      <rPr>
        <sz val="9"/>
        <color rgb="FF000000"/>
        <rFont val="Linux Libertine G"/>
        <family val="2"/>
      </rPr>
      <t xml:space="preserve">亿颗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</si>
  <si>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&gt;500=10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,450-500=8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,400-450=6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,350-400=4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,&lt;350=2</t>
    </r>
    <r>
      <rPr>
        <sz val="9"/>
        <color rgb="FF000000"/>
        <rFont val="Linux Libertine G"/>
        <family val="2"/>
      </rPr>
      <t xml:space="preserve">分</t>
    </r>
  </si>
  <si>
    <t xml:space="preserve">被动元件出货回升，消费电子复苏</t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</si>
  <si>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电子企业季度毛利率</t>
    </r>
  </si>
  <si>
    <r>
      <rPr>
        <sz val="9"/>
        <color rgb="FF000000"/>
        <rFont val="微软雅黑"/>
        <family val="2"/>
        <charset val="134"/>
      </rPr>
      <t xml:space="preserve">&gt;30%=10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,25-30%=8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,20-25%=6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,&lt;15%=2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</si>
  <si>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毛利率改善，产品结构优化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</si>
  <si>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电子行业固定资产投资增速</t>
    </r>
  </si>
  <si>
    <t xml:space="preserve">投资高增，产能扩张积极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</si>
  <si>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电子元器件进口金额增速</t>
    </r>
  </si>
  <si>
    <t xml:space="preserve">进口高增，国内需求旺盛</t>
  </si>
  <si>
    <t xml:space="preserve">行业景气度量化跟踪体系（参数优化版）— 家用电器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</si>
  <si>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利润交叉确认，使用季调数据。｜核心验证：更新需求、出口和产品结构；必选：地产竣工、海外订单、排产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</si>
  <si>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房地产竣工面积增速</t>
    </r>
  </si>
  <si>
    <t xml:space="preserve">25%</t>
  </si>
  <si>
    <t xml:space="preserve">竣工下滑，后周期需求承压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</si>
  <si>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商品房销售面积增速</t>
    </r>
  </si>
  <si>
    <t xml:space="preserve">销售低迷，新增需求不足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</si>
  <si>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铜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钢等原材料价格</t>
    </r>
  </si>
  <si>
    <r>
      <rPr>
        <sz val="9"/>
        <color rgb="FF000000"/>
        <rFont val="微软雅黑"/>
        <family val="2"/>
        <charset val="134"/>
      </rPr>
      <t xml:space="preserve">LME/</t>
    </r>
    <r>
      <rPr>
        <sz val="9"/>
        <color rgb="FF000000"/>
        <rFont val="Linux Libertine G"/>
        <family val="2"/>
      </rPr>
      <t xml:space="preserve">上海期货</t>
    </r>
  </si>
  <si>
    <t xml:space="preserve">原材料成本下降，利润端改善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</si>
  <si>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家电企业排产计划</t>
    </r>
  </si>
  <si>
    <t xml:space="preserve">排产温和增长，出口订单支撑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</si>
  <si>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空调销量增速</t>
    </r>
  </si>
  <si>
    <t xml:space="preserve">空调销售旺季，出口强劲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</si>
  <si>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冰箱销量增速</t>
    </r>
  </si>
  <si>
    <t xml:space="preserve">冰箱销售平稳，更新需求为主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</si>
  <si>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洗衣机销量增速</t>
    </r>
  </si>
  <si>
    <t xml:space="preserve">洗衣机销售温和增长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</si>
  <si>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家电出口金额增速</t>
    </r>
  </si>
  <si>
    <t xml:space="preserve">70%</t>
  </si>
  <si>
    <t xml:space="preserve">出口高增，海外需求旺盛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</si>
  <si>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家电企业季度净利润率</t>
    </r>
  </si>
  <si>
    <r>
      <rPr>
        <sz val="9"/>
        <color rgb="FF000000"/>
        <rFont val="微软雅黑"/>
        <family val="2"/>
        <charset val="134"/>
      </rPr>
      <t xml:space="preserve">&gt;10%=10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,4-7%=6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,1-4%=4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</si>
  <si>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净利率改善，成本红利释放</t>
    </r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</si>
  <si>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20%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</si>
  <si>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家电行业库存周转天数</t>
    </r>
  </si>
  <si>
    <r>
      <rPr>
        <sz val="9"/>
        <color rgb="FF000000"/>
        <rFont val="微软雅黑"/>
        <family val="2"/>
        <charset val="134"/>
      </rPr>
      <t xml:space="preserve">&lt;40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,&gt;70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</si>
  <si>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家电零售均价变化</t>
    </r>
  </si>
  <si>
    <t xml:space="preserve">均价温和上涨，产品结构升级</t>
  </si>
  <si>
    <t xml:space="preserve">行业景气度量化跟踪体系（参数优化版）— 食品饮料</t>
  </si>
  <si>
    <r>
      <rPr>
        <b val="true"/>
        <sz val="9"/>
        <color rgb="FF000000"/>
        <rFont val="Linux Libertine G"/>
        <family val="2"/>
      </rPr>
      <t xml:space="preserve">默认阶段框架：防御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成熟｜先行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=30%/45%/25%</t>
    </r>
    <r>
      <rPr>
        <b val="true"/>
        <sz val="9"/>
        <color rgb="FF000000"/>
        <rFont val="Linux Libertine G"/>
        <family val="2"/>
      </rPr>
      <t xml:space="preserve">。同步经营和现金流优先；先行指标只作边际变化确认。｜核心验证：动销、渠道与价格带；必选：经销商库存、终端动销、批价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</si>
  <si>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粮食价格变化</t>
    </r>
  </si>
  <si>
    <r>
      <rPr>
        <sz val="9"/>
        <color rgb="FF000000"/>
        <rFont val="微软雅黑"/>
        <family val="2"/>
        <charset val="134"/>
      </rPr>
      <t xml:space="preserve">&lt;3%=10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,5-8%=6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,&gt;10%=2</t>
    </r>
    <r>
      <rPr>
        <sz val="9"/>
        <color rgb="FF000000"/>
        <rFont val="Linux Libertine G"/>
        <family val="2"/>
      </rPr>
      <t xml:space="preserve">分</t>
    </r>
  </si>
  <si>
    <t xml:space="preserve">粮价温和上涨，成本端可控</t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</si>
  <si>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30%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</si>
  <si>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包材价格变化</t>
    </r>
  </si>
  <si>
    <t xml:space="preserve">包材成本下降，利润端改善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</si>
  <si>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消费者信心指数</t>
    </r>
  </si>
  <si>
    <t xml:space="preserve">信心指数低迷，消费意愿偏弱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</si>
  <si>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社会消费品零售总额增速</t>
    </r>
  </si>
  <si>
    <r>
      <rPr>
        <sz val="9"/>
        <color rgb="FF000000"/>
        <rFont val="微软雅黑"/>
        <family val="2"/>
        <charset val="134"/>
      </rPr>
      <t xml:space="preserve">&gt;8%=10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,5-8%=8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,0-3%=4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</si>
  <si>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社零温和增长，消费复苏缓慢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</si>
  <si>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白酒批价</t>
    </r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</si>
  <si>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瓶</t>
    </r>
  </si>
  <si>
    <r>
      <rPr>
        <sz val="9"/>
        <color rgb="FF000000"/>
        <rFont val="微软雅黑"/>
        <family val="2"/>
        <charset val="134"/>
      </rPr>
      <t xml:space="preserve">&gt;2800=10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,2500-2800=8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,2200-2500=6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,2000-2200=4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,&lt;2000=2</t>
    </r>
    <r>
      <rPr>
        <sz val="9"/>
        <color rgb="FF000000"/>
        <rFont val="Linux Libertine G"/>
        <family val="2"/>
      </rPr>
      <t xml:space="preserve">分</t>
    </r>
  </si>
  <si>
    <t xml:space="preserve">茅台批价坚挺，高端酒需求稳定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</si>
  <si>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乳制品产量增速</t>
    </r>
  </si>
  <si>
    <r>
      <rPr>
        <sz val="9"/>
        <color rgb="FF000000"/>
        <rFont val="微软雅黑"/>
        <family val="2"/>
        <charset val="134"/>
      </rPr>
      <t xml:space="preserve">&gt;5%=10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,-3-0%=4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,&lt;-3%=2</t>
    </r>
    <r>
      <rPr>
        <sz val="9"/>
        <color rgb="FF000000"/>
        <rFont val="Linux Libertine G"/>
        <family val="2"/>
      </rPr>
      <t xml:space="preserve">分</t>
    </r>
  </si>
  <si>
    <t xml:space="preserve">乳制品产量温和增长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</si>
  <si>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啤酒产量增速</t>
    </r>
  </si>
  <si>
    <t xml:space="preserve">啤酒产量平稳，旺季来临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</si>
  <si>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调味品产量增速</t>
    </r>
  </si>
  <si>
    <t xml:space="preserve">调味品产量温和增长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</si>
  <si>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食品饮料企业季度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</si>
  <si>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&gt;20%=10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</si>
  <si>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 ROE</t>
    </r>
    <r>
      <rPr>
        <sz val="9"/>
        <color rgb="FF000000"/>
        <rFont val="Linux Libertine G"/>
        <family val="2"/>
      </rPr>
      <t xml:space="preserve">稳健，盈利能力维持高位</t>
    </r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</si>
  <si>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25%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</si>
  <si>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食品饮料行业毛利率</t>
    </r>
  </si>
  <si>
    <r>
      <rPr>
        <sz val="9"/>
        <color rgb="FF000000"/>
        <rFont val="微软雅黑"/>
        <family val="2"/>
        <charset val="134"/>
      </rPr>
      <t xml:space="preserve">&gt;50%=10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,&lt;20%=2</t>
    </r>
    <r>
      <rPr>
        <sz val="9"/>
        <color rgb="FF000000"/>
        <rFont val="Linux Libertine G"/>
        <family val="2"/>
      </rPr>
      <t xml:space="preserve">分</t>
    </r>
  </si>
  <si>
    <t xml:space="preserve">毛利率改善，成本红利释放</t>
  </si>
  <si>
    <r>
      <rPr>
        <sz val="9"/>
        <color rgb="FF000000"/>
        <rFont val="微软雅黑"/>
        <family val="2"/>
        <charset val="134"/>
      </rPr>
      <t xml:space="preserve">11-CPI</t>
    </r>
    <r>
      <rPr>
        <sz val="9"/>
        <color rgb="FF000000"/>
        <rFont val="Linux Libertine G"/>
        <family val="2"/>
      </rPr>
      <t xml:space="preserve">非食品项同比</t>
    </r>
  </si>
  <si>
    <r>
      <rPr>
        <sz val="9"/>
        <color rgb="FF000000"/>
        <rFont val="微软雅黑"/>
        <family val="2"/>
        <charset val="134"/>
      </rPr>
      <t xml:space="preserve">&gt;2%=10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,1-2%=8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,&lt;-1%=2</t>
    </r>
    <r>
      <rPr>
        <sz val="9"/>
        <color rgb="FF000000"/>
        <rFont val="Linux Libertine G"/>
        <family val="2"/>
      </rPr>
      <t xml:space="preserve">分</t>
    </r>
  </si>
  <si>
    <t xml:space="preserve">非食品通胀温和，终端价格稳定</t>
  </si>
  <si>
    <t xml:space="preserve">行业景气度量化跟踪体系（参数优化版）— 纺织服饰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</si>
  <si>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利润交叉确认，使用季调数据。｜核心验证：海外库存、订单与汇率；必选：海外零售库存、订单、汇率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</si>
  <si>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棉花价格变化</t>
    </r>
  </si>
  <si>
    <r>
      <rPr>
        <sz val="9"/>
        <color rgb="FF000000"/>
        <rFont val="Linux Libertine G"/>
        <family val="2"/>
      </rPr>
      <t xml:space="preserve">郑商所</t>
    </r>
    <r>
      <rPr>
        <sz val="9"/>
        <color rgb="FF000000"/>
        <rFont val="Linux Libertine G"/>
        <family val="2"/>
        <charset val="1"/>
      </rPr>
      <t xml:space="preserve">/ICE</t>
    </r>
  </si>
  <si>
    <t xml:space="preserve">棉价回落，纺企成本压力缓解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</si>
  <si>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化纤价格变化</t>
    </r>
  </si>
  <si>
    <t xml:space="preserve">化纤价格下行，成本端改善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</si>
  <si>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美国服装零售库存</t>
    </r>
  </si>
  <si>
    <t xml:space="preserve">海外去库顺利，订单有望回流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</si>
  <si>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人民币汇率</t>
    </r>
  </si>
  <si>
    <t xml:space="preserve">贬值</t>
  </si>
  <si>
    <r>
      <rPr>
        <sz val="9"/>
        <color rgb="FF000000"/>
        <rFont val="Linux Libertine G"/>
        <family val="2"/>
      </rPr>
      <t xml:space="preserve">升值</t>
    </r>
    <r>
      <rPr>
        <sz val="9"/>
        <color rgb="FF000000"/>
        <rFont val="Linux Libertine G"/>
        <family val="2"/>
        <charset val="1"/>
      </rPr>
      <t xml:space="preserve">&gt;3%=10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升值</t>
    </r>
    <r>
      <rPr>
        <sz val="9"/>
        <color rgb="FF000000"/>
        <rFont val="Linux Libertine G"/>
        <family val="2"/>
        <charset val="1"/>
      </rPr>
      <t xml:space="preserve">0-3%=8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持平</t>
    </r>
    <r>
      <rPr>
        <sz val="9"/>
        <color rgb="FF000000"/>
        <rFont val="Linux Libertine G"/>
        <family val="2"/>
        <charset val="1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贬值</t>
    </r>
    <r>
      <rPr>
        <sz val="9"/>
        <color rgb="FF000000"/>
        <rFont val="Linux Libertine G"/>
        <family val="2"/>
        <charset val="1"/>
      </rPr>
      <t xml:space="preserve">0-3%=4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贬值</t>
    </r>
    <r>
      <rPr>
        <sz val="9"/>
        <color rgb="FF000000"/>
        <rFont val="Linux Libertine G"/>
        <family val="2"/>
        <charset val="1"/>
      </rPr>
      <t xml:space="preserve">&gt;3%=2</t>
    </r>
    <r>
      <rPr>
        <sz val="9"/>
        <color rgb="FF000000"/>
        <rFont val="Linux Libertine G"/>
        <family val="2"/>
      </rPr>
      <t xml:space="preserve">分</t>
    </r>
  </si>
  <si>
    <t xml:space="preserve">汇率小幅贬值，利好出口竞争力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</si>
  <si>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纺织品出口金额增速</t>
    </r>
  </si>
  <si>
    <t xml:space="preserve">纺织品出口回暖，外需改善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</si>
  <si>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服装出口金额增速</t>
    </r>
  </si>
  <si>
    <t xml:space="preserve">服装出口温和增长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</si>
  <si>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柯桥纺织价格指数</t>
    </r>
  </si>
  <si>
    <r>
      <rPr>
        <sz val="9"/>
        <color rgb="FF000000"/>
        <rFont val="微软雅黑"/>
        <family val="2"/>
        <charset val="134"/>
      </rPr>
      <t xml:space="preserve">&gt;105=10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,102-105=8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,100-102=6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,98-100=4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,&lt;98=2</t>
    </r>
    <r>
      <rPr>
        <sz val="9"/>
        <color rgb="FF000000"/>
        <rFont val="Linux Libertine G"/>
        <family val="2"/>
      </rPr>
      <t xml:space="preserve">分</t>
    </r>
  </si>
  <si>
    <t xml:space="preserve">价格指数温和回升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</si>
  <si>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纺服企业开工率</t>
    </r>
  </si>
  <si>
    <t xml:space="preserve">开工率回升，订单边际改善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</si>
  <si>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纺服企业季度净利润率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</si>
  <si>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利润率改善，成本红利释放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</si>
  <si>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纺服行业库存周转天数</t>
    </r>
  </si>
  <si>
    <r>
      <rPr>
        <sz val="9"/>
        <color rgb="FF000000"/>
        <rFont val="微软雅黑"/>
        <family val="2"/>
        <charset val="134"/>
      </rPr>
      <t xml:space="preserve">&lt;60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,75-90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,90-105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,&gt;105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</si>
  <si>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社会消费品零售</t>
    </r>
    <r>
      <rPr>
        <sz val="9"/>
        <color rgb="FF000000"/>
        <rFont val="微软雅黑"/>
        <family val="2"/>
        <charset val="134"/>
      </rPr>
      <t xml:space="preserve">-</t>
    </r>
    <r>
      <rPr>
        <sz val="9"/>
        <color rgb="FF000000"/>
        <rFont val="Linux Libertine G"/>
        <family val="2"/>
      </rPr>
      <t xml:space="preserve">服装类</t>
    </r>
  </si>
  <si>
    <t xml:space="preserve">服装零售温和增长</t>
  </si>
  <si>
    <t xml:space="preserve">行业景气度量化跟踪体系（参数优化版）— 轻工制造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</si>
  <si>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利润交叉确认，使用季调数据。｜核心验证：地产后周期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出口与价差；必选：竣工、海外地产、原料与产品价差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</si>
  <si>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纸浆价格变化</t>
    </r>
  </si>
  <si>
    <r>
      <rPr>
        <sz val="9"/>
        <color rgb="FF000000"/>
        <rFont val="Linux Libertine G"/>
        <family val="2"/>
      </rPr>
      <t xml:space="preserve">针叶浆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阔叶浆</t>
    </r>
  </si>
  <si>
    <t xml:space="preserve">纸浆价格回落，造纸成本改善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</si>
  <si>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木材价格变化</t>
    </r>
  </si>
  <si>
    <t xml:space="preserve">木材价格下行，家具成本下降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</si>
  <si>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房地产竣工面积增速</t>
    </r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</si>
  <si>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美国新房销售</t>
    </r>
  </si>
  <si>
    <t xml:space="preserve">美国房市回暖，出口订单有望改善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</si>
  <si>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瓦楞纸价格</t>
    </r>
  </si>
  <si>
    <r>
      <rPr>
        <sz val="9"/>
        <color rgb="FF000000"/>
        <rFont val="微软雅黑"/>
        <family val="2"/>
        <charset val="134"/>
      </rPr>
      <t xml:space="preserve">&gt;3500=10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,3200-3500=8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,2900-3200=6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,2600-2900=4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,&lt;2600=2</t>
    </r>
    <r>
      <rPr>
        <sz val="9"/>
        <color rgb="FF000000"/>
        <rFont val="Linux Libertine G"/>
        <family val="2"/>
      </rPr>
      <t xml:space="preserve">分</t>
    </r>
  </si>
  <si>
    <t xml:space="preserve">32%</t>
  </si>
  <si>
    <t xml:space="preserve">瓦楞纸价格低迷，包装需求偏弱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</si>
  <si>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双胶纸价格</t>
    </r>
  </si>
  <si>
    <r>
      <rPr>
        <sz val="9"/>
        <color rgb="FF000000"/>
        <rFont val="微软雅黑"/>
        <family val="2"/>
        <charset val="134"/>
      </rPr>
      <t xml:space="preserve">&gt;6000=10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,5500-6000=8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,5000-5500=6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,4500-5000=4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,&lt;4500=2</t>
    </r>
    <r>
      <rPr>
        <sz val="9"/>
        <color rgb="FF000000"/>
        <rFont val="Linux Libertine G"/>
        <family val="2"/>
      </rPr>
      <t xml:space="preserve">分</t>
    </r>
  </si>
  <si>
    <t xml:space="preserve">文化纸价格承压，出版需求平淡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</si>
  <si>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家具零售额增速</t>
    </r>
  </si>
  <si>
    <t xml:space="preserve">家具零售温和增长，更新需求为主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</si>
  <si>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造纸企业开工率</t>
    </r>
  </si>
  <si>
    <t xml:space="preserve">开工率回升，供需边际改善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</si>
  <si>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轻工企业季度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</si>
  <si>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Q1 ROE</t>
    </r>
    <r>
      <rPr>
        <sz val="9"/>
        <color rgb="FF000000"/>
        <rFont val="Linux Libertine G"/>
        <family val="2"/>
      </rPr>
      <t xml:space="preserve">改善，盈利能力修复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</si>
  <si>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轻工行业库存周转天数</t>
    </r>
  </si>
  <si>
    <r>
      <rPr>
        <sz val="9"/>
        <color rgb="FF000000"/>
        <rFont val="微软雅黑"/>
        <family val="2"/>
        <charset val="134"/>
      </rPr>
      <t xml:space="preserve">&lt;50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,65-80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,80-95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,&gt;95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</si>
  <si>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轻工行业固定资产投资</t>
    </r>
  </si>
  <si>
    <t xml:space="preserve">投资温和增长，产能扩张谨慎</t>
  </si>
  <si>
    <t xml:space="preserve">行业景气度量化跟踪体系（参数优化版）— 医药生物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</si>
  <si>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。订单、库存和利用率优先；不同子行业拆分后再汇总。｜核心验证：创新、诊疗与政策支付；必选：</t>
    </r>
    <r>
      <rPr>
        <b val="true"/>
        <sz val="9"/>
        <color rgb="FF000000"/>
        <rFont val="Linux Libertine G"/>
        <family val="2"/>
        <charset val="1"/>
      </rPr>
      <t xml:space="preserve">IND/</t>
    </r>
    <r>
      <rPr>
        <b val="true"/>
        <sz val="9"/>
        <color rgb="FF000000"/>
        <rFont val="Linux Libertine G"/>
        <family val="2"/>
      </rPr>
      <t xml:space="preserve">注册、医保政策、研发融资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</si>
  <si>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创新药</t>
    </r>
    <r>
      <rPr>
        <sz val="9"/>
        <color rgb="FF000000"/>
        <rFont val="微软雅黑"/>
        <family val="2"/>
        <charset val="134"/>
      </rPr>
      <t xml:space="preserve">IND</t>
    </r>
    <r>
      <rPr>
        <sz val="9"/>
        <color rgb="FF000000"/>
        <rFont val="Linux Libertine G"/>
        <family val="2"/>
      </rPr>
      <t xml:space="preserve">数量</t>
    </r>
  </si>
  <si>
    <r>
      <rPr>
        <sz val="9"/>
        <color rgb="FF000000"/>
        <rFont val="Linux Libertine G"/>
        <family val="2"/>
      </rPr>
      <t xml:space="preserve">个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</si>
  <si>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&gt;200=10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,150-200=8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,100-150=6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,50-100=4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,&lt;50=2</t>
    </r>
    <r>
      <rPr>
        <sz val="9"/>
        <color rgb="FF000000"/>
        <rFont val="Linux Libertine G"/>
        <family val="2"/>
      </rPr>
      <t xml:space="preserve">分</t>
    </r>
  </si>
  <si>
    <t xml:space="preserve">创新药申报活跃，研发管线丰富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</si>
  <si>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医保谈判降价幅度</t>
    </r>
  </si>
  <si>
    <t xml:space="preserve">温和</t>
  </si>
  <si>
    <r>
      <rPr>
        <sz val="9"/>
        <color rgb="FF000000"/>
        <rFont val="微软雅黑"/>
        <family val="2"/>
        <charset val="134"/>
      </rPr>
      <t xml:space="preserve">&lt;40%=10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,&gt;70%=2</t>
    </r>
    <r>
      <rPr>
        <sz val="9"/>
        <color rgb="FF000000"/>
        <rFont val="Linux Libertine G"/>
        <family val="2"/>
      </rPr>
      <t xml:space="preserve">分</t>
    </r>
  </si>
  <si>
    <t xml:space="preserve">降价幅度可控，创新药定价环境改善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</si>
  <si>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原料药价格变化</t>
    </r>
  </si>
  <si>
    <t xml:space="preserve">原料药价格回落，制剂成本改善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</si>
  <si>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全球生物医药融资额</t>
    </r>
  </si>
  <si>
    <r>
      <rPr>
        <sz val="9"/>
        <color rgb="FF000000"/>
        <rFont val="微软雅黑"/>
        <family val="2"/>
        <charset val="134"/>
      </rPr>
      <t xml:space="preserve">&gt;20%=10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,&lt;-10%=2</t>
    </r>
    <r>
      <rPr>
        <sz val="9"/>
        <color rgb="FF000000"/>
        <rFont val="Linux Libertine G"/>
        <family val="2"/>
      </rPr>
      <t xml:space="preserve">分</t>
    </r>
  </si>
  <si>
    <t xml:space="preserve">融资回暖，创新药估值修复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</si>
  <si>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医药制造业收入增速</t>
    </r>
  </si>
  <si>
    <t xml:space="preserve">制造业收入稳健增长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</si>
  <si>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化学药品原药产量</t>
    </r>
  </si>
  <si>
    <t xml:space="preserve">原料药产量温和增长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</si>
  <si>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医疗器械出口增速</t>
    </r>
  </si>
  <si>
    <t xml:space="preserve">器械出口强劲，海外需求旺盛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</si>
  <si>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医院诊疗人次增速</t>
    </r>
  </si>
  <si>
    <t xml:space="preserve">诊疗人次恢复，院内需求回暖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</si>
  <si>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医药企业季度毛利率</t>
    </r>
  </si>
  <si>
    <r>
      <rPr>
        <sz val="9"/>
        <color rgb="FF000000"/>
        <rFont val="微软雅黑"/>
        <family val="2"/>
        <charset val="134"/>
      </rPr>
      <t xml:space="preserve">&gt;60%=10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,&lt;30%=2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</si>
  <si>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毛利率稳健，产品结构优化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</si>
  <si>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医药企业研发费用率</t>
    </r>
  </si>
  <si>
    <r>
      <rPr>
        <sz val="9"/>
        <color rgb="FF000000"/>
        <rFont val="微软雅黑"/>
        <family val="2"/>
        <charset val="134"/>
      </rPr>
      <t xml:space="preserve">&gt;15%=10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,&lt;2%=2</t>
    </r>
    <r>
      <rPr>
        <sz val="9"/>
        <color rgb="FF000000"/>
        <rFont val="Linux Libertine G"/>
        <family val="2"/>
      </rPr>
      <t xml:space="preserve">分</t>
    </r>
  </si>
  <si>
    <t xml:space="preserve">研发投入维持高位，创新转型加速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</si>
  <si>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医药制造业利润增速</t>
    </r>
  </si>
  <si>
    <t xml:space="preserve">利润增速回升，盈利能力改善</t>
  </si>
  <si>
    <t xml:space="preserve">行业景气度量化跟踪体系（参数优化版）— 公用事业</t>
  </si>
  <si>
    <r>
      <rPr>
        <b val="true"/>
        <sz val="9"/>
        <color rgb="FF000000"/>
        <rFont val="Linux Libertine G"/>
        <family val="2"/>
      </rPr>
      <t xml:space="preserve">默认阶段框架：防御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成熟｜先行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=30%/45%/25%</t>
    </r>
    <r>
      <rPr>
        <b val="true"/>
        <sz val="9"/>
        <color rgb="FF000000"/>
        <rFont val="Linux Libertine G"/>
        <family val="2"/>
      </rPr>
      <t xml:space="preserve">。同步经营和现金流优先；先行指标只作边际变化确认。｜核心验证：利用小时、燃料传导与资本回报；必选：来水、燃料、电价机制、装机进度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</si>
  <si>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动力煤价格变化</t>
    </r>
  </si>
  <si>
    <t xml:space="preserve">28%</t>
  </si>
  <si>
    <t xml:space="preserve">煤价大幅回落，火电成本显著改善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</si>
  <si>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天然气进口价格</t>
    </r>
  </si>
  <si>
    <t xml:space="preserve">气价回落，燃气发电成本下降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</si>
  <si>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来水情况</t>
    </r>
    <r>
      <rPr>
        <sz val="9"/>
        <color rgb="FF000000"/>
        <rFont val="微软雅黑"/>
        <family val="2"/>
        <charset val="134"/>
      </rPr>
      <t xml:space="preserve">(</t>
    </r>
    <r>
      <rPr>
        <sz val="9"/>
        <color rgb="FF000000"/>
        <rFont val="Linux Libertine G"/>
        <family val="2"/>
      </rPr>
      <t xml:space="preserve">三峡出库流量</t>
    </r>
    <r>
      <rPr>
        <sz val="9"/>
        <color rgb="FF000000"/>
        <rFont val="微软雅黑"/>
        <family val="2"/>
        <charset val="134"/>
      </rPr>
      <t xml:space="preserve">)</t>
    </r>
  </si>
  <si>
    <t xml:space="preserve">充沛</t>
  </si>
  <si>
    <r>
      <rPr>
        <sz val="9"/>
        <color rgb="FF000000"/>
        <rFont val="微软雅黑"/>
        <family val="2"/>
        <charset val="134"/>
      </rPr>
      <t xml:space="preserve">&gt;20000=10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,15000-20000=8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,10000-15000=6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,5000-10000=4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,&lt;5000=2</t>
    </r>
    <r>
      <rPr>
        <sz val="9"/>
        <color rgb="FF000000"/>
        <rFont val="Linux Libertine G"/>
        <family val="2"/>
      </rPr>
      <t xml:space="preserve">分</t>
    </r>
  </si>
  <si>
    <t xml:space="preserve">来水充沛，水电出力提升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</si>
  <si>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新能源装机规划</t>
    </r>
  </si>
  <si>
    <t xml:space="preserve">高增</t>
  </si>
  <si>
    <r>
      <rPr>
        <sz val="9"/>
        <color rgb="FF000000"/>
        <rFont val="微软雅黑"/>
        <family val="2"/>
        <charset val="134"/>
      </rPr>
      <t xml:space="preserve">&gt;100=10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,70-100=8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,50-70=6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,30-50%=4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,&lt;30=2</t>
    </r>
    <r>
      <rPr>
        <sz val="9"/>
        <color rgb="FF000000"/>
        <rFont val="Linux Libertine G"/>
        <family val="2"/>
      </rPr>
      <t xml:space="preserve">分</t>
    </r>
  </si>
  <si>
    <t xml:space="preserve">新能源装机规划创新高，绿电转型加速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</si>
  <si>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全社会用电量增速</t>
    </r>
  </si>
  <si>
    <t xml:space="preserve">用电量稳健增长，经济活力回升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</si>
  <si>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火电利用小时数</t>
    </r>
  </si>
  <si>
    <r>
      <rPr>
        <sz val="9"/>
        <color rgb="FF000000"/>
        <rFont val="Linux Libertine G"/>
        <family val="2"/>
      </rPr>
      <t xml:space="preserve">小时</t>
    </r>
    <r>
      <rPr>
        <sz val="9"/>
        <color rgb="FF000000"/>
        <rFont val="Linux Libertine G"/>
        <family val="2"/>
        <charset val="1"/>
      </rPr>
      <t xml:space="preserve">(</t>
    </r>
    <r>
      <rPr>
        <sz val="9"/>
        <color rgb="FF000000"/>
        <rFont val="Linux Libertine G"/>
        <family val="2"/>
      </rPr>
      <t xml:space="preserve">累计</t>
    </r>
    <r>
      <rPr>
        <sz val="9"/>
        <color rgb="FF000000"/>
        <rFont val="Linux Libertine G"/>
        <family val="2"/>
        <charset val="1"/>
      </rPr>
      <t xml:space="preserve">)</t>
    </r>
  </si>
  <si>
    <r>
      <rPr>
        <sz val="9"/>
        <color rgb="FF000000"/>
        <rFont val="微软雅黑"/>
        <family val="2"/>
        <charset val="134"/>
      </rPr>
      <t xml:space="preserve">&gt;4200</t>
    </r>
    <r>
      <rPr>
        <sz val="9"/>
        <color rgb="FF000000"/>
        <rFont val="Linux Libertine G"/>
        <family val="2"/>
      </rPr>
      <t xml:space="preserve">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,4000-4200=8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,3800-4000=6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,3600-3800=4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,&lt;3600=2</t>
    </r>
    <r>
      <rPr>
        <sz val="9"/>
        <color rgb="FF000000"/>
        <rFont val="Linux Libertine G"/>
        <family val="2"/>
      </rPr>
      <t xml:space="preserve">分</t>
    </r>
  </si>
  <si>
    <t xml:space="preserve">火电利用小时回升，煤电需求改善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</si>
  <si>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水电利用小时数</t>
    </r>
  </si>
  <si>
    <r>
      <rPr>
        <sz val="9"/>
        <color rgb="FF000000"/>
        <rFont val="微软雅黑"/>
        <family val="2"/>
        <charset val="134"/>
      </rPr>
      <t xml:space="preserve">&gt;3800</t>
    </r>
    <r>
      <rPr>
        <sz val="9"/>
        <color rgb="FF000000"/>
        <rFont val="Linux Libertine G"/>
        <family val="2"/>
      </rPr>
      <t xml:space="preserve">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,3500-3800=8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,3200-3500=6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,2900-3200=4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,&lt;2900=2</t>
    </r>
    <r>
      <rPr>
        <sz val="9"/>
        <color rgb="FF000000"/>
        <rFont val="Linux Libertine G"/>
        <family val="2"/>
      </rPr>
      <t xml:space="preserve">分</t>
    </r>
  </si>
  <si>
    <t xml:space="preserve">水电利用小时高增，来水偏丰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</si>
  <si>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风电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光伏利用小时数</t>
    </r>
  </si>
  <si>
    <r>
      <rPr>
        <sz val="9"/>
        <color rgb="FF000000"/>
        <rFont val="微软雅黑"/>
        <family val="2"/>
        <charset val="134"/>
      </rPr>
      <t xml:space="preserve">&gt;</t>
    </r>
    <r>
      <rPr>
        <sz val="9"/>
        <color rgb="FF000000"/>
        <rFont val="Linux Libertine G"/>
        <family val="2"/>
      </rPr>
      <t xml:space="preserve">均值</t>
    </r>
    <r>
      <rPr>
        <sz val="9"/>
        <color rgb="FF000000"/>
        <rFont val="微软雅黑"/>
        <family val="2"/>
        <charset val="134"/>
      </rPr>
      <t xml:space="preserve">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,-20--10%=4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,&lt;-20%=2</t>
    </r>
    <r>
      <rPr>
        <sz val="9"/>
        <color rgb="FF000000"/>
        <rFont val="Linux Libertine G"/>
        <family val="2"/>
      </rPr>
      <t xml:space="preserve">分</t>
    </r>
  </si>
  <si>
    <t xml:space="preserve">新能源利用小时改善，消纳好转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</si>
  <si>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电力企业季度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</si>
  <si>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Q1 ROE</t>
    </r>
    <r>
      <rPr>
        <sz val="9"/>
        <color rgb="FF000000"/>
        <rFont val="Linux Libertine G"/>
        <family val="2"/>
      </rPr>
      <t xml:space="preserve">改善，煤价红利释放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</si>
  <si>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电力行业资产负债率</t>
    </r>
  </si>
  <si>
    <r>
      <rPr>
        <sz val="9"/>
        <color rgb="FF000000"/>
        <rFont val="微软雅黑"/>
        <family val="2"/>
        <charset val="134"/>
      </rPr>
      <t xml:space="preserve">&lt;60%=10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,60-65%=8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,65-70%=6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,70-75%=4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,&gt;75%=2</t>
    </r>
    <r>
      <rPr>
        <sz val="9"/>
        <color rgb="FF000000"/>
        <rFont val="Linux Libertine G"/>
        <family val="2"/>
      </rPr>
      <t xml:space="preserve">分</t>
    </r>
  </si>
  <si>
    <t xml:space="preserve">负债率下降，财务结构优化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</si>
  <si>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电力行业固定资产投资</t>
    </r>
  </si>
  <si>
    <r>
      <rPr>
        <sz val="9"/>
        <color rgb="FF000000"/>
        <rFont val="Linux Libertine G"/>
        <family val="2"/>
      </rPr>
      <t xml:space="preserve">投资高增，电网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新能源建设加速</t>
    </r>
  </si>
  <si>
    <t xml:space="preserve">行业景气度量化跟踪体系（参数优化版）— 交通运输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</si>
  <si>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利润交叉确认，使用季调数据。｜核心验证：运价、运量与供给；必选：运力投放、运价、油价</t>
    </r>
  </si>
  <si>
    <r>
      <rPr>
        <sz val="9"/>
        <color rgb="FF000000"/>
        <rFont val="微软雅黑"/>
        <family val="2"/>
        <charset val="134"/>
      </rPr>
      <t xml:space="preserve">1-BDI</t>
    </r>
    <r>
      <rPr>
        <sz val="9"/>
        <color rgb="FF000000"/>
        <rFont val="Linux Libertine G"/>
        <family val="2"/>
      </rPr>
      <t xml:space="preserve">指数</t>
    </r>
  </si>
  <si>
    <r>
      <rPr>
        <sz val="9"/>
        <color rgb="FF000000"/>
        <rFont val="微软雅黑"/>
        <family val="2"/>
        <charset val="134"/>
      </rPr>
      <t xml:space="preserve">&gt;2000=10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,1500-2000=8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,1000-1500=6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,500-1000=4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,&lt;500=2</t>
    </r>
    <r>
      <rPr>
        <sz val="9"/>
        <color rgb="FF000000"/>
        <rFont val="Linux Libertine G"/>
        <family val="2"/>
      </rPr>
      <t xml:space="preserve">分</t>
    </r>
  </si>
  <si>
    <t xml:space="preserve">干散货运价回升，大宗商品贸易活跃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</si>
  <si>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原油运输指数</t>
    </r>
    <r>
      <rPr>
        <sz val="9"/>
        <color rgb="FF000000"/>
        <rFont val="微软雅黑"/>
        <family val="2"/>
        <charset val="134"/>
      </rPr>
      <t xml:space="preserve">(BDTI)</t>
    </r>
  </si>
  <si>
    <r>
      <rPr>
        <sz val="9"/>
        <color rgb="FF000000"/>
        <rFont val="微软雅黑"/>
        <family val="2"/>
        <charset val="134"/>
      </rPr>
      <t xml:space="preserve">&gt;1200=10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,900-1200=8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,600-900=6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,400-600=4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,&lt;400=2</t>
    </r>
    <r>
      <rPr>
        <sz val="9"/>
        <color rgb="FF000000"/>
        <rFont val="Linux Libertine G"/>
        <family val="2"/>
      </rPr>
      <t xml:space="preserve">分</t>
    </r>
  </si>
  <si>
    <t xml:space="preserve">油运运价高位，红海绕行支撑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</si>
  <si>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集装箱运价指数</t>
    </r>
    <r>
      <rPr>
        <sz val="9"/>
        <color rgb="FF000000"/>
        <rFont val="微软雅黑"/>
        <family val="2"/>
        <charset val="134"/>
      </rPr>
      <t xml:space="preserve">(CCFI)</t>
    </r>
  </si>
  <si>
    <r>
      <rPr>
        <sz val="9"/>
        <color rgb="FF000000"/>
        <rFont val="微软雅黑"/>
        <family val="2"/>
        <charset val="134"/>
      </rPr>
      <t xml:space="preserve">&gt;1200=10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,1000-1200=8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,800-1000=6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,600-800=4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,&lt;600=2</t>
    </r>
    <r>
      <rPr>
        <sz val="9"/>
        <color rgb="FF000000"/>
        <rFont val="Linux Libertine G"/>
        <family val="2"/>
      </rPr>
      <t xml:space="preserve">分</t>
    </r>
  </si>
  <si>
    <t xml:space="preserve">集运运价回升，出口需求强劲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</si>
  <si>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航空煤油价格</t>
    </r>
  </si>
  <si>
    <t xml:space="preserve">航油价格回落，航空成本改善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</si>
  <si>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港口货物吞吐量增速</t>
    </r>
  </si>
  <si>
    <r>
      <rPr>
        <sz val="9"/>
        <color rgb="FF000000"/>
        <rFont val="微软雅黑"/>
        <family val="2"/>
        <charset val="134"/>
      </rPr>
      <t xml:space="preserve">&gt;5%=10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,0-3%=6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,-3-0%=4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,&lt;-3%=2</t>
    </r>
    <r>
      <rPr>
        <sz val="9"/>
        <color rgb="FF000000"/>
        <rFont val="Linux Libertine G"/>
        <family val="2"/>
      </rPr>
      <t xml:space="preserve">分</t>
    </r>
  </si>
  <si>
    <t xml:space="preserve">港口吞吐量增长，贸易活动活跃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</si>
  <si>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民航客运量增速</t>
    </r>
  </si>
  <si>
    <r>
      <rPr>
        <sz val="9"/>
        <color rgb="FF000000"/>
        <rFont val="微软雅黑"/>
        <family val="2"/>
        <charset val="134"/>
      </rPr>
      <t xml:space="preserve">&gt;15%=10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</si>
  <si>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民航客运强劲恢复，出行需求旺盛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</si>
  <si>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铁路货运量增速</t>
    </r>
  </si>
  <si>
    <t xml:space="preserve">铁路货运平稳增长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</si>
  <si>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快递业务量增速</t>
    </r>
  </si>
  <si>
    <t xml:space="preserve">快递业务量高增，电商消费活跃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</si>
  <si>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交运企业季度净利润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</si>
  <si>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净利润改善，油运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航空贡献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</si>
  <si>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交运行业资产负债率</t>
    </r>
  </si>
  <si>
    <r>
      <rPr>
        <sz val="9"/>
        <color rgb="FF000000"/>
        <rFont val="微软雅黑"/>
        <family val="2"/>
        <charset val="134"/>
      </rPr>
      <t xml:space="preserve">&lt;55%=10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,55-60%=8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,60-65%=6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,65-70%=4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,&gt;70%=2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</si>
  <si>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交运行业固定资产投资</t>
    </r>
  </si>
  <si>
    <t xml:space="preserve">投资温和增长，基础设施完善</t>
  </si>
  <si>
    <t xml:space="preserve">行业景气度量化跟踪体系（参数优化版）— 房地产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</si>
  <si>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。先用库存、供给、订单确认反转；价格本身不能直接等同高景气。｜核心验证：融资、销售与库存去化；必选：按揭利率、融资、限购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供给、城市库存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</si>
  <si>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百城土地成交面积增速</t>
    </r>
  </si>
  <si>
    <r>
      <rPr>
        <sz val="9"/>
        <color rgb="FF000000"/>
        <rFont val="微软雅黑"/>
        <family val="2"/>
        <charset val="134"/>
      </rPr>
      <t xml:space="preserve">&gt;10%=10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,-20--10%=4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,&lt;-20%=2</t>
    </r>
    <r>
      <rPr>
        <sz val="9"/>
        <color rgb="FF000000"/>
        <rFont val="Linux Libertine G"/>
        <family val="2"/>
      </rPr>
      <t xml:space="preserve">分</t>
    </r>
  </si>
  <si>
    <t xml:space="preserve">22%</t>
  </si>
  <si>
    <t xml:space="preserve">土地成交低迷，房企拿地谨慎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</si>
  <si>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房企拿地金额增速</t>
    </r>
  </si>
  <si>
    <r>
      <rPr>
        <sz val="9"/>
        <color rgb="FF000000"/>
        <rFont val="微软雅黑"/>
        <family val="2"/>
        <charset val="134"/>
      </rPr>
      <t xml:space="preserve">&gt;5%=10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,-20--10%=4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,&lt;-20%=2</t>
    </r>
    <r>
      <rPr>
        <sz val="9"/>
        <color rgb="FF000000"/>
        <rFont val="Linux Libertine G"/>
        <family val="2"/>
      </rPr>
      <t xml:space="preserve">分</t>
    </r>
  </si>
  <si>
    <t xml:space="preserve">20%</t>
  </si>
  <si>
    <t xml:space="preserve">拿地金额大幅下滑，投资意愿弱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</si>
  <si>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房贷利率</t>
    </r>
  </si>
  <si>
    <r>
      <rPr>
        <sz val="9"/>
        <color rgb="FF000000"/>
        <rFont val="微软雅黑"/>
        <family val="2"/>
        <charset val="134"/>
      </rPr>
      <t xml:space="preserve">&lt;3.5%=10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,3.5-4.0%=8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,4.0-4.5%=6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,4.5-5.0%=4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,&gt;5.0%=2</t>
    </r>
    <r>
      <rPr>
        <sz val="9"/>
        <color rgb="FF000000"/>
        <rFont val="Linux Libertine G"/>
        <family val="2"/>
      </rPr>
      <t xml:space="preserve">分</t>
    </r>
  </si>
  <si>
    <t xml:space="preserve">利率处于历史低位，但刺激效果有限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</si>
  <si>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房地产信托发行规模</t>
    </r>
  </si>
  <si>
    <t xml:space="preserve">18%</t>
  </si>
  <si>
    <t xml:space="preserve">信托融资萎缩，房企资金链紧张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</si>
  <si>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商品房销售面积增速</t>
    </r>
  </si>
  <si>
    <t xml:space="preserve">销售持续低迷，市场信心不足</t>
  </si>
  <si>
    <r>
      <rPr>
        <sz val="9"/>
        <color rgb="FF000000"/>
        <rFont val="微软雅黑"/>
        <family val="2"/>
        <charset val="134"/>
      </rPr>
      <t xml:space="preserve">6-70</t>
    </r>
    <r>
      <rPr>
        <sz val="9"/>
        <color rgb="FF000000"/>
        <rFont val="Linux Libertine G"/>
        <family val="2"/>
      </rPr>
      <t xml:space="preserve">城新建商品住宅价格指数</t>
    </r>
  </si>
  <si>
    <r>
      <rPr>
        <sz val="9"/>
        <color rgb="FF000000"/>
        <rFont val="微软雅黑"/>
        <family val="2"/>
        <charset val="134"/>
      </rPr>
      <t xml:space="preserve">&gt;0.5%=10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,0-0.5%=8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,-0.5-0%=6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,-1--0.5%=4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,&lt;-1%=2</t>
    </r>
    <r>
      <rPr>
        <sz val="9"/>
        <color rgb="FF000000"/>
        <rFont val="Linux Libertine G"/>
        <family val="2"/>
      </rPr>
      <t xml:space="preserve">分</t>
    </r>
  </si>
  <si>
    <t xml:space="preserve">房价环比下跌，市场调整持续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</si>
  <si>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二手房挂牌量变化</t>
    </r>
  </si>
  <si>
    <t xml:space="preserve">挂牌量增加，供给压力加大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</si>
  <si>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房地产新开工面积增速</t>
    </r>
  </si>
  <si>
    <t xml:space="preserve">新开工大幅下滑，供给端收缩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</si>
  <si>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房地产竣工面积增速</t>
    </r>
  </si>
  <si>
    <t xml:space="preserve">竣工下滑，后周期产业承压</t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</si>
  <si>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房企季度净利润</t>
    </r>
  </si>
  <si>
    <t xml:space="preserve">亏损</t>
  </si>
  <si>
    <r>
      <rPr>
        <sz val="9"/>
        <color rgb="FF000000"/>
        <rFont val="微软雅黑"/>
        <family val="2"/>
        <charset val="134"/>
      </rPr>
      <t xml:space="preserve">&gt;100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,50-100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,-50-0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,&lt;-50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</si>
  <si>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多数房企亏损，盈利能力恶化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</si>
  <si>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房地产投资增速</t>
    </r>
  </si>
  <si>
    <t xml:space="preserve">投资持续下滑，拖累经济增长</t>
  </si>
  <si>
    <t xml:space="preserve">行业景气度量化跟踪体系（参数优化版）— 商贸零售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</si>
  <si>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利润交叉确认，使用季调数据。｜核心验证：客流、同店和渠道效率；必选：消费者信心、可支配收入、流量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</si>
  <si>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社会消费品零售总额增速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</si>
  <si>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消费者信心指数</t>
    </r>
  </si>
  <si>
    <t xml:space="preserve">信心指数低迷，消费意愿不足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</si>
  <si>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人均可支配收入增速</t>
    </r>
  </si>
  <si>
    <r>
      <rPr>
        <sz val="9"/>
        <color rgb="FF000000"/>
        <rFont val="微软雅黑"/>
        <family val="2"/>
        <charset val="134"/>
      </rPr>
      <t xml:space="preserve">&gt;8%=10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,6-8%=8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,4-6%=6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,2-4%=4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,&lt;2%=2</t>
    </r>
    <r>
      <rPr>
        <sz val="9"/>
        <color rgb="FF000000"/>
        <rFont val="Linux Libertine G"/>
        <family val="2"/>
      </rPr>
      <t xml:space="preserve">分</t>
    </r>
  </si>
  <si>
    <t xml:space="preserve">收入增速放缓，消费能力受限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</si>
  <si>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网购渗透率</t>
    </r>
  </si>
  <si>
    <r>
      <rPr>
        <sz val="9"/>
        <color rgb="FF000000"/>
        <rFont val="微软雅黑"/>
        <family val="2"/>
        <charset val="134"/>
      </rPr>
      <t xml:space="preserve">&gt;30%=10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,27-30%=8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,24-27%=6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,21-24%=4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,&lt;21%=2</t>
    </r>
    <r>
      <rPr>
        <sz val="9"/>
        <color rgb="FF000000"/>
        <rFont val="Linux Libertine G"/>
        <family val="2"/>
      </rPr>
      <t xml:space="preserve">分</t>
    </r>
  </si>
  <si>
    <t xml:space="preserve">线上渗透率提升，渠道结构优化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</si>
  <si>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网上零售额增速</t>
    </r>
  </si>
  <si>
    <t xml:space="preserve">线上零售强劲，电商活力充沛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</si>
  <si>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限额以上零售企业收入</t>
    </r>
  </si>
  <si>
    <t xml:space="preserve">限额以上零售温和增长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</si>
  <si>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超市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百货销售额增速</t>
    </r>
  </si>
  <si>
    <t xml:space="preserve">线下零售缓慢复苏</t>
  </si>
  <si>
    <t xml:space="preserve">快递高增，电商消费活跃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</si>
  <si>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零售企业季度净利润率</t>
    </r>
  </si>
  <si>
    <r>
      <rPr>
        <sz val="9"/>
        <color rgb="FF000000"/>
        <rFont val="微软雅黑"/>
        <family val="2"/>
        <charset val="134"/>
      </rPr>
      <t xml:space="preserve">&gt;5%=10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,1-3%=6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</si>
  <si>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利润率改善，但仍处低位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</si>
  <si>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零售行业库存周转天数</t>
    </r>
  </si>
  <si>
    <r>
      <rPr>
        <sz val="9"/>
        <color rgb="FF000000"/>
        <rFont val="微软雅黑"/>
        <family val="2"/>
        <charset val="134"/>
      </rPr>
      <t xml:space="preserve">11-CPI</t>
    </r>
    <r>
      <rPr>
        <sz val="9"/>
        <color rgb="FF000000"/>
        <rFont val="Linux Libertine G"/>
        <family val="2"/>
      </rPr>
      <t xml:space="preserve">同比</t>
    </r>
  </si>
  <si>
    <t xml:space="preserve">通胀温和，终端价格稳定</t>
  </si>
  <si>
    <t xml:space="preserve">行业景气度量化跟踪体系（参数优化版）— 社会服务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</si>
  <si>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利润交叉确认，使用季调数据。｜核心验证：预订、客流与价格；必选：预订、客座率、出行意愿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</si>
  <si>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居民可支配收入增速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</si>
  <si>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节假日旅游预订量</t>
    </r>
  </si>
  <si>
    <r>
      <rPr>
        <sz val="9"/>
        <color rgb="FF000000"/>
        <rFont val="Linux Libertine G"/>
        <family val="2"/>
      </rPr>
      <t xml:space="preserve">携程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去哪儿</t>
    </r>
  </si>
  <si>
    <t xml:space="preserve">旅游预订火爆，出行需求旺盛</t>
  </si>
  <si>
    <t xml:space="preserve">节假日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</si>
  <si>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航空客座率</t>
    </r>
  </si>
  <si>
    <t xml:space="preserve">客座率回升，航空运力恢复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</si>
  <si>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酒店</t>
    </r>
    <r>
      <rPr>
        <sz val="9"/>
        <color rgb="FF000000"/>
        <rFont val="微软雅黑"/>
        <family val="2"/>
        <charset val="134"/>
      </rPr>
      <t xml:space="preserve">RevPAR</t>
    </r>
  </si>
  <si>
    <r>
      <rPr>
        <sz val="9"/>
        <color rgb="FF000000"/>
        <rFont val="微软雅黑"/>
        <family val="2"/>
        <charset val="134"/>
      </rPr>
      <t xml:space="preserve">&gt;400=10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,350-400=8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,300-350=6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,250-300=4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,&lt;250=2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</si>
  <si>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RevPAR</t>
    </r>
    <r>
      <rPr>
        <sz val="9"/>
        <color rgb="FF000000"/>
        <rFont val="Linux Libertine G"/>
        <family val="2"/>
      </rPr>
      <t xml:space="preserve">回升，酒店经营改善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</si>
  <si>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国内旅游人次</t>
    </r>
  </si>
  <si>
    <t xml:space="preserve">旅游人次高增，消费场景恢复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</si>
  <si>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国内旅游收入</t>
    </r>
  </si>
  <si>
    <t xml:space="preserve">旅游收入增长，消费升级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</si>
  <si>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餐饮收入增速</t>
    </r>
  </si>
  <si>
    <t xml:space="preserve">餐饮收入回暖，线下消费活跃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</si>
  <si>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电影票房收入</t>
    </r>
  </si>
  <si>
    <r>
      <rPr>
        <sz val="9"/>
        <color rgb="FF000000"/>
        <rFont val="Linux Libertine G"/>
        <family val="2"/>
      </rPr>
      <t xml:space="preserve">猫眼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灯塔</t>
    </r>
  </si>
  <si>
    <r>
      <rPr>
        <sz val="9"/>
        <color rgb="FF000000"/>
        <rFont val="Linux Libertine G"/>
        <family val="2"/>
      </rPr>
      <t xml:space="preserve">亿元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</si>
  <si>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&gt;50=10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,&lt;20=2</t>
    </r>
    <r>
      <rPr>
        <sz val="9"/>
        <color rgb="FF000000"/>
        <rFont val="Linux Libertine G"/>
        <family val="2"/>
      </rPr>
      <t xml:space="preserve">分</t>
    </r>
  </si>
  <si>
    <t xml:space="preserve">票房温和增长，内容供给恢复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</si>
  <si>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社会服务企业季度净利润</t>
    </r>
  </si>
  <si>
    <r>
      <rPr>
        <sz val="9"/>
        <color rgb="FF000000"/>
        <rFont val="微软雅黑"/>
        <family val="2"/>
        <charset val="134"/>
      </rPr>
      <t xml:space="preserve">&gt;20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</si>
  <si>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利润改善，旅游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酒店贡献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</si>
  <si>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社会服务行业毛利率</t>
    </r>
  </si>
  <si>
    <r>
      <rPr>
        <sz val="9"/>
        <color rgb="FF000000"/>
        <rFont val="微软雅黑"/>
        <family val="2"/>
        <charset val="134"/>
      </rPr>
      <t xml:space="preserve">&gt;40%=10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,&lt;10%=2</t>
    </r>
    <r>
      <rPr>
        <sz val="9"/>
        <color rgb="FF000000"/>
        <rFont val="Linux Libertine G"/>
        <family val="2"/>
      </rPr>
      <t xml:space="preserve">分</t>
    </r>
  </si>
  <si>
    <t xml:space="preserve">毛利率改善，成本管控见效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</si>
  <si>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服务业</t>
    </r>
    <r>
      <rPr>
        <sz val="9"/>
        <color rgb="FF000000"/>
        <rFont val="微软雅黑"/>
        <family val="2"/>
        <charset val="134"/>
      </rPr>
      <t xml:space="preserve">PMI</t>
    </r>
  </si>
  <si>
    <r>
      <rPr>
        <sz val="9"/>
        <color rgb="FF000000"/>
        <rFont val="微软雅黑"/>
        <family val="2"/>
        <charset val="134"/>
      </rPr>
      <t xml:space="preserve">&gt;55=10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,52-55=8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,50-52=6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,48-50=4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,&lt;48=2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</si>
  <si>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服务业</t>
    </r>
    <r>
      <rPr>
        <sz val="9"/>
        <color rgb="FF000000"/>
        <rFont val="Linux Libertine G"/>
        <family val="2"/>
        <charset val="1"/>
      </rPr>
      <t xml:space="preserve">PMI</t>
    </r>
    <r>
      <rPr>
        <sz val="9"/>
        <color rgb="FF000000"/>
        <rFont val="Linux Libertine G"/>
        <family val="2"/>
      </rPr>
      <t xml:space="preserve">跌破荣枯线，景气回落</t>
    </r>
  </si>
  <si>
    <t xml:space="preserve">行业景气度量化跟踪体系（参数优化版）— 综合</t>
  </si>
  <si>
    <r>
      <rPr>
        <b val="true"/>
        <sz val="9"/>
        <color rgb="FF000000"/>
        <rFont val="Linux Libertine G"/>
        <family val="2"/>
      </rPr>
      <t xml:space="preserve">默认阶段框架：扩张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=45%/40%/15%</t>
    </r>
    <r>
      <rPr>
        <b val="true"/>
        <sz val="9"/>
        <color rgb="FF000000"/>
        <rFont val="Linux Libertine G"/>
        <family val="2"/>
      </rPr>
      <t xml:space="preserve">。订单、需求和利润三段式确认，避免单一宏观指标主导。｜核心验证：宏观扩散与企业盈利；必选：</t>
    </r>
    <r>
      <rPr>
        <b val="true"/>
        <sz val="9"/>
        <color rgb="FF000000"/>
        <rFont val="Linux Libertine G"/>
        <family val="2"/>
        <charset val="1"/>
      </rPr>
      <t xml:space="preserve">PMI</t>
    </r>
    <r>
      <rPr>
        <b val="true"/>
        <sz val="9"/>
        <color rgb="FF000000"/>
        <rFont val="Linux Libertine G"/>
        <family val="2"/>
      </rPr>
      <t xml:space="preserve">新订单、社融、政策脉冲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</si>
  <si>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宏观经济景气指数</t>
    </r>
  </si>
  <si>
    <t xml:space="preserve">景气指数略高于临界，经济温和扩张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</si>
  <si>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制造业</t>
    </r>
    <r>
      <rPr>
        <sz val="9"/>
        <color rgb="FF000000"/>
        <rFont val="微软雅黑"/>
        <family val="2"/>
        <charset val="134"/>
      </rPr>
      <t xml:space="preserve">PMI</t>
    </r>
  </si>
  <si>
    <r>
      <rPr>
        <sz val="9"/>
        <color rgb="FF000000"/>
        <rFont val="微软雅黑"/>
        <family val="2"/>
        <charset val="134"/>
      </rPr>
      <t xml:space="preserve">&gt;52=10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,50-52=8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,48-50=6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,45-48=4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,&lt;45=2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</si>
  <si>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PMI</t>
    </r>
    <r>
      <rPr>
        <sz val="9"/>
        <color rgb="FF000000"/>
        <rFont val="Linux Libertine G"/>
        <family val="2"/>
      </rPr>
      <t xml:space="preserve">连续扩张，制造业韧性显现</t>
    </r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</si>
  <si>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新增社融规模</t>
    </r>
  </si>
  <si>
    <r>
      <rPr>
        <sz val="9"/>
        <color rgb="FF000000"/>
        <rFont val="Linux Libertine G"/>
        <family val="2"/>
      </rPr>
      <t xml:space="preserve">万亿元</t>
    </r>
    <r>
      <rPr>
        <sz val="9"/>
        <color rgb="FF000000"/>
        <rFont val="Linux Libertine G"/>
        <family val="2"/>
        <charset val="1"/>
      </rPr>
      <t xml:space="preserve">(</t>
    </r>
    <r>
      <rPr>
        <sz val="9"/>
        <color rgb="FF000000"/>
        <rFont val="Linux Libertine G"/>
        <family val="2"/>
      </rPr>
      <t xml:space="preserve">累计</t>
    </r>
    <r>
      <rPr>
        <sz val="9"/>
        <color rgb="FF000000"/>
        <rFont val="Linux Libertine G"/>
        <family val="2"/>
        <charset val="1"/>
      </rPr>
      <t xml:space="preserve">)</t>
    </r>
  </si>
  <si>
    <r>
      <rPr>
        <sz val="9"/>
        <color rgb="FF000000"/>
        <rFont val="微软雅黑"/>
        <family val="2"/>
        <charset val="134"/>
      </rPr>
      <t xml:space="preserve">&gt;4=10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,3-4=8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,2-3=6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,1-2=4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,&lt;1=2</t>
    </r>
    <r>
      <rPr>
        <sz val="9"/>
        <color rgb="FF000000"/>
        <rFont val="Linux Libertine G"/>
        <family val="2"/>
      </rPr>
      <t xml:space="preserve">分</t>
    </r>
  </si>
  <si>
    <t xml:space="preserve">社融稳健增长，信用环境宽松</t>
  </si>
  <si>
    <r>
      <rPr>
        <sz val="9"/>
        <color rgb="FF000000"/>
        <rFont val="微软雅黑"/>
        <family val="2"/>
        <charset val="134"/>
      </rPr>
      <t xml:space="preserve">4-GDP</t>
    </r>
    <r>
      <rPr>
        <sz val="9"/>
        <color rgb="FF000000"/>
        <rFont val="Linux Libertine G"/>
        <family val="2"/>
      </rPr>
      <t xml:space="preserve">增速</t>
    </r>
  </si>
  <si>
    <r>
      <rPr>
        <sz val="9"/>
        <color rgb="FF000000"/>
        <rFont val="微软雅黑"/>
        <family val="2"/>
        <charset val="134"/>
      </rPr>
      <t xml:space="preserve">&gt;6%=10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,5-6%=8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,3-4%=4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</si>
  <si>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GDP</t>
    </r>
    <r>
      <rPr>
        <sz val="9"/>
        <color rgb="FF000000"/>
        <rFont val="Linux Libertine G"/>
        <family val="2"/>
      </rPr>
      <t xml:space="preserve">增速稳健，经济韧性较强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</si>
  <si>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工业增加值增速</t>
    </r>
  </si>
  <si>
    <t xml:space="preserve">工业生产加快，制造业复苏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</si>
  <si>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固定资产投资增速</t>
    </r>
  </si>
  <si>
    <t xml:space="preserve">投资增速温和，基建支撑明显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</si>
  <si>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企业盈利增速</t>
    </r>
  </si>
  <si>
    <t xml:space="preserve">企业盈利改善，利润端修复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</si>
  <si>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失业率</t>
    </r>
  </si>
  <si>
    <r>
      <rPr>
        <sz val="9"/>
        <color rgb="FF000000"/>
        <rFont val="微软雅黑"/>
        <family val="2"/>
        <charset val="134"/>
      </rPr>
      <t xml:space="preserve">&lt;4.5%=10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,4.5-5.0%=8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,5.0-5.5%=6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,5.5-6.0%=4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,&gt;6.0%=2</t>
    </r>
    <r>
      <rPr>
        <sz val="9"/>
        <color rgb="FF000000"/>
        <rFont val="Linux Libertine G"/>
        <family val="2"/>
      </rPr>
      <t xml:space="preserve">分</t>
    </r>
  </si>
  <si>
    <t xml:space="preserve">失业率略高，就业压力仍存</t>
  </si>
  <si>
    <t xml:space="preserve">行业景气度量化跟踪体系（参数优化版）— 建筑材料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</si>
  <si>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。先用库存、供给、订单确认反转；价格本身不能直接等同高景气。｜核心验证：地产基建实物量与库存；必选：新开工、基建项目、库存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</si>
  <si>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水泥熟料价格</t>
    </r>
  </si>
  <si>
    <t xml:space="preserve">水泥价格低迷，需求端疲软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</si>
  <si>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玻璃原片价格</t>
    </r>
  </si>
  <si>
    <r>
      <rPr>
        <sz val="9"/>
        <color rgb="FF000000"/>
        <rFont val="微软雅黑"/>
        <family val="2"/>
        <charset val="134"/>
      </rPr>
      <t xml:space="preserve">&gt;1800=10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,1600-1800=8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,1400-1600=6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,1200-1400=4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,&lt;1200=2</t>
    </r>
    <r>
      <rPr>
        <sz val="9"/>
        <color rgb="FF000000"/>
        <rFont val="Linux Libertine G"/>
        <family val="2"/>
      </rPr>
      <t xml:space="preserve">分</t>
    </r>
  </si>
  <si>
    <t xml:space="preserve">玻璃价格回落，地产需求拖累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</si>
  <si>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房地产新开工面积增速</t>
    </r>
  </si>
  <si>
    <t xml:space="preserve">新开工大幅下滑，需求端收缩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</si>
  <si>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基建投资增速</t>
    </r>
  </si>
  <si>
    <r>
      <rPr>
        <sz val="9"/>
        <color rgb="FF000000"/>
        <rFont val="微软雅黑"/>
        <family val="2"/>
        <charset val="134"/>
      </rPr>
      <t xml:space="preserve">&gt;10%=10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,5-7%=6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,&lt;3%=2</t>
    </r>
    <r>
      <rPr>
        <sz val="9"/>
        <color rgb="FF000000"/>
        <rFont val="Linux Libertine G"/>
        <family val="2"/>
      </rPr>
      <t xml:space="preserve">分</t>
    </r>
  </si>
  <si>
    <t xml:space="preserve">基建投资发力，对冲地产下滑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</si>
  <si>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水泥出货量</t>
    </r>
  </si>
  <si>
    <t xml:space="preserve">水泥出货下滑，施工需求不足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</si>
  <si>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玻璃库存天数</t>
    </r>
  </si>
  <si>
    <t xml:space="preserve">玻璃库存累积，供给压力加大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</si>
  <si>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水泥磨机开工率</t>
    </r>
  </si>
  <si>
    <r>
      <rPr>
        <sz val="9"/>
        <color rgb="FF000000"/>
        <rFont val="微软雅黑"/>
        <family val="2"/>
        <charset val="134"/>
      </rPr>
      <t xml:space="preserve">&gt;70%=10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,&lt;40%=2</t>
    </r>
    <r>
      <rPr>
        <sz val="9"/>
        <color rgb="FF000000"/>
        <rFont val="Linux Libertine G"/>
        <family val="2"/>
      </rPr>
      <t xml:space="preserve">分</t>
    </r>
  </si>
  <si>
    <t xml:space="preserve">开工率低位，产能利用率不足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</si>
  <si>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建材出口金额增速</t>
    </r>
  </si>
  <si>
    <t xml:space="preserve">建材出口温和增长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</si>
  <si>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建材企业季度净利润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</si>
  <si>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利润大幅下滑，多数企业亏损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</si>
  <si>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建材行业产能利用率</t>
    </r>
  </si>
  <si>
    <t xml:space="preserve">产能利用率低位，产能过剩严重</t>
  </si>
  <si>
    <r>
      <rPr>
        <sz val="9"/>
        <color rgb="FF000000"/>
        <rFont val="微软雅黑"/>
        <family val="2"/>
        <charset val="134"/>
      </rPr>
      <t xml:space="preserve">11-PPI</t>
    </r>
    <r>
      <rPr>
        <sz val="9"/>
        <color rgb="FF000000"/>
        <rFont val="Linux Libertine G"/>
        <family val="2"/>
      </rPr>
      <t xml:space="preserve">建材类同比</t>
    </r>
  </si>
  <si>
    <t xml:space="preserve">建材价格同比下跌，通缩压力</t>
  </si>
  <si>
    <t xml:space="preserve">行业景气度量化跟踪体系（参数优化版）— 建筑装饰</t>
  </si>
  <si>
    <r>
      <rPr>
        <b val="true"/>
        <sz val="9"/>
        <color rgb="FF000000"/>
        <rFont val="Linux Libertine G"/>
        <family val="2"/>
      </rPr>
      <t xml:space="preserve">默认阶段框架：政策资本开支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交付｜先行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=45%/35%/20%</t>
    </r>
    <r>
      <rPr>
        <b val="true"/>
        <sz val="9"/>
        <color rgb="FF000000"/>
        <rFont val="Linux Libertine G"/>
        <family val="2"/>
      </rPr>
      <t xml:space="preserve">。政策与规划只作确认项，必须由招标、交付、回款和利润验证。｜核心验证：财政资金、订单与回款；必选：专项债、项目开工、新签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</si>
  <si>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基建投资计划</t>
    </r>
  </si>
  <si>
    <r>
      <rPr>
        <sz val="9"/>
        <color rgb="FF000000"/>
        <rFont val="Linux Libertine G"/>
        <family val="2"/>
      </rPr>
      <t xml:space="preserve">发改委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财政部</t>
    </r>
  </si>
  <si>
    <r>
      <rPr>
        <sz val="9"/>
        <color rgb="FF000000"/>
        <rFont val="微软雅黑"/>
        <family val="2"/>
        <charset val="134"/>
      </rPr>
      <t xml:space="preserve">&gt;20=10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,10-15=6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,&lt;5=2</t>
    </r>
    <r>
      <rPr>
        <sz val="9"/>
        <color rgb="FF000000"/>
        <rFont val="Linux Libertine G"/>
        <family val="2"/>
      </rPr>
      <t xml:space="preserve">分</t>
    </r>
  </si>
  <si>
    <t xml:space="preserve">基建计划规模创新高，政策发力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</si>
  <si>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专项债发行规模</t>
    </r>
  </si>
  <si>
    <t xml:space="preserve">专项债发行加速，资金到位改善</t>
  </si>
  <si>
    <t xml:space="preserve">房建新开工萎缩，房建业务承压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</si>
  <si>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钢材价格变化</t>
    </r>
  </si>
  <si>
    <t xml:space="preserve">钢材价格回落，成本端改善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</si>
  <si>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建筑业</t>
    </r>
    <r>
      <rPr>
        <sz val="9"/>
        <color rgb="FF000000"/>
        <rFont val="微软雅黑"/>
        <family val="2"/>
        <charset val="134"/>
      </rPr>
      <t xml:space="preserve">PMI</t>
    </r>
  </si>
  <si>
    <r>
      <rPr>
        <sz val="9"/>
        <color rgb="FF000000"/>
        <rFont val="微软雅黑"/>
        <family val="2"/>
        <charset val="134"/>
      </rPr>
      <t xml:space="preserve">&gt;58=10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,55-58=8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,52-55=6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,50-52=4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</si>
  <si>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建筑业</t>
    </r>
    <r>
      <rPr>
        <sz val="9"/>
        <color rgb="FF000000"/>
        <rFont val="Linux Libertine G"/>
        <family val="2"/>
        <charset val="1"/>
      </rPr>
      <t xml:space="preserve">PMI</t>
    </r>
    <r>
      <rPr>
        <sz val="9"/>
        <color rgb="FF000000"/>
        <rFont val="Linux Libertine G"/>
        <family val="2"/>
      </rPr>
      <t xml:space="preserve">跌破荣枯线，景气回落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</si>
  <si>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建筑业新签合同额增速</t>
    </r>
  </si>
  <si>
    <t xml:space="preserve">新签合同温和增长，基建订单支撑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</si>
  <si>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建筑业总产值增速</t>
    </r>
  </si>
  <si>
    <t xml:space="preserve">产值增速温和，基建对冲房建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</si>
  <si>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建筑企业订单保障倍数</t>
    </r>
  </si>
  <si>
    <r>
      <rPr>
        <sz val="9"/>
        <color rgb="FF000000"/>
        <rFont val="微软雅黑"/>
        <family val="2"/>
        <charset val="134"/>
      </rPr>
      <t xml:space="preserve">&gt;2.5=10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,2.0-2.5=8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,1.5-2.0=6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,1.0-1.5=4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,&lt;1.0=2</t>
    </r>
    <r>
      <rPr>
        <sz val="9"/>
        <color rgb="FF000000"/>
        <rFont val="Linux Libertine G"/>
        <family val="2"/>
      </rPr>
      <t xml:space="preserve">分</t>
    </r>
  </si>
  <si>
    <t xml:space="preserve">订单保障倍数下降，未来收入承压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</si>
  <si>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建筑企业季度净利润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</si>
  <si>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利润下滑，房建拖累明显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</si>
  <si>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建筑行业资产负债率</t>
    </r>
  </si>
  <si>
    <r>
      <rPr>
        <sz val="9"/>
        <color rgb="FF000000"/>
        <rFont val="微软雅黑"/>
        <family val="2"/>
        <charset val="134"/>
      </rPr>
      <t xml:space="preserve">&lt;75%=10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,75-80%=8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,80-85%=6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,85-90%=4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,&gt;90%=2</t>
    </r>
    <r>
      <rPr>
        <sz val="9"/>
        <color rgb="FF000000"/>
        <rFont val="Linux Libertine G"/>
        <family val="2"/>
      </rPr>
      <t xml:space="preserve">分</t>
    </r>
  </si>
  <si>
    <t xml:space="preserve">负债率偏高，财务风险累积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</si>
  <si>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建筑行业应收账款周转</t>
    </r>
  </si>
  <si>
    <r>
      <rPr>
        <sz val="9"/>
        <color rgb="FF000000"/>
        <rFont val="微软雅黑"/>
        <family val="2"/>
        <charset val="134"/>
      </rPr>
      <t xml:space="preserve">&lt;90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,90-120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,120-150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,150-180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,&gt;180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</si>
  <si>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应收账款周转放缓，回款压力加大</t>
  </si>
  <si>
    <t xml:space="preserve">行业景气度量化跟踪体系（参数优化版）— 电力设备</t>
  </si>
  <si>
    <r>
      <rPr>
        <b val="true"/>
        <sz val="9"/>
        <color rgb="FF000000"/>
        <rFont val="Linux Libertine G"/>
        <family val="2"/>
      </rPr>
      <t xml:space="preserve">默认阶段框架：政策资本开支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交付｜先行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=45%/35%/20%</t>
    </r>
    <r>
      <rPr>
        <b val="true"/>
        <sz val="9"/>
        <color rgb="FF000000"/>
        <rFont val="Linux Libertine G"/>
        <family val="2"/>
      </rPr>
      <t xml:space="preserve">。政策与规划只作确认项，必须由招标、交付、回款和利润验证。｜核心验证：电网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新能源资本开支与订单；必选：电网投资、招标、海外订单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</si>
  <si>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光伏组件价格</t>
    </r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</si>
  <si>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/W</t>
    </r>
  </si>
  <si>
    <r>
      <rPr>
        <sz val="9"/>
        <color rgb="FF000000"/>
        <rFont val="微软雅黑"/>
        <family val="2"/>
        <charset val="134"/>
      </rPr>
      <t xml:space="preserve">&lt;0.8=10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,0.8-1.0=8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,1.0-1.2=6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,1.2-1.4=4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,&gt;1.4=2</t>
    </r>
    <r>
      <rPr>
        <sz val="9"/>
        <color rgb="FF000000"/>
        <rFont val="Linux Libertine G"/>
        <family val="2"/>
      </rPr>
      <t xml:space="preserve">分</t>
    </r>
  </si>
  <si>
    <t xml:space="preserve">组件价格触底，产业链利润承压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</si>
  <si>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硅料价格</t>
    </r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</si>
  <si>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/kg</t>
    </r>
  </si>
  <si>
    <r>
      <rPr>
        <sz val="9"/>
        <color rgb="FF000000"/>
        <rFont val="微软雅黑"/>
        <family val="2"/>
        <charset val="134"/>
      </rPr>
      <t xml:space="preserve">&lt;40=10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,40-60=8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,80-100=4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,&gt;100=2</t>
    </r>
    <r>
      <rPr>
        <sz val="9"/>
        <color rgb="FF000000"/>
        <rFont val="Linux Libertine G"/>
        <family val="2"/>
      </rPr>
      <t xml:space="preserve">分</t>
    </r>
  </si>
  <si>
    <t xml:space="preserve">硅料价格低位，成本端改善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</si>
  <si>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锂电池价格</t>
    </r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</si>
  <si>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/Wh</t>
    </r>
  </si>
  <si>
    <r>
      <rPr>
        <sz val="9"/>
        <color rgb="FF000000"/>
        <rFont val="微软雅黑"/>
        <family val="2"/>
        <charset val="134"/>
      </rPr>
      <t xml:space="preserve">&lt;0.5=10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,0.5-0.6=8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,0.6-0.7=6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,0.7-0.8=4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,&gt;0.8=2</t>
    </r>
    <r>
      <rPr>
        <sz val="9"/>
        <color rgb="FF000000"/>
        <rFont val="Linux Libertine G"/>
        <family val="2"/>
      </rPr>
      <t xml:space="preserve">分</t>
    </r>
  </si>
  <si>
    <t xml:space="preserve">电池价格触底，产业链利润压缩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</si>
  <si>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风电招标量</t>
    </r>
  </si>
  <si>
    <r>
      <rPr>
        <sz val="9"/>
        <color rgb="FF000000"/>
        <rFont val="Linux Libertine G"/>
        <family val="2"/>
      </rPr>
      <t xml:space="preserve">金风科技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中国风能协会</t>
    </r>
  </si>
  <si>
    <t xml:space="preserve">风电招标创新高，装机预期强劲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</si>
  <si>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电网投资计划</t>
    </r>
  </si>
  <si>
    <r>
      <rPr>
        <sz val="9"/>
        <color rgb="FF000000"/>
        <rFont val="Linux Libertine G"/>
        <family val="2"/>
      </rPr>
      <t xml:space="preserve">国家电网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南方电网</t>
    </r>
  </si>
  <si>
    <r>
      <rPr>
        <sz val="9"/>
        <color rgb="FF000000"/>
        <rFont val="微软雅黑"/>
        <family val="2"/>
        <charset val="134"/>
      </rPr>
      <t xml:space="preserve">&gt;6000=10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,5000-6000=8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,4000-5000=6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,3000-4000=4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,&lt;3000=2</t>
    </r>
    <r>
      <rPr>
        <sz val="9"/>
        <color rgb="FF000000"/>
        <rFont val="Linux Libertine G"/>
        <family val="2"/>
      </rPr>
      <t xml:space="preserve">分</t>
    </r>
  </si>
  <si>
    <t xml:space="preserve">电网投资创新高，特高压建设加速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</si>
  <si>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光伏装机量</t>
    </r>
  </si>
  <si>
    <r>
      <rPr>
        <sz val="9"/>
        <color rgb="FF000000"/>
        <rFont val="微软雅黑"/>
        <family val="2"/>
        <charset val="134"/>
      </rPr>
      <t xml:space="preserve">GW(</t>
    </r>
    <r>
      <rPr>
        <sz val="9"/>
        <color rgb="FF000000"/>
        <rFont val="Linux Libertine G"/>
        <family val="2"/>
      </rPr>
      <t xml:space="preserve">累计</t>
    </r>
    <r>
      <rPr>
        <sz val="9"/>
        <color rgb="FF000000"/>
        <rFont val="微软雅黑"/>
        <family val="2"/>
        <charset val="134"/>
      </rPr>
      <t xml:space="preserve">)</t>
    </r>
  </si>
  <si>
    <r>
      <rPr>
        <sz val="9"/>
        <color rgb="FF000000"/>
        <rFont val="微软雅黑"/>
        <family val="2"/>
        <charset val="134"/>
      </rPr>
      <t xml:space="preserve">&gt;100</t>
    </r>
    <r>
      <rPr>
        <sz val="9"/>
        <color rgb="FF000000"/>
        <rFont val="Linux Libertine G"/>
        <family val="2"/>
      </rPr>
      <t xml:space="preserve">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,80-100=8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,40-60=4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,&lt;40=2</t>
    </r>
    <r>
      <rPr>
        <sz val="9"/>
        <color rgb="FF000000"/>
        <rFont val="Linux Libertine G"/>
        <family val="2"/>
      </rPr>
      <t xml:space="preserve">分</t>
    </r>
  </si>
  <si>
    <t xml:space="preserve">光伏装机稳健，分布式贡献大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</si>
  <si>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风电装机量</t>
    </r>
  </si>
  <si>
    <r>
      <rPr>
        <sz val="9"/>
        <color rgb="FF000000"/>
        <rFont val="微软雅黑"/>
        <family val="2"/>
        <charset val="134"/>
      </rPr>
      <t xml:space="preserve">&gt;60</t>
    </r>
    <r>
      <rPr>
        <sz val="9"/>
        <color rgb="FF000000"/>
        <rFont val="Linux Libertine G"/>
        <family val="2"/>
      </rPr>
      <t xml:space="preserve">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,&lt;30=2</t>
    </r>
    <r>
      <rPr>
        <sz val="9"/>
        <color rgb="FF000000"/>
        <rFont val="Linux Libertine G"/>
        <family val="2"/>
      </rPr>
      <t xml:space="preserve">分</t>
    </r>
  </si>
  <si>
    <t xml:space="preserve">风电装机平稳，海上风电加速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</si>
  <si>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储能装机量</t>
    </r>
  </si>
  <si>
    <r>
      <rPr>
        <sz val="9"/>
        <color rgb="FF000000"/>
        <rFont val="微软雅黑"/>
        <family val="2"/>
        <charset val="134"/>
      </rPr>
      <t xml:space="preserve">GWh(</t>
    </r>
    <r>
      <rPr>
        <sz val="9"/>
        <color rgb="FF000000"/>
        <rFont val="Linux Libertine G"/>
        <family val="2"/>
      </rPr>
      <t xml:space="preserve">累计</t>
    </r>
    <r>
      <rPr>
        <sz val="9"/>
        <color rgb="FF000000"/>
        <rFont val="微软雅黑"/>
        <family val="2"/>
        <charset val="134"/>
      </rPr>
      <t xml:space="preserve">)</t>
    </r>
  </si>
  <si>
    <r>
      <rPr>
        <sz val="9"/>
        <color rgb="FF000000"/>
        <rFont val="微软雅黑"/>
        <family val="2"/>
        <charset val="134"/>
      </rPr>
      <t xml:space="preserve">&gt;50</t>
    </r>
    <r>
      <rPr>
        <sz val="9"/>
        <color rgb="FF000000"/>
        <rFont val="Linux Libertine G"/>
        <family val="2"/>
      </rPr>
      <t xml:space="preserve">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,&lt;20=2</t>
    </r>
    <r>
      <rPr>
        <sz val="9"/>
        <color rgb="FF000000"/>
        <rFont val="Linux Libertine G"/>
        <family val="2"/>
      </rPr>
      <t xml:space="preserve">分</t>
    </r>
  </si>
  <si>
    <t xml:space="preserve">储能装机高增，工商业储能爆发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</si>
  <si>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电网设备招标量</t>
    </r>
  </si>
  <si>
    <t xml:space="preserve">电网设备招标高增，建设提速</t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</si>
  <si>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电力设备企业季度净利润</t>
    </r>
  </si>
  <si>
    <r>
      <rPr>
        <sz val="9"/>
        <color rgb="FF000000"/>
        <rFont val="微软雅黑"/>
        <family val="2"/>
        <charset val="134"/>
      </rPr>
      <t xml:space="preserve">&gt;80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,40-80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,0-40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,-40-0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,&lt;-40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</si>
  <si>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利润分化，光伏承压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风电改善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</si>
  <si>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电力设备行业毛利率</t>
    </r>
  </si>
  <si>
    <r>
      <rPr>
        <sz val="9"/>
        <color rgb="FF000000"/>
        <rFont val="微软雅黑"/>
        <family val="2"/>
        <charset val="134"/>
      </rPr>
      <t xml:space="preserve">&gt;25%=10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,20-25%=8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,&lt;10%=2</t>
    </r>
    <r>
      <rPr>
        <sz val="9"/>
        <color rgb="FF000000"/>
        <rFont val="Linux Libertine G"/>
        <family val="2"/>
      </rPr>
      <t xml:space="preserve">分</t>
    </r>
  </si>
  <si>
    <t xml:space="preserve">毛利率下滑，价格竞争加剧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</si>
  <si>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电力设备出口金额增速</t>
    </r>
  </si>
  <si>
    <t xml:space="preserve">设备出口强劲，海外需求旺盛</t>
  </si>
  <si>
    <t xml:space="preserve">行业景气度量化跟踪体系（参数优化版）— 国防军工</t>
  </si>
  <si>
    <r>
      <rPr>
        <b val="true"/>
        <sz val="9"/>
        <color rgb="FF000000"/>
        <rFont val="Linux Libertine G"/>
        <family val="2"/>
      </rPr>
      <t xml:space="preserve">默认阶段框架：政策资本开支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交付｜先行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=45%/35%/20%</t>
    </r>
    <r>
      <rPr>
        <b val="true"/>
        <sz val="9"/>
        <color rgb="FF000000"/>
        <rFont val="Linux Libertine G"/>
        <family val="2"/>
      </rPr>
      <t xml:space="preserve">。政策与规划只作确认项，必须由招标、交付、回款和利润验证。｜核心验证：预算、订单与交付节奏；必选：预算、型号进度、订单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合同负债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</si>
  <si>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国防预算增速</t>
    </r>
  </si>
  <si>
    <r>
      <rPr>
        <sz val="9"/>
        <color rgb="FF000000"/>
        <rFont val="微软雅黑"/>
        <family val="2"/>
        <charset val="134"/>
      </rPr>
      <t xml:space="preserve">&gt;8%=10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,6-8%=8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,5-6%=6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,&lt;4%=2</t>
    </r>
    <r>
      <rPr>
        <sz val="9"/>
        <color rgb="FF000000"/>
        <rFont val="Linux Libertine G"/>
        <family val="2"/>
      </rPr>
      <t xml:space="preserve">分</t>
    </r>
  </si>
  <si>
    <t xml:space="preserve">国防预算稳健增长，军品需求确定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</si>
  <si>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军工集团订单公告</t>
    </r>
  </si>
  <si>
    <r>
      <rPr>
        <sz val="9"/>
        <color rgb="FF000000"/>
        <rFont val="微软雅黑"/>
        <family val="2"/>
        <charset val="134"/>
      </rPr>
      <t xml:space="preserve">&gt;500=10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,300-500=8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,100-300=6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,50-100=4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,&lt;50=2</t>
    </r>
    <r>
      <rPr>
        <sz val="9"/>
        <color rgb="FF000000"/>
        <rFont val="Linux Libertine G"/>
        <family val="2"/>
      </rPr>
      <t xml:space="preserve">分</t>
    </r>
  </si>
  <si>
    <t xml:space="preserve">大额订单密集释放，需求景气确认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</si>
  <si>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军品采购计划</t>
    </r>
  </si>
  <si>
    <r>
      <rPr>
        <sz val="9"/>
        <color rgb="FF000000"/>
        <rFont val="微软雅黑"/>
        <family val="2"/>
        <charset val="134"/>
      </rPr>
      <t xml:space="preserve">&gt;1000=10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,700-1000=8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,400-700=6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,200-400=4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,&lt;200=2</t>
    </r>
    <r>
      <rPr>
        <sz val="9"/>
        <color rgb="FF000000"/>
        <rFont val="Linux Libertine G"/>
        <family val="2"/>
      </rPr>
      <t xml:space="preserve">分</t>
    </r>
  </si>
  <si>
    <t xml:space="preserve">采购计划饱满，十四五后期冲刺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</si>
  <si>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地缘政治风险指数</t>
    </r>
  </si>
  <si>
    <t xml:space="preserve">高位</t>
  </si>
  <si>
    <r>
      <rPr>
        <sz val="9"/>
        <color rgb="FF000000"/>
        <rFont val="微软雅黑"/>
        <family val="2"/>
        <charset val="134"/>
      </rPr>
      <t xml:space="preserve">&gt;80=10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,40-60%=6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,20-40%=4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,&lt;20=2</t>
    </r>
    <r>
      <rPr>
        <sz val="9"/>
        <color rgb="FF000000"/>
        <rFont val="Linux Libertine G"/>
        <family val="2"/>
      </rPr>
      <t xml:space="preserve">分</t>
    </r>
  </si>
  <si>
    <t xml:space="preserve">地缘风险高位，军品需求刚性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</si>
  <si>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军工企业收入增速</t>
    </r>
  </si>
  <si>
    <t xml:space="preserve">收入高增长，订单交付加速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</si>
  <si>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军工企业合同负债</t>
    </r>
  </si>
  <si>
    <r>
      <rPr>
        <sz val="9"/>
        <color rgb="FF000000"/>
        <rFont val="微软雅黑"/>
        <family val="2"/>
        <charset val="134"/>
      </rPr>
      <t xml:space="preserve">&gt;30%=10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,15-30%=8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</si>
  <si>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合同负债高增，在手订单充裕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</si>
  <si>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航空发动机产量</t>
    </r>
  </si>
  <si>
    <t xml:space="preserve">航发产量增长，国产替代加速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</si>
  <si>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舰船下水吨位</t>
    </r>
  </si>
  <si>
    <t xml:space="preserve">舰船建设稳步推进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</si>
  <si>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军工企业季度净利润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</si>
  <si>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利润改善，规模效应显现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</si>
  <si>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军工行业研发费用率</t>
    </r>
  </si>
  <si>
    <r>
      <rPr>
        <sz val="9"/>
        <color rgb="FF000000"/>
        <rFont val="微软雅黑"/>
        <family val="2"/>
        <charset val="134"/>
      </rPr>
      <t xml:space="preserve">&gt;10%=10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,4-7%=6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,2-4%=4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,&lt;2%=2</t>
    </r>
    <r>
      <rPr>
        <sz val="9"/>
        <color rgb="FF000000"/>
        <rFont val="Linux Libertine G"/>
        <family val="2"/>
      </rPr>
      <t xml:space="preserve">分</t>
    </r>
  </si>
  <si>
    <t xml:space="preserve">研发投入维持高位，技术迭代加速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</si>
  <si>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军工行业资产负债率</t>
    </r>
  </si>
  <si>
    <r>
      <rPr>
        <sz val="9"/>
        <color rgb="FF000000"/>
        <rFont val="微软雅黑"/>
        <family val="2"/>
        <charset val="134"/>
      </rPr>
      <t xml:space="preserve">&lt;50%=10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,50-55%=8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,55-60%=6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,60-65%=4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,&gt;65%=2</t>
    </r>
    <r>
      <rPr>
        <sz val="9"/>
        <color rgb="FF000000"/>
        <rFont val="Linux Libertine G"/>
        <family val="2"/>
      </rPr>
      <t xml:space="preserve">分</t>
    </r>
  </si>
  <si>
    <t xml:space="preserve">行业景气度量化跟踪体系（参数优化版）— 计算机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</si>
  <si>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</t>
    </r>
    <r>
      <rPr>
        <b val="true"/>
        <sz val="9"/>
        <color rgb="FF000000"/>
        <rFont val="Linux Libertine G"/>
        <family val="2"/>
        <charset val="1"/>
      </rPr>
      <t xml:space="preserve">IT</t>
    </r>
    <r>
      <rPr>
        <b val="true"/>
        <sz val="9"/>
        <color rgb="FF000000"/>
        <rFont val="Linux Libertine G"/>
        <family val="2"/>
      </rPr>
      <t xml:space="preserve">预算、订单和订阅渗透；必选：企业</t>
    </r>
    <r>
      <rPr>
        <b val="true"/>
        <sz val="9"/>
        <color rgb="FF000000"/>
        <rFont val="Linux Libertine G"/>
        <family val="2"/>
        <charset val="1"/>
      </rPr>
      <t xml:space="preserve">IT</t>
    </r>
    <r>
      <rPr>
        <b val="true"/>
        <sz val="9"/>
        <color rgb="FF000000"/>
        <rFont val="Linux Libertine G"/>
        <family val="2"/>
      </rPr>
      <t xml:space="preserve">预算、云</t>
    </r>
    <r>
      <rPr>
        <b val="true"/>
        <sz val="9"/>
        <color rgb="FF000000"/>
        <rFont val="Linux Libertine G"/>
        <family val="2"/>
        <charset val="1"/>
      </rPr>
      <t xml:space="preserve">CAPEX</t>
    </r>
    <r>
      <rPr>
        <b val="true"/>
        <sz val="9"/>
        <color rgb="FF000000"/>
        <rFont val="Linux Libertine G"/>
        <family val="2"/>
      </rPr>
      <t xml:space="preserve">、招标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</si>
  <si>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全球</t>
    </r>
    <r>
      <rPr>
        <sz val="9"/>
        <color rgb="FF000000"/>
        <rFont val="微软雅黑"/>
        <family val="2"/>
        <charset val="134"/>
      </rPr>
      <t xml:space="preserve">IT</t>
    </r>
    <r>
      <rPr>
        <sz val="9"/>
        <color rgb="FF000000"/>
        <rFont val="Linux Libertine G"/>
        <family val="2"/>
      </rPr>
      <t xml:space="preserve">支出增速</t>
    </r>
  </si>
  <si>
    <r>
      <rPr>
        <sz val="9"/>
        <color rgb="FF000000"/>
        <rFont val="微软雅黑"/>
        <family val="2"/>
        <charset val="134"/>
      </rPr>
      <t xml:space="preserve">IT</t>
    </r>
    <r>
      <rPr>
        <sz val="9"/>
        <color rgb="FF000000"/>
        <rFont val="Linux Libertine G"/>
        <family val="2"/>
      </rPr>
      <t xml:space="preserve">支出稳健增长，数字化转型加速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</si>
  <si>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云计算资本开支</t>
    </r>
  </si>
  <si>
    <r>
      <rPr>
        <sz val="9"/>
        <color rgb="FF000000"/>
        <rFont val="微软雅黑"/>
        <family val="2"/>
        <charset val="134"/>
      </rPr>
      <t xml:space="preserve">AWS/Azure/</t>
    </r>
    <r>
      <rPr>
        <sz val="9"/>
        <color rgb="FF000000"/>
        <rFont val="Linux Libertine G"/>
        <family val="2"/>
      </rPr>
      <t xml:space="preserve">阿里云</t>
    </r>
  </si>
  <si>
    <r>
      <rPr>
        <sz val="9"/>
        <color rgb="FF000000"/>
        <rFont val="Linux Libertine G"/>
        <family val="2"/>
      </rPr>
      <t xml:space="preserve">云厂商</t>
    </r>
    <r>
      <rPr>
        <sz val="9"/>
        <color rgb="FF000000"/>
        <rFont val="Linux Libertine G"/>
        <family val="2"/>
        <charset val="1"/>
      </rPr>
      <t xml:space="preserve">CAPEX</t>
    </r>
    <r>
      <rPr>
        <sz val="9"/>
        <color rgb="FF000000"/>
        <rFont val="Linux Libertine G"/>
        <family val="2"/>
      </rPr>
      <t xml:space="preserve">高增，</t>
    </r>
    <r>
      <rPr>
        <sz val="9"/>
        <color rgb="FF000000"/>
        <rFont val="Linux Libertine G"/>
        <family val="2"/>
        <charset val="1"/>
      </rPr>
      <t xml:space="preserve">AI</t>
    </r>
    <r>
      <rPr>
        <sz val="9"/>
        <color rgb="FF000000"/>
        <rFont val="Linux Libertine G"/>
        <family val="2"/>
      </rPr>
      <t xml:space="preserve">基建驱动</t>
    </r>
  </si>
  <si>
    <r>
      <rPr>
        <sz val="9"/>
        <color rgb="FF000000"/>
        <rFont val="微软雅黑"/>
        <family val="2"/>
        <charset val="134"/>
      </rPr>
      <t xml:space="preserve">3-AI</t>
    </r>
    <r>
      <rPr>
        <sz val="9"/>
        <color rgb="FF000000"/>
        <rFont val="Linux Libertine G"/>
        <family val="2"/>
      </rPr>
      <t xml:space="preserve">服务器出货量</t>
    </r>
  </si>
  <si>
    <r>
      <rPr>
        <sz val="9"/>
        <color rgb="FF000000"/>
        <rFont val="微软雅黑"/>
        <family val="2"/>
        <charset val="134"/>
      </rPr>
      <t xml:space="preserve">&gt;50%=10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,30-50%=8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,15-30%=6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</si>
  <si>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服务器爆发，算力需求井喷</t>
    </r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</si>
  <si>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软件业收入增速</t>
    </r>
  </si>
  <si>
    <r>
      <rPr>
        <sz val="9"/>
        <color rgb="FF000000"/>
        <rFont val="Linux Libertine G"/>
        <family val="2"/>
      </rPr>
      <t xml:space="preserve">软件业收入高增，信创</t>
    </r>
    <r>
      <rPr>
        <sz val="9"/>
        <color rgb="FF000000"/>
        <rFont val="Linux Libertine G"/>
        <family val="2"/>
        <charset val="1"/>
      </rPr>
      <t xml:space="preserve">/AI</t>
    </r>
    <r>
      <rPr>
        <sz val="9"/>
        <color rgb="FF000000"/>
        <rFont val="Linux Libertine G"/>
        <family val="2"/>
      </rPr>
      <t xml:space="preserve">驱动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</si>
  <si>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信创采购规模</t>
    </r>
  </si>
  <si>
    <r>
      <rPr>
        <sz val="9"/>
        <color rgb="FF000000"/>
        <rFont val="Linux Libertine G"/>
        <family val="2"/>
      </rPr>
      <t xml:space="preserve">财政部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地方政府</t>
    </r>
  </si>
  <si>
    <t xml:space="preserve">信创采购放量，国产替代加速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</si>
  <si>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企业</t>
    </r>
    <r>
      <rPr>
        <sz val="9"/>
        <color rgb="FF000000"/>
        <rFont val="微软雅黑"/>
        <family val="2"/>
        <charset val="134"/>
      </rPr>
      <t xml:space="preserve">SaaS</t>
    </r>
    <r>
      <rPr>
        <sz val="9"/>
        <color rgb="FF000000"/>
        <rFont val="Linux Libertine G"/>
        <family val="2"/>
      </rPr>
      <t xml:space="preserve">渗透率</t>
    </r>
  </si>
  <si>
    <r>
      <rPr>
        <sz val="9"/>
        <color rgb="FF000000"/>
        <rFont val="微软雅黑"/>
        <family val="2"/>
        <charset val="134"/>
      </rPr>
      <t xml:space="preserve">SaaS</t>
    </r>
    <r>
      <rPr>
        <sz val="9"/>
        <color rgb="FF000000"/>
        <rFont val="Linux Libertine G"/>
        <family val="2"/>
      </rPr>
      <t xml:space="preserve">渗透率提升，企业数字化深化</t>
    </r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</si>
  <si>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网络安全市场规模</t>
    </r>
  </si>
  <si>
    <t xml:space="preserve">网安市场高增，合规需求驱动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</si>
  <si>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计算机行业订单增速</t>
    </r>
  </si>
  <si>
    <r>
      <rPr>
        <sz val="9"/>
        <color rgb="FF000000"/>
        <rFont val="Linux Libertine G"/>
        <family val="2"/>
      </rPr>
      <t xml:space="preserve">订单高增，</t>
    </r>
    <r>
      <rPr>
        <sz val="9"/>
        <color rgb="FF000000"/>
        <rFont val="Linux Libertine G"/>
        <family val="2"/>
        <charset val="1"/>
      </rPr>
      <t xml:space="preserve">AI/</t>
    </r>
    <r>
      <rPr>
        <sz val="9"/>
        <color rgb="FF000000"/>
        <rFont val="Linux Libertine G"/>
        <family val="2"/>
      </rPr>
      <t xml:space="preserve">信创需求旺盛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</si>
  <si>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计算机企业季度净利润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</si>
  <si>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</t>
    </r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业务贡献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</si>
  <si>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计算机行业毛利率</t>
    </r>
  </si>
  <si>
    <r>
      <rPr>
        <sz val="9"/>
        <color rgb="FF000000"/>
        <rFont val="微软雅黑"/>
        <family val="2"/>
        <charset val="134"/>
      </rPr>
      <t xml:space="preserve">&gt;40%=10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,35-40%=8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,30-35%=6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,25-30%=4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,&lt;25%=2</t>
    </r>
    <r>
      <rPr>
        <sz val="9"/>
        <color rgb="FF000000"/>
        <rFont val="Linux Libertine G"/>
        <family val="2"/>
      </rPr>
      <t xml:space="preserve">分</t>
    </r>
  </si>
  <si>
    <t xml:space="preserve">毛利率改善，高毛利业务占比提升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</si>
  <si>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软件从业人员增速</t>
    </r>
  </si>
  <si>
    <t xml:space="preserve">从业人员增长，行业扩张积极</t>
  </si>
  <si>
    <t xml:space="preserve">行业景气度量化跟踪体系（参数优化版）— 传媒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</si>
  <si>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利润交叉确认，使用季调数据。｜核心验证：广告预算、内容供给与变现；必选：广告预算、版号、内容排期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</si>
  <si>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互联网广告收入增速</t>
    </r>
  </si>
  <si>
    <r>
      <rPr>
        <sz val="9"/>
        <color rgb="FF000000"/>
        <rFont val="Linux Libertine G"/>
        <family val="2"/>
      </rPr>
      <t xml:space="preserve">广告收入高增，</t>
    </r>
    <r>
      <rPr>
        <sz val="9"/>
        <color rgb="FF000000"/>
        <rFont val="Linux Libertine G"/>
        <family val="2"/>
        <charset val="1"/>
      </rPr>
      <t xml:space="preserve">AI</t>
    </r>
    <r>
      <rPr>
        <sz val="9"/>
        <color rgb="FF000000"/>
        <rFont val="Linux Libertine G"/>
        <family val="2"/>
      </rPr>
      <t xml:space="preserve">营销驱动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</si>
  <si>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游戏版号发放数量</t>
    </r>
  </si>
  <si>
    <r>
      <rPr>
        <sz val="9"/>
        <color rgb="FF000000"/>
        <rFont val="微软雅黑"/>
        <family val="2"/>
        <charset val="134"/>
      </rPr>
      <t xml:space="preserve">&gt;100=10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,80-100=8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,40-60=4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,&lt;40=2</t>
    </r>
    <r>
      <rPr>
        <sz val="9"/>
        <color rgb="FF000000"/>
        <rFont val="Linux Libertine G"/>
        <family val="2"/>
      </rPr>
      <t xml:space="preserve">分</t>
    </r>
  </si>
  <si>
    <t xml:space="preserve">版号发放常态化，供给端改善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</si>
  <si>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短视频用户时长</t>
    </r>
  </si>
  <si>
    <t xml:space="preserve">用户时长增长，流量红利持续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</si>
  <si>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广告主预算变化</t>
    </r>
  </si>
  <si>
    <t xml:space="preserve">广告预算回暖，品牌投放恢复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</si>
  <si>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游戏市场规模</t>
    </r>
  </si>
  <si>
    <r>
      <rPr>
        <sz val="9"/>
        <color rgb="FF000000"/>
        <rFont val="Linux Libertine G"/>
        <family val="2"/>
      </rPr>
      <t xml:space="preserve">游戏市场高增，新品周期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出海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</si>
  <si>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电影票房收入</t>
    </r>
  </si>
  <si>
    <t xml:space="preserve">票房温和复苏，内容供给恢复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</si>
  <si>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在线视频付费用户数</t>
    </r>
  </si>
  <si>
    <r>
      <rPr>
        <sz val="9"/>
        <color rgb="FF000000"/>
        <rFont val="Linux Libertine G"/>
        <family val="2"/>
      </rPr>
      <t xml:space="preserve">爱奇艺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腾讯视频</t>
    </r>
  </si>
  <si>
    <r>
      <rPr>
        <sz val="9"/>
        <color rgb="FF000000"/>
        <rFont val="微软雅黑"/>
        <family val="2"/>
        <charset val="134"/>
      </rPr>
      <t xml:space="preserve">&gt;3=10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,2.5-3=8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,2.0-2.5=6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,1.5-2.0=4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,&lt;1.5=2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</si>
  <si>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付费用户增长，</t>
    </r>
    <r>
      <rPr>
        <sz val="9"/>
        <color rgb="FF000000"/>
        <rFont val="Linux Libertine G"/>
        <family val="2"/>
        <charset val="1"/>
      </rPr>
      <t xml:space="preserve">ARPU</t>
    </r>
    <r>
      <rPr>
        <sz val="9"/>
        <color rgb="FF000000"/>
        <rFont val="Linux Libertine G"/>
        <family val="2"/>
      </rPr>
      <t xml:space="preserve">提升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</si>
  <si>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直播电商</t>
    </r>
    <r>
      <rPr>
        <sz val="9"/>
        <color rgb="FF000000"/>
        <rFont val="微软雅黑"/>
        <family val="2"/>
        <charset val="134"/>
      </rPr>
      <t xml:space="preserve">GMV</t>
    </r>
  </si>
  <si>
    <t xml:space="preserve">直播电商高增，内容电商崛起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</si>
  <si>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传媒企业季度净利润</t>
    </r>
  </si>
  <si>
    <r>
      <rPr>
        <sz val="9"/>
        <color rgb="FF000000"/>
        <rFont val="微软雅黑"/>
        <family val="2"/>
        <charset val="134"/>
      </rPr>
      <t xml:space="preserve">&gt;30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,15-30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,0-15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,-15-0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,&lt;-15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</si>
  <si>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利润改善，广告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游戏贡献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</si>
  <si>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传媒行业毛利率</t>
    </r>
  </si>
  <si>
    <t xml:space="preserve">毛利率改善，内容成本优化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</si>
  <si>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传媒行业人均产出</t>
    </r>
  </si>
  <si>
    <t xml:space="preserve">人均产出提升，效率改善</t>
  </si>
  <si>
    <t xml:space="preserve">行业景气度量化跟踪体系（参数优化版）— 通信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</si>
  <si>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。订单、库存和利用率优先；不同子行业拆分后再汇总。｜核心验证：运营商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云</t>
    </r>
    <r>
      <rPr>
        <b val="true"/>
        <sz val="9"/>
        <color rgb="FF000000"/>
        <rFont val="Linux Libertine G"/>
        <family val="2"/>
        <charset val="1"/>
      </rPr>
      <t xml:space="preserve">CAPEX</t>
    </r>
    <r>
      <rPr>
        <b val="true"/>
        <sz val="9"/>
        <color rgb="FF000000"/>
        <rFont val="Linux Libertine G"/>
        <family val="2"/>
      </rPr>
      <t xml:space="preserve">与订单；必选：</t>
    </r>
    <r>
      <rPr>
        <b val="true"/>
        <sz val="9"/>
        <color rgb="FF000000"/>
        <rFont val="Linux Libertine G"/>
        <family val="2"/>
        <charset val="1"/>
      </rPr>
      <t xml:space="preserve">CAPEX</t>
    </r>
    <r>
      <rPr>
        <b val="true"/>
        <sz val="9"/>
        <color rgb="FF000000"/>
        <rFont val="Linux Libertine G"/>
        <family val="2"/>
      </rPr>
      <t xml:space="preserve">计划、光模块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设备订单</t>
    </r>
  </si>
  <si>
    <r>
      <rPr>
        <sz val="9"/>
        <color rgb="FF000000"/>
        <rFont val="微软雅黑"/>
        <family val="2"/>
        <charset val="134"/>
      </rPr>
      <t xml:space="preserve">1-5G</t>
    </r>
    <r>
      <rPr>
        <sz val="9"/>
        <color rgb="FF000000"/>
        <rFont val="Linux Libertine G"/>
        <family val="2"/>
      </rPr>
      <t xml:space="preserve">基站建设进度</t>
    </r>
  </si>
  <si>
    <t xml:space="preserve">88%</t>
  </si>
  <si>
    <r>
      <rPr>
        <sz val="9"/>
        <color rgb="FF000000"/>
        <rFont val="微软雅黑"/>
        <family val="2"/>
        <charset val="134"/>
      </rPr>
      <t xml:space="preserve">5G</t>
    </r>
    <r>
      <rPr>
        <sz val="9"/>
        <color rgb="FF000000"/>
        <rFont val="Linux Libertine G"/>
        <family val="2"/>
      </rPr>
      <t xml:space="preserve">基站覆盖完善，网络建设领先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</si>
  <si>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运营商资本开支</t>
    </r>
  </si>
  <si>
    <r>
      <rPr>
        <sz val="9"/>
        <color rgb="FF000000"/>
        <rFont val="微软雅黑"/>
        <family val="2"/>
        <charset val="134"/>
      </rPr>
      <t xml:space="preserve">&gt;3500=10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,3000-3500=8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,2500-3000=6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,2000-2500=4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,&lt;2000=2</t>
    </r>
    <r>
      <rPr>
        <sz val="9"/>
        <color rgb="FF000000"/>
        <rFont val="Linux Libertine G"/>
        <family val="2"/>
      </rPr>
      <t xml:space="preserve">分</t>
    </r>
  </si>
  <si>
    <t xml:space="preserve">资本开支高增，算力网络投资加大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</si>
  <si>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光模块出货量</t>
    </r>
  </si>
  <si>
    <r>
      <rPr>
        <sz val="9"/>
        <color rgb="FF000000"/>
        <rFont val="Linux Libertine G"/>
        <family val="2"/>
      </rPr>
      <t xml:space="preserve">光模块爆发，</t>
    </r>
    <r>
      <rPr>
        <sz val="9"/>
        <color rgb="FF000000"/>
        <rFont val="Linux Libertine G"/>
        <family val="2"/>
        <charset val="1"/>
      </rPr>
      <t xml:space="preserve">AI</t>
    </r>
    <r>
      <rPr>
        <sz val="9"/>
        <color rgb="FF000000"/>
        <rFont val="Linux Libertine G"/>
        <family val="2"/>
      </rPr>
      <t xml:space="preserve">算力互联需求井喷</t>
    </r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</si>
  <si>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数据中心建设规模</t>
    </r>
  </si>
  <si>
    <t xml:space="preserve">数据中心建设加速，智算中心爆发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</si>
  <si>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移动互联网流量</t>
    </r>
  </si>
  <si>
    <r>
      <rPr>
        <sz val="9"/>
        <color rgb="FF000000"/>
        <rFont val="Linux Libertine G"/>
        <family val="2"/>
      </rPr>
      <t xml:space="preserve">流量高增，</t>
    </r>
    <r>
      <rPr>
        <sz val="9"/>
        <color rgb="FF000000"/>
        <rFont val="Linux Libertine G"/>
        <family val="2"/>
        <charset val="1"/>
      </rPr>
      <t xml:space="preserve">5G</t>
    </r>
    <r>
      <rPr>
        <sz val="9"/>
        <color rgb="FF000000"/>
        <rFont val="Linux Libertine G"/>
        <family val="2"/>
      </rPr>
      <t xml:space="preserve">应用渗透</t>
    </r>
  </si>
  <si>
    <r>
      <rPr>
        <sz val="9"/>
        <color rgb="FF000000"/>
        <rFont val="微软雅黑"/>
        <family val="2"/>
        <charset val="134"/>
      </rPr>
      <t xml:space="preserve">6-5G</t>
    </r>
    <r>
      <rPr>
        <sz val="9"/>
        <color rgb="FF000000"/>
        <rFont val="Linux Libertine G"/>
        <family val="2"/>
      </rPr>
      <t xml:space="preserve">用户数</t>
    </r>
  </si>
  <si>
    <r>
      <rPr>
        <sz val="9"/>
        <color rgb="FF000000"/>
        <rFont val="微软雅黑"/>
        <family val="2"/>
        <charset val="134"/>
      </rPr>
      <t xml:space="preserve">&gt;10=10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,6-8=6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,4-6=4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</si>
  <si>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5G</t>
    </r>
    <r>
      <rPr>
        <sz val="9"/>
        <color rgb="FF000000"/>
        <rFont val="Linux Libertine G"/>
        <family val="2"/>
      </rPr>
      <t xml:space="preserve">用户突破</t>
    </r>
    <r>
      <rPr>
        <sz val="9"/>
        <color rgb="FF000000"/>
        <rFont val="微软雅黑"/>
        <family val="2"/>
        <charset val="134"/>
      </rPr>
      <t xml:space="preserve">10</t>
    </r>
    <r>
      <rPr>
        <sz val="9"/>
        <color rgb="FF000000"/>
        <rFont val="Linux Libertine G"/>
        <family val="2"/>
      </rPr>
      <t xml:space="preserve">亿，渗透率持续提升</t>
    </r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</si>
  <si>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电信业务收入</t>
    </r>
  </si>
  <si>
    <t xml:space="preserve">电信收入稳健，新兴业务贡献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</si>
  <si>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通信设备出货量</t>
    </r>
  </si>
  <si>
    <r>
      <rPr>
        <sz val="9"/>
        <color rgb="FF000000"/>
        <rFont val="Linux Libertine G"/>
        <family val="2"/>
      </rPr>
      <t xml:space="preserve">设备出货高增，</t>
    </r>
    <r>
      <rPr>
        <sz val="9"/>
        <color rgb="FF000000"/>
        <rFont val="Linux Libertine G"/>
        <family val="2"/>
        <charset val="1"/>
      </rPr>
      <t xml:space="preserve">5G/</t>
    </r>
    <r>
      <rPr>
        <sz val="9"/>
        <color rgb="FF000000"/>
        <rFont val="Linux Libertine G"/>
        <family val="2"/>
      </rPr>
      <t xml:space="preserve">算力需求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</si>
  <si>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通信企业季度净利润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</si>
  <si>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利润高增，运营商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设备商贡献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</si>
  <si>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通信行业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</si>
  <si>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ROE</t>
    </r>
    <r>
      <rPr>
        <sz val="9"/>
        <color rgb="FF000000"/>
        <rFont val="Linux Libertine G"/>
        <family val="2"/>
      </rPr>
      <t xml:space="preserve">改善，盈利能力提升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</si>
  <si>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通信行业资产负债率</t>
    </r>
  </si>
  <si>
    <t xml:space="preserve">行业景气度量化跟踪体系（参数优化版）— 银行</t>
  </si>
  <si>
    <r>
      <rPr>
        <b val="true"/>
        <sz val="9"/>
        <color rgb="FF000000"/>
        <rFont val="Linux Libertine G"/>
        <family val="2"/>
      </rPr>
      <t xml:space="preserve">默认阶段框架：防御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成熟｜先行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=30%/45%/25%</t>
    </r>
    <r>
      <rPr>
        <b val="true"/>
        <sz val="9"/>
        <color rgb="FF000000"/>
        <rFont val="Linux Libertine G"/>
        <family val="2"/>
      </rPr>
      <t xml:space="preserve">。同步经营和现金流优先；先行指标只作边际变化确认。｜核心验证：信用扩张、息差与资产质量；必选：社融、贷款投放、利率曲线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</si>
  <si>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社融规模增速</t>
    </r>
  </si>
  <si>
    <r>
      <rPr>
        <sz val="9"/>
        <color rgb="FF000000"/>
        <rFont val="微软雅黑"/>
        <family val="2"/>
        <charset val="134"/>
      </rPr>
      <t xml:space="preserve">&gt;12%=10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,10-12%=8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,6-8%=4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</si>
  <si>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2-M2</t>
    </r>
    <r>
      <rPr>
        <sz val="9"/>
        <color rgb="FF000000"/>
        <rFont val="Linux Libertine G"/>
        <family val="2"/>
      </rPr>
      <t xml:space="preserve">增速</t>
    </r>
  </si>
  <si>
    <r>
      <rPr>
        <sz val="9"/>
        <color rgb="FF000000"/>
        <rFont val="微软雅黑"/>
        <family val="2"/>
        <charset val="134"/>
      </rPr>
      <t xml:space="preserve">&gt;10%=10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,6-8%=6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,4-6%=4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</si>
  <si>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M2</t>
    </r>
    <r>
      <rPr>
        <sz val="9"/>
        <color rgb="FF000000"/>
        <rFont val="Linux Libertine G"/>
        <family val="2"/>
      </rPr>
      <t xml:space="preserve">增速回升，流动性充裕</t>
    </r>
  </si>
  <si>
    <r>
      <rPr>
        <sz val="9"/>
        <color rgb="FF000000"/>
        <rFont val="微软雅黑"/>
        <family val="2"/>
        <charset val="134"/>
      </rPr>
      <t xml:space="preserve">3-10</t>
    </r>
    <r>
      <rPr>
        <sz val="9"/>
        <color rgb="FF000000"/>
        <rFont val="Linux Libertine G"/>
        <family val="2"/>
      </rPr>
      <t xml:space="preserve">年期国债收益率</t>
    </r>
  </si>
  <si>
    <r>
      <rPr>
        <sz val="9"/>
        <color rgb="FF000000"/>
        <rFont val="微软雅黑"/>
        <family val="2"/>
        <charset val="134"/>
      </rPr>
      <t xml:space="preserve">2.5-3.0=10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,2.0-2.5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3.0-3.5=8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,1.5-2.0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3.5-4.0=6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,&lt;1.5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&gt;4.0=4</t>
    </r>
    <r>
      <rPr>
        <sz val="9"/>
        <color rgb="FF000000"/>
        <rFont val="Linux Libertine G"/>
        <family val="2"/>
      </rPr>
      <t xml:space="preserve">分</t>
    </r>
  </si>
  <si>
    <t xml:space="preserve">利率处于低位，息差承压</t>
  </si>
  <si>
    <r>
      <rPr>
        <sz val="9"/>
        <color rgb="FF000000"/>
        <rFont val="微软雅黑"/>
        <family val="2"/>
        <charset val="134"/>
      </rPr>
      <t xml:space="preserve">4-LPR</t>
    </r>
    <r>
      <rPr>
        <sz val="9"/>
        <color rgb="FF000000"/>
        <rFont val="Linux Libertine G"/>
        <family val="2"/>
      </rPr>
      <t xml:space="preserve">利率变化</t>
    </r>
  </si>
  <si>
    <r>
      <rPr>
        <sz val="9"/>
        <color rgb="FF000000"/>
        <rFont val="微软雅黑"/>
        <family val="2"/>
        <charset val="134"/>
      </rPr>
      <t xml:space="preserve">bp(</t>
    </r>
    <r>
      <rPr>
        <sz val="9"/>
        <color rgb="FF000000"/>
        <rFont val="Linux Libertine G"/>
        <family val="2"/>
      </rPr>
      <t xml:space="preserve">累计</t>
    </r>
    <r>
      <rPr>
        <sz val="9"/>
        <color rgb="FF000000"/>
        <rFont val="微软雅黑"/>
        <family val="2"/>
        <charset val="134"/>
      </rPr>
      <t xml:space="preserve">)</t>
    </r>
  </si>
  <si>
    <r>
      <rPr>
        <sz val="9"/>
        <color rgb="FF000000"/>
        <rFont val="Linux Libertine G"/>
        <family val="2"/>
      </rPr>
      <t xml:space="preserve">下调</t>
    </r>
    <r>
      <rPr>
        <sz val="9"/>
        <color rgb="FF000000"/>
        <rFont val="Linux Libertine G"/>
        <family val="2"/>
        <charset val="1"/>
      </rPr>
      <t xml:space="preserve">&gt;20bp=10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下调</t>
    </r>
    <r>
      <rPr>
        <sz val="9"/>
        <color rgb="FF000000"/>
        <rFont val="Linux Libertine G"/>
        <family val="2"/>
        <charset val="1"/>
      </rPr>
      <t xml:space="preserve">10-20bp=8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不变</t>
    </r>
    <r>
      <rPr>
        <sz val="9"/>
        <color rgb="FF000000"/>
        <rFont val="Linux Libertine G"/>
        <family val="2"/>
        <charset val="1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上调</t>
    </r>
    <r>
      <rPr>
        <sz val="9"/>
        <color rgb="FF000000"/>
        <rFont val="Linux Libertine G"/>
        <family val="2"/>
        <charset val="1"/>
      </rPr>
      <t xml:space="preserve">10-20bp=4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上调</t>
    </r>
    <r>
      <rPr>
        <sz val="9"/>
        <color rgb="FF000000"/>
        <rFont val="Linux Libertine G"/>
        <family val="2"/>
        <charset val="1"/>
      </rPr>
      <t xml:space="preserve">&gt;20bp=2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</si>
  <si>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LPR</t>
    </r>
    <r>
      <rPr>
        <sz val="9"/>
        <color rgb="FF000000"/>
        <rFont val="Linux Libertine G"/>
        <family val="2"/>
      </rPr>
      <t xml:space="preserve">多次下调，刺激信贷需求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</si>
  <si>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人民币贷款增速</t>
    </r>
  </si>
  <si>
    <t xml:space="preserve">贷款增速稳健，信贷需求恢复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</si>
  <si>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净息差</t>
    </r>
    <r>
      <rPr>
        <sz val="9"/>
        <color rgb="FF000000"/>
        <rFont val="微软雅黑"/>
        <family val="2"/>
        <charset val="134"/>
      </rPr>
      <t xml:space="preserve">(NIM)</t>
    </r>
  </si>
  <si>
    <r>
      <rPr>
        <sz val="9"/>
        <color rgb="FF000000"/>
        <rFont val="微软雅黑"/>
        <family val="2"/>
        <charset val="134"/>
      </rPr>
      <t xml:space="preserve">&gt;2.2%=10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,1.9-2.2%=8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,1.6-1.9%=6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,1.3-1.6%=4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,&lt;1.3%=2</t>
    </r>
    <r>
      <rPr>
        <sz val="9"/>
        <color rgb="FF000000"/>
        <rFont val="Linux Libertine G"/>
        <family val="2"/>
      </rPr>
      <t xml:space="preserve">分</t>
    </r>
  </si>
  <si>
    <t xml:space="preserve">净息差收窄，盈利能力承压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</si>
  <si>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不良贷款率</t>
    </r>
  </si>
  <si>
    <r>
      <rPr>
        <sz val="9"/>
        <color rgb="FF000000"/>
        <rFont val="微软雅黑"/>
        <family val="2"/>
        <charset val="134"/>
      </rPr>
      <t xml:space="preserve">&lt;1.5%=10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,1.5-1.8%=8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,1.8-2.1%=6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,2.1-2.5%=4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,&gt;2.5%=2</t>
    </r>
    <r>
      <rPr>
        <sz val="9"/>
        <color rgb="FF000000"/>
        <rFont val="Linux Libertine G"/>
        <family val="2"/>
      </rPr>
      <t xml:space="preserve">分</t>
    </r>
  </si>
  <si>
    <t xml:space="preserve">不良率可控，资产质量稳定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</si>
  <si>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银行中间业务收入增速</t>
    </r>
  </si>
  <si>
    <t xml:space="preserve">中收增速温和，财富管理恢复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</si>
  <si>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银行季度净利润增速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</si>
  <si>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利润正增，但增速放缓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</si>
  <si>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银行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</si>
  <si>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ROE</t>
    </r>
    <r>
      <rPr>
        <sz val="9"/>
        <color rgb="FF000000"/>
        <rFont val="Linux Libertine G"/>
        <family val="2"/>
      </rPr>
      <t xml:space="preserve">下行，息差收窄拖累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</si>
  <si>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拨备覆盖率</t>
    </r>
  </si>
  <si>
    <r>
      <rPr>
        <sz val="9"/>
        <color rgb="FF000000"/>
        <rFont val="微软雅黑"/>
        <family val="2"/>
        <charset val="134"/>
      </rPr>
      <t xml:space="preserve">&gt;300%=10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,250-300%=8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,200-250%=6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,150-200%=4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,&lt;150%=2</t>
    </r>
    <r>
      <rPr>
        <sz val="9"/>
        <color rgb="FF000000"/>
        <rFont val="Linux Libertine G"/>
        <family val="2"/>
      </rPr>
      <t xml:space="preserve">分</t>
    </r>
  </si>
  <si>
    <t xml:space="preserve">拨备充足，风险抵补能力强</t>
  </si>
  <si>
    <t xml:space="preserve">行业景气度量化跟踪体系（参数优化版）— 非银金融</t>
  </si>
  <si>
    <r>
      <rPr>
        <b val="true"/>
        <sz val="9"/>
        <color rgb="FF000000"/>
        <rFont val="Linux Libertine G"/>
        <family val="2"/>
      </rPr>
      <t xml:space="preserve">默认阶段框架：信用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风险偏好周期｜先行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=35%/45%/20%</t>
    </r>
    <r>
      <rPr>
        <b val="true"/>
        <sz val="9"/>
        <color rgb="FF000000"/>
        <rFont val="Linux Libertine G"/>
        <family val="2"/>
      </rPr>
      <t xml:space="preserve">。信用与资产质量优先；券商、保险、银行不宜混算。｜核心验证：成交活跃、产品发行与投资回报；必选：成交额、两融、基金发行</t>
    </r>
  </si>
  <si>
    <r>
      <rPr>
        <sz val="9"/>
        <color rgb="FF000000"/>
        <rFont val="微软雅黑"/>
        <family val="2"/>
        <charset val="134"/>
      </rPr>
      <t xml:space="preserve">1-A</t>
    </r>
    <r>
      <rPr>
        <sz val="9"/>
        <color rgb="FF000000"/>
        <rFont val="Linux Libertine G"/>
        <family val="2"/>
      </rPr>
      <t xml:space="preserve">股日均成交额</t>
    </r>
  </si>
  <si>
    <r>
      <rPr>
        <sz val="9"/>
        <color rgb="FF000000"/>
        <rFont val="微软雅黑"/>
        <family val="2"/>
        <charset val="134"/>
      </rPr>
      <t xml:space="preserve">&gt;15000=10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,10000-15000=8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,7000-10000=6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,4000-7000=4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,&lt;4000=2</t>
    </r>
    <r>
      <rPr>
        <sz val="9"/>
        <color rgb="FF000000"/>
        <rFont val="Linux Libertine G"/>
        <family val="2"/>
      </rPr>
      <t xml:space="preserve">分</t>
    </r>
  </si>
  <si>
    <t xml:space="preserve">成交额回升，市场活跃度改善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</si>
  <si>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两融余额变化</t>
    </r>
  </si>
  <si>
    <t xml:space="preserve">两融余额回升，杠杆资金入场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</si>
  <si>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新成立基金规模</t>
    </r>
  </si>
  <si>
    <t xml:space="preserve">基金发行回暖，居民配置意愿恢复</t>
  </si>
  <si>
    <r>
      <rPr>
        <sz val="9"/>
        <color rgb="FF000000"/>
        <rFont val="微软雅黑"/>
        <family val="2"/>
        <charset val="134"/>
      </rPr>
      <t xml:space="preserve">4-IPO/</t>
    </r>
    <r>
      <rPr>
        <sz val="9"/>
        <color rgb="FF000000"/>
        <rFont val="Linux Libertine G"/>
        <family val="2"/>
      </rPr>
      <t xml:space="preserve">再融资规模</t>
    </r>
  </si>
  <si>
    <r>
      <rPr>
        <sz val="9"/>
        <color rgb="FF000000"/>
        <rFont val="微软雅黑"/>
        <family val="2"/>
        <charset val="134"/>
      </rPr>
      <t xml:space="preserve">IPO</t>
    </r>
    <r>
      <rPr>
        <sz val="9"/>
        <color rgb="FF000000"/>
        <rFont val="Linux Libertine G"/>
        <family val="2"/>
      </rPr>
      <t xml:space="preserve">再融资温和，投行业务恢复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</si>
  <si>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券商经纪业务收入</t>
    </r>
  </si>
  <si>
    <t xml:space="preserve">经纪收入增长，成交活跃度提升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</si>
  <si>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券商投行业务收入</t>
    </r>
  </si>
  <si>
    <r>
      <rPr>
        <sz val="9"/>
        <color rgb="FF000000"/>
        <rFont val="微软雅黑"/>
        <family val="2"/>
        <charset val="134"/>
      </rPr>
      <t xml:space="preserve">&gt;15%=10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,&lt;-10%=2</t>
    </r>
    <r>
      <rPr>
        <sz val="9"/>
        <color rgb="FF000000"/>
        <rFont val="Linux Libertine G"/>
        <family val="2"/>
      </rPr>
      <t xml:space="preserve">分</t>
    </r>
  </si>
  <si>
    <t xml:space="preserve">投行收入温和增长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</si>
  <si>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保险保费收入增速</t>
    </r>
  </si>
  <si>
    <t xml:space="preserve">保费收入回暖，储蓄型产品热销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</si>
  <si>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保险资金运用收益率</t>
    </r>
  </si>
  <si>
    <t xml:space="preserve">投资收益改善，权益市场回暖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</si>
  <si>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非银企业季度净利润</t>
    </r>
  </si>
  <si>
    <r>
      <rPr>
        <sz val="9"/>
        <color rgb="FF000000"/>
        <rFont val="微软雅黑"/>
        <family val="2"/>
        <charset val="134"/>
      </rPr>
      <t xml:space="preserve">&gt;200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,100-200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,-100-0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</si>
  <si>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利润改善，券商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保险贡献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</si>
  <si>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券商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</si>
  <si>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ROE</t>
    </r>
    <r>
      <rPr>
        <sz val="9"/>
        <color rgb="FF000000"/>
        <rFont val="Linux Libertine G"/>
        <family val="2"/>
      </rPr>
      <t xml:space="preserve">改善，但绝对水平仍偏低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</si>
  <si>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保险综合偿付能力充足率</t>
    </r>
  </si>
  <si>
    <r>
      <rPr>
        <sz val="9"/>
        <color rgb="FF000000"/>
        <rFont val="微软雅黑"/>
        <family val="2"/>
        <charset val="134"/>
      </rPr>
      <t xml:space="preserve">&gt;250%=10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,200-250%=8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,150-200%=6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,120-150%=4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,&lt;120%=2</t>
    </r>
    <r>
      <rPr>
        <sz val="9"/>
        <color rgb="FF000000"/>
        <rFont val="Linux Libertine G"/>
        <family val="2"/>
      </rPr>
      <t xml:space="preserve">分</t>
    </r>
  </si>
  <si>
    <t xml:space="preserve">偿付能力充足，风险抵御能力强</t>
  </si>
  <si>
    <t xml:space="preserve">行业景气度量化跟踪体系（参数优化版）— 汽车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</si>
  <si>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利润交叉确认，使用季调数据。｜核心验证：产品周期、出口与库存；必选：库存系数、新品周期、出口订单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</si>
  <si>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汽车经销商库存系数</t>
    </r>
  </si>
  <si>
    <r>
      <rPr>
        <sz val="9"/>
        <color rgb="FF000000"/>
        <rFont val="微软雅黑"/>
        <family val="2"/>
        <charset val="134"/>
      </rPr>
      <t xml:space="preserve">&lt;1.2=10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,1.2-1.5=8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,1.5-1.8=6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,1.8-2.2=4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,&gt;2.2=2</t>
    </r>
    <r>
      <rPr>
        <sz val="9"/>
        <color rgb="FF000000"/>
        <rFont val="Linux Libertine G"/>
        <family val="2"/>
      </rPr>
      <t xml:space="preserve">分</t>
    </r>
  </si>
  <si>
    <t xml:space="preserve">库存系数回落，去库进展顺利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</si>
  <si>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新能源汽车渗透率</t>
    </r>
  </si>
  <si>
    <t xml:space="preserve">渗透率快速提升，电动化加速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</si>
  <si>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动力电池装车量增速</t>
    </r>
  </si>
  <si>
    <t xml:space="preserve">电池装车高增，新能源车产销两旺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</si>
  <si>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汽车出口量增速</t>
    </r>
  </si>
  <si>
    <t xml:space="preserve">汽车出口强劲，全球化加速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</si>
  <si>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汽车销量增速</t>
    </r>
  </si>
  <si>
    <t xml:space="preserve">汽车销量稳健增长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</si>
  <si>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新能源汽车销量</t>
    </r>
  </si>
  <si>
    <r>
      <rPr>
        <sz val="9"/>
        <color rgb="FF000000"/>
        <rFont val="Linux Libertine G"/>
        <family val="2"/>
      </rPr>
      <t xml:space="preserve">万辆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月</t>
    </r>
  </si>
  <si>
    <t xml:space="preserve">新能源车销量高增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</si>
  <si>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乘用车批发量</t>
    </r>
  </si>
  <si>
    <r>
      <rPr>
        <sz val="9"/>
        <color rgb="FF000000"/>
        <rFont val="微软雅黑"/>
        <family val="2"/>
        <charset val="134"/>
      </rPr>
      <t xml:space="preserve">&gt;200=10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,180-200=8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,160-180=6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,140-160=4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,&lt;140=2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</si>
  <si>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乘用车批发接近</t>
    </r>
    <r>
      <rPr>
        <sz val="9"/>
        <color rgb="FF000000"/>
        <rFont val="Linux Libertine G"/>
        <family val="2"/>
        <charset val="1"/>
      </rPr>
      <t xml:space="preserve">200</t>
    </r>
    <r>
      <rPr>
        <sz val="9"/>
        <color rgb="FF000000"/>
        <rFont val="Linux Libertine G"/>
        <family val="2"/>
      </rPr>
      <t xml:space="preserve">万，需求旺盛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</si>
  <si>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汽车制造业</t>
    </r>
    <r>
      <rPr>
        <sz val="9"/>
        <color rgb="FF000000"/>
        <rFont val="微软雅黑"/>
        <family val="2"/>
        <charset val="134"/>
      </rPr>
      <t xml:space="preserve">PMI</t>
    </r>
  </si>
  <si>
    <r>
      <rPr>
        <sz val="9"/>
        <color rgb="FF000000"/>
        <rFont val="Linux Libertine G"/>
        <family val="2"/>
      </rPr>
      <t xml:space="preserve">制造业</t>
    </r>
    <r>
      <rPr>
        <sz val="9"/>
        <color rgb="FF000000"/>
        <rFont val="Linux Libertine G"/>
        <family val="2"/>
        <charset val="1"/>
      </rPr>
      <t xml:space="preserve">PMI</t>
    </r>
    <r>
      <rPr>
        <sz val="9"/>
        <color rgb="FF000000"/>
        <rFont val="Linux Libertine G"/>
        <family val="2"/>
      </rPr>
      <t xml:space="preserve">扩张，汽车生产活跃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</si>
  <si>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汽车企业季度净利润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</si>
  <si>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利润高增，出口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新能源贡献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</si>
  <si>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汽车行业产能利用率</t>
    </r>
  </si>
  <si>
    <t xml:space="preserve">产能利用率回升，供需改善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</si>
  <si>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汽车制造业固定资产投资</t>
    </r>
  </si>
  <si>
    <t xml:space="preserve">投资高增，新能源产能扩张</t>
  </si>
  <si>
    <t xml:space="preserve">行业景气度量化跟踪体系（参数优化版）— 机械设备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</si>
  <si>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。订单、库存和利用率优先；不同子行业拆分后再汇总。｜核心验证：制造业资本开支、订单与出口；必选：</t>
    </r>
    <r>
      <rPr>
        <b val="true"/>
        <sz val="9"/>
        <color rgb="FF000000"/>
        <rFont val="Linux Libertine G"/>
        <family val="2"/>
        <charset val="1"/>
      </rPr>
      <t xml:space="preserve">PMI</t>
    </r>
    <r>
      <rPr>
        <b val="true"/>
        <sz val="9"/>
        <color rgb="FF000000"/>
        <rFont val="Linux Libertine G"/>
        <family val="2"/>
      </rPr>
      <t xml:space="preserve">新订单、开工小时、设备订单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</si>
  <si>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制造业固定资产投资增速</t>
    </r>
  </si>
  <si>
    <t xml:space="preserve">制造业投资高增，设备更新需求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</si>
  <si>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挖掘机开工小时数</t>
    </r>
  </si>
  <si>
    <r>
      <rPr>
        <sz val="9"/>
        <color rgb="FF000000"/>
        <rFont val="Linux Libertine G"/>
        <family val="2"/>
      </rPr>
      <t xml:space="preserve">小时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</si>
  <si>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&gt;120=10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,100-120=8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,80-100=6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,&lt;60=2</t>
    </r>
    <r>
      <rPr>
        <sz val="9"/>
        <color rgb="FF000000"/>
        <rFont val="Linux Libertine G"/>
        <family val="2"/>
      </rPr>
      <t xml:space="preserve">分</t>
    </r>
  </si>
  <si>
    <t xml:space="preserve">开工小时回升，施工活跃度改善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</si>
  <si>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机床订单增速</t>
    </r>
  </si>
  <si>
    <t xml:space="preserve">机床订单回暖，制造业复苏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</si>
  <si>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工业机器人产量增速</t>
    </r>
  </si>
  <si>
    <t xml:space="preserve">机器人产量高增，自动化升级加速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</si>
  <si>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挖掘机销量增速</t>
    </r>
  </si>
  <si>
    <r>
      <rPr>
        <sz val="9"/>
        <color rgb="FF000000"/>
        <rFont val="Linux Libertine G"/>
        <family val="2"/>
      </rPr>
      <t xml:space="preserve">挖机销量转正，基建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矿山需求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</si>
  <si>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金属切削机床产量</t>
    </r>
  </si>
  <si>
    <t xml:space="preserve">机床产量回升，高端制造需求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</si>
  <si>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叉车销量增速</t>
    </r>
  </si>
  <si>
    <r>
      <rPr>
        <sz val="9"/>
        <color rgb="FF000000"/>
        <rFont val="Linux Libertine G"/>
        <family val="2"/>
      </rPr>
      <t xml:space="preserve">叉车销量高增，物流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仓储需求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</si>
  <si>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机械设备出口增速</t>
    </r>
  </si>
  <si>
    <t xml:space="preserve">机械出口强劲，海外竞争力提升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</si>
  <si>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机械企业季度净利润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</si>
  <si>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利润改善，出口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自动化贡献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</si>
  <si>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机械行业毛利率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</si>
  <si>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机械行业产能利用率</t>
    </r>
  </si>
  <si>
    <t xml:space="preserve">行业景气度量化跟踪体系（参数优化版）— 煤炭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</si>
  <si>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。先用库存、供给、订单确认反转；价格本身不能直接等同高景气。｜核心验证：日耗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库存与供给约束；必选：日耗、港口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电厂库存、进口、安监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</si>
  <si>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动力煤港口库存</t>
    </r>
  </si>
  <si>
    <r>
      <rPr>
        <sz val="9"/>
        <color rgb="FF000000"/>
        <rFont val="微软雅黑"/>
        <family val="2"/>
        <charset val="134"/>
      </rPr>
      <t xml:space="preserve">&lt;500=10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,500-600=8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,600-700=6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,700-800=4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,&gt;800=2</t>
    </r>
    <r>
      <rPr>
        <sz val="9"/>
        <color rgb="FF000000"/>
        <rFont val="Linux Libertine G"/>
        <family val="2"/>
      </rPr>
      <t xml:space="preserve">分</t>
    </r>
  </si>
  <si>
    <t xml:space="preserve">港口库存偏低，供给偏紧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</si>
  <si>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焦煤港口库存</t>
    </r>
  </si>
  <si>
    <r>
      <rPr>
        <sz val="9"/>
        <color rgb="FF000000"/>
        <rFont val="微软雅黑"/>
        <family val="2"/>
        <charset val="134"/>
      </rPr>
      <t xml:space="preserve">&lt;200=10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,200-250=8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,250-300=6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,300-350=4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,&gt;350=2</t>
    </r>
    <r>
      <rPr>
        <sz val="9"/>
        <color rgb="FF000000"/>
        <rFont val="Linux Libertine G"/>
        <family val="2"/>
      </rPr>
      <t xml:space="preserve">分</t>
    </r>
  </si>
  <si>
    <t xml:space="preserve">焦煤库存低位，供给紧张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</si>
  <si>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电厂日耗煤量</t>
    </r>
  </si>
  <si>
    <r>
      <rPr>
        <sz val="9"/>
        <color rgb="FF000000"/>
        <rFont val="微软雅黑"/>
        <family val="2"/>
        <charset val="134"/>
      </rPr>
      <t xml:space="preserve">&gt;80=10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,70-80=8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,&lt;50=2</t>
    </r>
    <r>
      <rPr>
        <sz val="9"/>
        <color rgb="FF000000"/>
        <rFont val="Linux Libertine G"/>
        <family val="2"/>
      </rPr>
      <t xml:space="preserve">分</t>
    </r>
  </si>
  <si>
    <t xml:space="preserve">日耗高增，夏季用电高峰来临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</si>
  <si>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进口煤数量增速</t>
    </r>
  </si>
  <si>
    <t xml:space="preserve">进口煤平稳，国内供给充足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</si>
  <si>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动力煤现货价格</t>
    </r>
  </si>
  <si>
    <r>
      <rPr>
        <sz val="9"/>
        <color rgb="FF000000"/>
        <rFont val="微软雅黑"/>
        <family val="2"/>
        <charset val="134"/>
      </rPr>
      <t xml:space="preserve">800-900=10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,700-800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900-1000=8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,600-700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1000-1100=6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,&lt;600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&gt;1100=4</t>
    </r>
    <r>
      <rPr>
        <sz val="9"/>
        <color rgb="FF000000"/>
        <rFont val="Linux Libertine G"/>
        <family val="2"/>
      </rPr>
      <t xml:space="preserve">分</t>
    </r>
  </si>
  <si>
    <t xml:space="preserve">煤价中枢回升，供需偏紧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</si>
  <si>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焦煤现货价格</t>
    </r>
  </si>
  <si>
    <r>
      <rPr>
        <sz val="9"/>
        <color rgb="FF000000"/>
        <rFont val="微软雅黑"/>
        <family val="2"/>
        <charset val="134"/>
      </rPr>
      <t xml:space="preserve">1800-2200=10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,1500-1800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2200-2500=8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,1200-1500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2500-2800=6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,&lt;1200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&gt;2800=4</t>
    </r>
    <r>
      <rPr>
        <sz val="9"/>
        <color rgb="FF000000"/>
        <rFont val="Linux Libertine G"/>
        <family val="2"/>
      </rPr>
      <t xml:space="preserve">分</t>
    </r>
  </si>
  <si>
    <t xml:space="preserve">焦煤价格回升，钢铁需求拉动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</si>
  <si>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焦炭价格</t>
    </r>
  </si>
  <si>
    <r>
      <rPr>
        <sz val="9"/>
        <color rgb="FF000000"/>
        <rFont val="微软雅黑"/>
        <family val="2"/>
        <charset val="134"/>
      </rPr>
      <t xml:space="preserve">&gt;2500=10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,2200-2500=8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,1900-2200=6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,1600-1900=4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,&lt;1600=2</t>
    </r>
    <r>
      <rPr>
        <sz val="9"/>
        <color rgb="FF000000"/>
        <rFont val="Linux Libertine G"/>
        <family val="2"/>
      </rPr>
      <t xml:space="preserve">分</t>
    </r>
  </si>
  <si>
    <t xml:space="preserve">焦炭价格上涨，成本传导顺畅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</si>
  <si>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煤炭运价指数</t>
    </r>
  </si>
  <si>
    <r>
      <rPr>
        <sz val="9"/>
        <color rgb="FF000000"/>
        <rFont val="微软雅黑"/>
        <family val="2"/>
        <charset val="134"/>
      </rPr>
      <t xml:space="preserve">&gt;1000=10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,800-1000=8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,600-800=6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,400-600=4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,&lt;400=2</t>
    </r>
    <r>
      <rPr>
        <sz val="9"/>
        <color rgb="FF000000"/>
        <rFont val="Linux Libertine G"/>
        <family val="2"/>
      </rPr>
      <t xml:space="preserve">分</t>
    </r>
  </si>
  <si>
    <t xml:space="preserve">运价回升，煤炭运输活跃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</si>
  <si>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煤炭企业季度净利润</t>
    </r>
  </si>
  <si>
    <r>
      <rPr>
        <sz val="9"/>
        <color rgb="FF000000"/>
        <rFont val="微软雅黑"/>
        <family val="2"/>
        <charset val="134"/>
      </rPr>
      <t xml:space="preserve">&gt;300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,150-300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,0-150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,-150-0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,&lt;-150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</si>
  <si>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利润下滑，煤价同比回落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</si>
  <si>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煤炭行业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</si>
  <si>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ROE</t>
    </r>
    <r>
      <rPr>
        <sz val="9"/>
        <color rgb="FF000000"/>
        <rFont val="Linux Libertine G"/>
        <family val="2"/>
      </rPr>
      <t xml:space="preserve">回落，但仍处较好水平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</si>
  <si>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煤炭行业资产负债率</t>
    </r>
  </si>
  <si>
    <t xml:space="preserve">负债率下降，现金流充裕</t>
  </si>
  <si>
    <t xml:space="preserve">行业景气度量化跟踪体系（参数优化版）— 石油石化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</si>
  <si>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。先用库存、供给、订单确认反转；价格本身不能直接等同高景气。｜核心验证：全球供需、库存与炼化价差；必选：</t>
    </r>
    <r>
      <rPr>
        <b val="true"/>
        <sz val="9"/>
        <color rgb="FF000000"/>
        <rFont val="Linux Libertine G"/>
        <family val="2"/>
        <charset val="1"/>
      </rPr>
      <t xml:space="preserve">OPEC</t>
    </r>
    <r>
      <rPr>
        <b val="true"/>
        <sz val="9"/>
        <color rgb="FF000000"/>
        <rFont val="Linux Libertine G"/>
        <family val="2"/>
      </rPr>
      <t xml:space="preserve">、库存、需求预期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</si>
  <si>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原油价格</t>
    </r>
    <r>
      <rPr>
        <sz val="9"/>
        <color rgb="FF000000"/>
        <rFont val="微软雅黑"/>
        <family val="2"/>
        <charset val="134"/>
      </rPr>
      <t xml:space="preserve">(Brent)</t>
    </r>
  </si>
  <si>
    <r>
      <rPr>
        <sz val="9"/>
        <color rgb="FF000000"/>
        <rFont val="微软雅黑"/>
        <family val="2"/>
        <charset val="134"/>
      </rPr>
      <t xml:space="preserve">70-80=10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80-90=8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90-100=6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&gt;100=4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</si>
  <si>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2-OPEC+</t>
    </r>
    <r>
      <rPr>
        <sz val="9"/>
        <color rgb="FF000000"/>
        <rFont val="Linux Libertine G"/>
        <family val="2"/>
      </rPr>
      <t xml:space="preserve">产量政策</t>
    </r>
  </si>
  <si>
    <r>
      <rPr>
        <sz val="9"/>
        <color rgb="FF000000"/>
        <rFont val="Linux Libertine G"/>
        <family val="2"/>
      </rPr>
      <t xml:space="preserve">万桶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日</t>
    </r>
    <r>
      <rPr>
        <sz val="9"/>
        <color rgb="FF000000"/>
        <rFont val="Linux Libertine G"/>
        <family val="2"/>
        <charset val="1"/>
      </rPr>
      <t xml:space="preserve">(</t>
    </r>
    <r>
      <rPr>
        <sz val="9"/>
        <color rgb="FF000000"/>
        <rFont val="Linux Libertine G"/>
        <family val="2"/>
      </rPr>
      <t xml:space="preserve">减产</t>
    </r>
    <r>
      <rPr>
        <sz val="9"/>
        <color rgb="FF000000"/>
        <rFont val="Linux Libertine G"/>
        <family val="2"/>
        <charset val="1"/>
      </rPr>
      <t xml:space="preserve">)</t>
    </r>
  </si>
  <si>
    <t xml:space="preserve">支撑</t>
  </si>
  <si>
    <r>
      <rPr>
        <sz val="9"/>
        <color rgb="FF000000"/>
        <rFont val="Linux Libertine G"/>
        <family val="2"/>
      </rPr>
      <t xml:space="preserve">减产</t>
    </r>
    <r>
      <rPr>
        <sz val="9"/>
        <color rgb="FF000000"/>
        <rFont val="Linux Libertine G"/>
        <family val="2"/>
        <charset val="1"/>
      </rPr>
      <t xml:space="preserve">&gt;100=10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减产</t>
    </r>
    <r>
      <rPr>
        <sz val="9"/>
        <color rgb="FF000000"/>
        <rFont val="Linux Libertine G"/>
        <family val="2"/>
        <charset val="1"/>
      </rPr>
      <t xml:space="preserve">50-100=8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不变</t>
    </r>
    <r>
      <rPr>
        <sz val="9"/>
        <color rgb="FF000000"/>
        <rFont val="Linux Libertine G"/>
        <family val="2"/>
        <charset val="1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增产</t>
    </r>
    <r>
      <rPr>
        <sz val="9"/>
        <color rgb="FF000000"/>
        <rFont val="Linux Libertine G"/>
        <family val="2"/>
        <charset val="1"/>
      </rPr>
      <t xml:space="preserve">50-100=4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增产</t>
    </r>
    <r>
      <rPr>
        <sz val="9"/>
        <color rgb="FF000000"/>
        <rFont val="Linux Libertine G"/>
        <family val="2"/>
        <charset val="1"/>
      </rPr>
      <t xml:space="preserve">&gt;100=2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</si>
  <si>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OPEC+</t>
    </r>
    <r>
      <rPr>
        <sz val="9"/>
        <color rgb="FF000000"/>
        <rFont val="Linux Libertine G"/>
        <family val="2"/>
      </rPr>
      <t xml:space="preserve">维持减产，供给端有支撑</t>
    </r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</si>
  <si>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美国原油库存变化</t>
    </r>
  </si>
  <si>
    <r>
      <rPr>
        <sz val="9"/>
        <color rgb="FF000000"/>
        <rFont val="微软雅黑"/>
        <family val="2"/>
        <charset val="134"/>
      </rPr>
      <t xml:space="preserve">&lt;-1%=10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,-1-0%=8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,1-2%=4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,&gt;2%=2</t>
    </r>
    <r>
      <rPr>
        <sz val="9"/>
        <color rgb="FF000000"/>
        <rFont val="Linux Libertine G"/>
        <family val="2"/>
      </rPr>
      <t xml:space="preserve">分</t>
    </r>
  </si>
  <si>
    <t xml:space="preserve">原油库存去化，供需偏紧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</si>
  <si>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全球石油需求预期</t>
    </r>
  </si>
  <si>
    <t xml:space="preserve">需求预期温和增长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</si>
  <si>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成品油价格</t>
    </r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</si>
  <si>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升</t>
    </r>
  </si>
  <si>
    <r>
      <rPr>
        <sz val="9"/>
        <color rgb="FF000000"/>
        <rFont val="微软雅黑"/>
        <family val="2"/>
        <charset val="134"/>
      </rPr>
      <t xml:space="preserve">&gt;8=10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,7-8=8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,6-7=6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,5-6=4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,&lt;5=2</t>
    </r>
    <r>
      <rPr>
        <sz val="9"/>
        <color rgb="FF000000"/>
        <rFont val="Linux Libertine G"/>
        <family val="2"/>
      </rPr>
      <t xml:space="preserve">分</t>
    </r>
  </si>
  <si>
    <t xml:space="preserve">成品油价格上调，炼化利润改善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</si>
  <si>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炼化开工率</t>
    </r>
  </si>
  <si>
    <t xml:space="preserve">炼化开工回升，需求端改善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</si>
  <si>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化工品价差</t>
    </r>
  </si>
  <si>
    <t xml:space="preserve">化工品价差改善，炼化利润修复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</si>
  <si>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石油制品出口增速</t>
    </r>
  </si>
  <si>
    <t xml:space="preserve">石油制品出口温和增长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</si>
  <si>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石化企业季度净利润</t>
    </r>
  </si>
  <si>
    <r>
      <rPr>
        <sz val="9"/>
        <color rgb="FF000000"/>
        <rFont val="微软雅黑"/>
        <family val="2"/>
        <charset val="134"/>
      </rPr>
      <t xml:space="preserve">&gt;500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,200-500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,-200-0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</si>
  <si>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利润改善，炼化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化工贡献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</si>
  <si>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石化行业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</si>
  <si>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ROE</t>
    </r>
    <r>
      <rPr>
        <sz val="9"/>
        <color rgb="FF000000"/>
        <rFont val="Linux Libertine G"/>
        <family val="2"/>
      </rPr>
      <t xml:space="preserve">改善，盈利能力回升</t>
    </r>
  </si>
  <si>
    <r>
      <rPr>
        <sz val="9"/>
        <color rgb="FF000000"/>
        <rFont val="微软雅黑"/>
        <family val="2"/>
        <charset val="134"/>
      </rPr>
      <t xml:space="preserve">11-PPI</t>
    </r>
    <r>
      <rPr>
        <sz val="9"/>
        <color rgb="FF000000"/>
        <rFont val="Linux Libertine G"/>
        <family val="2"/>
      </rPr>
      <t xml:space="preserve">石油和天然气开采</t>
    </r>
  </si>
  <si>
    <t xml:space="preserve">价格同比大涨，上游景气度高</t>
  </si>
  <si>
    <t xml:space="preserve">行业景气度量化跟踪体系（参数优化版）— 环保</t>
  </si>
  <si>
    <r>
      <rPr>
        <b val="true"/>
        <sz val="9"/>
        <color rgb="FF000000"/>
        <rFont val="Linux Libertine G"/>
        <family val="2"/>
      </rPr>
      <t xml:space="preserve">默认阶段框架：政策资本开支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交付｜先行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=45%/35%/20%</t>
    </r>
    <r>
      <rPr>
        <b val="true"/>
        <sz val="9"/>
        <color rgb="FF000000"/>
        <rFont val="Linux Libertine G"/>
        <family val="2"/>
      </rPr>
      <t xml:space="preserve">。政策与规划只作确认项，必须由招标、交付、回款和利润验证。｜核心验证：财政支付、订单与回款；必选：财政预算、项目订单、政策落地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</si>
  <si>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环保固定资产投资计划</t>
    </r>
  </si>
  <si>
    <r>
      <rPr>
        <sz val="9"/>
        <color rgb="FF000000"/>
        <rFont val="微软雅黑"/>
        <family val="2"/>
        <charset val="134"/>
      </rPr>
      <t xml:space="preserve">&gt;5000=10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,4000-5000=8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,3000-4000=6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,2000-3000=4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,&lt;2000=2</t>
    </r>
    <r>
      <rPr>
        <sz val="9"/>
        <color rgb="FF000000"/>
        <rFont val="Linux Libertine G"/>
        <family val="2"/>
      </rPr>
      <t xml:space="preserve">分</t>
    </r>
  </si>
  <si>
    <t xml:space="preserve">环保投资计划饱满，政策驱动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</si>
  <si>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环保政策发布数量</t>
    </r>
  </si>
  <si>
    <r>
      <rPr>
        <sz val="9"/>
        <color rgb="FF000000"/>
        <rFont val="Linux Libertine G"/>
        <family val="2"/>
      </rPr>
      <t xml:space="preserve">项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年</t>
    </r>
  </si>
  <si>
    <t xml:space="preserve">政策发布密集，监管趋严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</si>
  <si>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碳交易价格</t>
    </r>
  </si>
  <si>
    <t xml:space="preserve">碳价回升，碳资产价值提升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</si>
  <si>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地方政府环保支出</t>
    </r>
  </si>
  <si>
    <t xml:space="preserve">环保支出增长，财政支持力度加大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</si>
  <si>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污水处理量</t>
    </r>
  </si>
  <si>
    <t xml:space="preserve">污水处理量增长，运营业务稳定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</si>
  <si>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垃圾处理量</t>
    </r>
  </si>
  <si>
    <t xml:space="preserve">垃圾处理量增长，焚烧发电需求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</si>
  <si>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环保企业订单金额</t>
    </r>
  </si>
  <si>
    <r>
      <rPr>
        <sz val="9"/>
        <color rgb="FF000000"/>
        <rFont val="Linux Libertine G"/>
        <family val="2"/>
      </rPr>
      <t xml:space="preserve">订单高增，水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固废治理需求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</si>
  <si>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环保设备产量</t>
    </r>
  </si>
  <si>
    <t xml:space="preserve">设备产量增长，更新需求释放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</si>
  <si>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环保企业季度净利润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</si>
  <si>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利润改善，运营业务贡献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</si>
  <si>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环保行业毛利率</t>
    </r>
  </si>
  <si>
    <t xml:space="preserve">毛利率改善，运营占比提升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</si>
  <si>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环保行业应收账款周转</t>
    </r>
  </si>
  <si>
    <r>
      <rPr>
        <sz val="9"/>
        <color rgb="FF000000"/>
        <rFont val="微软雅黑"/>
        <family val="2"/>
        <charset val="134"/>
      </rPr>
      <t xml:space="preserve">&lt;120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,120-150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,150-180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,180-210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,&gt;210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</si>
  <si>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应收账款周转放缓，回款压力仍存</t>
  </si>
  <si>
    <t xml:space="preserve">行业景气度量化跟踪体系（参数优化版）— 美容护理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</si>
  <si>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利润交叉确认，使用季调数据。｜核心验证：品牌渗透、渠道效率与复购；必选：内容转化、渠道库存、消费信心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</si>
  <si>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居民人均可支配收入增速</t>
    </r>
  </si>
  <si>
    <t xml:space="preserve">收入增速放缓，高端消费承压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</si>
  <si>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化妆品进口金额增速</t>
    </r>
  </si>
  <si>
    <t xml:space="preserve">进口化妆品增长，消费升级</t>
  </si>
  <si>
    <t xml:space="preserve">信心指数低迷，可选消费承压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</si>
  <si>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社交媒体美妆话题热度</t>
    </r>
  </si>
  <si>
    <t xml:space="preserve">社媒热度高增，内容营销活跃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</si>
  <si>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化妆品零售额增速</t>
    </r>
  </si>
  <si>
    <t xml:space="preserve">化妆品零售回暖，国货崛起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</si>
  <si>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医美市场规模</t>
    </r>
  </si>
  <si>
    <t xml:space="preserve">医美市场高增，渗透率提升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</si>
  <si>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个护用品产量</t>
    </r>
  </si>
  <si>
    <t xml:space="preserve">个护产量增长，基础需求稳定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</si>
  <si>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美容护理线上销售额</t>
    </r>
  </si>
  <si>
    <r>
      <rPr>
        <sz val="9"/>
        <color rgb="FF000000"/>
        <rFont val="Linux Libertine G"/>
        <family val="2"/>
      </rPr>
      <t xml:space="preserve">魔镜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欧特欧</t>
    </r>
  </si>
  <si>
    <t xml:space="preserve">线上销售高增，渠道红利持续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</si>
  <si>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美容护理企业季度净利润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</si>
  <si>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利润改善，国货品牌贡献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</si>
  <si>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美容护理行业毛利率</t>
    </r>
  </si>
  <si>
    <t xml:space="preserve">毛利率高位，品牌溢价能力强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</si>
  <si>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美容护理行业销售费用率</t>
    </r>
  </si>
  <si>
    <r>
      <rPr>
        <sz val="9"/>
        <color rgb="FF000000"/>
        <rFont val="微软雅黑"/>
        <family val="2"/>
        <charset val="134"/>
      </rPr>
      <t xml:space="preserve">&lt;30%=10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,&gt;60%=2</t>
    </r>
    <r>
      <rPr>
        <sz val="9"/>
        <color rgb="FF000000"/>
        <rFont val="Linux Libertine G"/>
        <family val="2"/>
      </rPr>
      <t xml:space="preserve">分</t>
    </r>
  </si>
  <si>
    <t xml:space="preserve">费用率下降，品牌效率提升</t>
  </si>
  <si>
    <t xml:space="preserve">行业景气度量化跟踪体系（参数优化版）— 半导体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</si>
  <si>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。订单、库存和利用率优先；不同子行业拆分后再汇总。｜核心验证：库存周期、供给约束与订单；必选：库存、存储价格、订单、</t>
    </r>
    <r>
      <rPr>
        <b val="true"/>
        <sz val="9"/>
        <color rgb="FF000000"/>
        <rFont val="Linux Libertine G"/>
        <family val="2"/>
        <charset val="1"/>
      </rPr>
      <t xml:space="preserve">CAPEX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</si>
  <si>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存储芯片价格变化</t>
    </r>
    <r>
      <rPr>
        <sz val="9"/>
        <color rgb="FF000000"/>
        <rFont val="微软雅黑"/>
        <family val="2"/>
        <charset val="134"/>
      </rPr>
      <t xml:space="preserve">(DRAM/NAND)</t>
    </r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</si>
  <si>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设备商订单增速</t>
    </r>
    <r>
      <rPr>
        <sz val="9"/>
        <color rgb="FF000000"/>
        <rFont val="微软雅黑"/>
        <family val="2"/>
        <charset val="134"/>
      </rPr>
      <t xml:space="preserve">(</t>
    </r>
    <r>
      <rPr>
        <sz val="9"/>
        <color rgb="FF000000"/>
        <rFont val="Linux Libertine G"/>
        <family val="2"/>
      </rPr>
      <t xml:space="preserve">应用材料</t>
    </r>
    <r>
      <rPr>
        <sz val="9"/>
        <color rgb="FF000000"/>
        <rFont val="微软雅黑"/>
        <family val="2"/>
        <charset val="134"/>
      </rPr>
      <t xml:space="preserve">/ASML)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</si>
  <si>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龙头企业资本开支增速</t>
    </r>
  </si>
  <si>
    <r>
      <rPr>
        <sz val="9"/>
        <color rgb="FF000000"/>
        <rFont val="Linux Libertine G"/>
        <family val="2"/>
      </rPr>
      <t xml:space="preserve">中芯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台积电财报</t>
    </r>
  </si>
  <si>
    <r>
      <rPr>
        <sz val="9"/>
        <color rgb="FF000000"/>
        <rFont val="微软雅黑"/>
        <family val="2"/>
        <charset val="134"/>
      </rPr>
      <t xml:space="preserve">&gt;50%=10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,30-50%=8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,10-30%=6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</si>
  <si>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资本开支增长，但增速放缓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</si>
  <si>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新签订单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合同负债增速</t>
    </r>
  </si>
  <si>
    <r>
      <rPr>
        <sz val="9"/>
        <color rgb="FF000000"/>
        <rFont val="Linux Libertine G"/>
        <family val="2"/>
      </rPr>
      <t xml:space="preserve">设备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材料商财报</t>
    </r>
  </si>
  <si>
    <t xml:space="preserve">爆发</t>
  </si>
  <si>
    <r>
      <rPr>
        <sz val="9"/>
        <color rgb="FF000000"/>
        <rFont val="Linux Libertine G"/>
        <family val="2"/>
      </rPr>
      <t xml:space="preserve">订单爆发，设备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材料商景气确认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</si>
  <si>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进口替代进度</t>
    </r>
    <r>
      <rPr>
        <sz val="9"/>
        <color rgb="FF000000"/>
        <rFont val="微软雅黑"/>
        <family val="2"/>
        <charset val="134"/>
      </rPr>
      <t xml:space="preserve">(</t>
    </r>
    <r>
      <rPr>
        <sz val="9"/>
        <color rgb="FF000000"/>
        <rFont val="Linux Libertine G"/>
        <family val="2"/>
      </rPr>
      <t xml:space="preserve">国产化率提升</t>
    </r>
    <r>
      <rPr>
        <sz val="9"/>
        <color rgb="FF000000"/>
        <rFont val="微软雅黑"/>
        <family val="2"/>
        <charset val="134"/>
      </rPr>
      <t xml:space="preserve">)</t>
    </r>
  </si>
  <si>
    <t xml:space="preserve">加速</t>
  </si>
  <si>
    <r>
      <rPr>
        <sz val="9"/>
        <color rgb="FF000000"/>
        <rFont val="Linux Libertine G"/>
        <family val="2"/>
      </rPr>
      <t xml:space="preserve">提升</t>
    </r>
    <r>
      <rPr>
        <sz val="9"/>
        <color rgb="FF000000"/>
        <rFont val="Linux Libertine G"/>
        <family val="2"/>
        <charset val="1"/>
      </rPr>
      <t xml:space="preserve">&gt;10pct=10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提升</t>
    </r>
    <r>
      <rPr>
        <sz val="9"/>
        <color rgb="FF000000"/>
        <rFont val="Linux Libertine G"/>
        <family val="2"/>
        <charset val="1"/>
      </rPr>
      <t xml:space="preserve">5-10pct=8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提升</t>
    </r>
    <r>
      <rPr>
        <sz val="9"/>
        <color rgb="FF000000"/>
        <rFont val="Linux Libertine G"/>
        <family val="2"/>
        <charset val="1"/>
      </rPr>
      <t xml:space="preserve">2-5pct=6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持平</t>
    </r>
    <r>
      <rPr>
        <sz val="9"/>
        <color rgb="FF000000"/>
        <rFont val="Linux Libertine G"/>
        <family val="2"/>
        <charset val="1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下降</t>
    </r>
    <r>
      <rPr>
        <sz val="9"/>
        <color rgb="FF000000"/>
        <rFont val="Linux Libertine G"/>
        <family val="2"/>
        <charset val="1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</si>
  <si>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国产替代加速，设备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材料突破</t>
    </r>
  </si>
  <si>
    <t xml:space="preserve">半年度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</si>
  <si>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晶圆厂产能利用率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</si>
  <si>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半导体设备出货额</t>
    </r>
  </si>
  <si>
    <t xml:space="preserve">设备出货高增，扩产需求旺盛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</si>
  <si>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封测产能利用率</t>
    </r>
  </si>
  <si>
    <r>
      <rPr>
        <sz val="9"/>
        <color rgb="FF000000"/>
        <rFont val="Linux Libertine G"/>
        <family val="2"/>
      </rPr>
      <t xml:space="preserve">日月光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长电科技</t>
    </r>
  </si>
  <si>
    <r>
      <rPr>
        <sz val="9"/>
        <color rgb="FF000000"/>
        <rFont val="微软雅黑"/>
        <family val="2"/>
        <charset val="134"/>
      </rPr>
      <t xml:space="preserve">&gt;85%=10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,75-85%=8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,65-75%=6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,55-65%=4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,&lt;55%=2</t>
    </r>
    <r>
      <rPr>
        <sz val="9"/>
        <color rgb="FF000000"/>
        <rFont val="Linux Libertine G"/>
        <family val="2"/>
      </rPr>
      <t xml:space="preserve">分</t>
    </r>
  </si>
  <si>
    <t xml:space="preserve">封测利用率回升，订单饱满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</si>
  <si>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半导体材料出货量</t>
    </r>
  </si>
  <si>
    <t xml:space="preserve">材料出货增长，国产替代推进</t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</si>
  <si>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半导体企业季度毛利率</t>
    </r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</si>
  <si>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半导体行业净利润增速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</si>
  <si>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净利暴增，存储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设备领涨</t>
    </r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</si>
  <si>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半导体行业</t>
    </r>
    <r>
      <rPr>
        <sz val="9"/>
        <color rgb="FF000000"/>
        <rFont val="微软雅黑"/>
        <family val="2"/>
        <charset val="134"/>
      </rPr>
      <t xml:space="preserve">ROE</t>
    </r>
  </si>
  <si>
    <t xml:space="preserve">行业景气度量化跟踪体系（参数优化版）— 新能源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</si>
  <si>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。先用库存、供给、订单确认反转；价格本身不能直接等同高景气。｜核心验证：供给出清与终端需求；必选：供给投放、库存、招标、出口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</si>
  <si>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储能招标量</t>
    </r>
  </si>
  <si>
    <t xml:space="preserve">储能招标高增，工商业储能爆发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</si>
  <si>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氢能项目规划</t>
    </r>
  </si>
  <si>
    <r>
      <rPr>
        <sz val="9"/>
        <color rgb="FF000000"/>
        <rFont val="微软雅黑"/>
        <family val="2"/>
        <charset val="134"/>
      </rPr>
      <t xml:space="preserve">&gt;10=10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,7-10=8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,4-7=6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,2-4=4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,&lt;2=2</t>
    </r>
    <r>
      <rPr>
        <sz val="9"/>
        <color rgb="FF000000"/>
        <rFont val="Linux Libertine G"/>
        <family val="2"/>
      </rPr>
      <t xml:space="preserve">分</t>
    </r>
  </si>
  <si>
    <t xml:space="preserve">氢能规划加码，绿氢项目落地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</si>
  <si>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新能源车渗透率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</si>
  <si>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光伏装机量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</si>
  <si>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风电装机量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</si>
  <si>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储能装机量</t>
    </r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</si>
  <si>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新能源车销量</t>
    </r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</si>
  <si>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新能源企业季度净利润</t>
    </r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</si>
  <si>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新能源行业毛利率</t>
    </r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</si>
  <si>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新能源行业产能利用率</t>
    </r>
  </si>
  <si>
    <t xml:space="preserve">产能利用率偏低，产能过剩</t>
  </si>
  <si>
    <t xml:space="preserve">行业景气度量化跟踪体系（参数优化版）— 医药医疗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</si>
  <si>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。订单、库存和利用率优先；不同子行业拆分后再汇总。｜核心验证：细分商业化与支付环境；必选：注册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审批、医保、研发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</si>
  <si>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医疗器械注册证数量</t>
    </r>
  </si>
  <si>
    <r>
      <rPr>
        <sz val="9"/>
        <color rgb="FF000000"/>
        <rFont val="微软雅黑"/>
        <family val="2"/>
        <charset val="134"/>
      </rPr>
      <t xml:space="preserve">&gt;500=10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,400-500=8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,300-400=6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,200-300=4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,&lt;200=2</t>
    </r>
    <r>
      <rPr>
        <sz val="9"/>
        <color rgb="FF000000"/>
        <rFont val="Linux Libertine G"/>
        <family val="2"/>
      </rPr>
      <t xml:space="preserve">分</t>
    </r>
  </si>
  <si>
    <t xml:space="preserve">器械注册活跃，创新产品涌现</t>
  </si>
  <si>
    <r>
      <rPr>
        <sz val="9"/>
        <color rgb="FF000000"/>
        <rFont val="微软雅黑"/>
        <family val="2"/>
        <charset val="134"/>
      </rPr>
      <t xml:space="preserve">6-CXO</t>
    </r>
    <r>
      <rPr>
        <sz val="9"/>
        <color rgb="FF000000"/>
        <rFont val="Linux Libertine G"/>
        <family val="2"/>
      </rPr>
      <t xml:space="preserve">订单增速</t>
    </r>
  </si>
  <si>
    <r>
      <rPr>
        <sz val="9"/>
        <color rgb="FF000000"/>
        <rFont val="Linux Libertine G"/>
        <family val="2"/>
      </rPr>
      <t xml:space="preserve">药明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康龙化成财报</t>
    </r>
  </si>
  <si>
    <r>
      <rPr>
        <sz val="9"/>
        <color rgb="FF000000"/>
        <rFont val="微软雅黑"/>
        <family val="2"/>
        <charset val="134"/>
      </rPr>
      <t xml:space="preserve">CXO</t>
    </r>
    <r>
      <rPr>
        <sz val="9"/>
        <color rgb="FF000000"/>
        <rFont val="Linux Libertine G"/>
        <family val="2"/>
      </rPr>
      <t xml:space="preserve">订单回暖，全球外包转移</t>
    </r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</si>
  <si>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仿制药一致性评价通过数</t>
    </r>
  </si>
  <si>
    <t xml:space="preserve">一致性评价推进，质量升级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</si>
  <si>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医疗</t>
    </r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产品获批数量</t>
    </r>
  </si>
  <si>
    <r>
      <rPr>
        <sz val="9"/>
        <color rgb="FF000000"/>
        <rFont val="Linux Libertine G"/>
        <family val="2"/>
      </rPr>
      <t xml:space="preserve">个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年</t>
    </r>
  </si>
  <si>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医疗产品获批加速，数字化医疗崛起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</si>
  <si>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医药制造业收入增速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</si>
  <si>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化学药品原药产量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</si>
  <si>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医疗器械出口增速</t>
    </r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</si>
  <si>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医院诊疗人次增速</t>
    </r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</si>
  <si>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医药企业季度毛利率</t>
    </r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</si>
  <si>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医药企业研发费用率</t>
    </r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</si>
  <si>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医药制造业利润增速</t>
    </r>
  </si>
  <si>
    <t xml:space="preserve">行业景气度量化跟踪体系（参数优化版）— 高端制造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</si>
  <si>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。订单、库存和利用率优先；不同子行业拆分后再汇总。｜核心验证：国产替代、订单与交付；必选：订单、进口替代、研发转化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</si>
  <si>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工业机器人产量增速</t>
    </r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</si>
  <si>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数控机床进口金额</t>
    </r>
  </si>
  <si>
    <t xml:space="preserve">机床进口增长，高端需求旺盛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</si>
  <si>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高端装备研发支出增速</t>
    </r>
  </si>
  <si>
    <t xml:space="preserve">研发支出高增，技术突破加速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</si>
  <si>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国产替代政策力度</t>
    </r>
  </si>
  <si>
    <r>
      <rPr>
        <sz val="9"/>
        <color rgb="FF000000"/>
        <rFont val="Linux Libertine G"/>
        <family val="2"/>
      </rPr>
      <t xml:space="preserve">工信部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发改委</t>
    </r>
  </si>
  <si>
    <r>
      <rPr>
        <sz val="9"/>
        <color rgb="FF000000"/>
        <rFont val="微软雅黑"/>
        <family val="2"/>
        <charset val="134"/>
      </rPr>
      <t xml:space="preserve">&gt;30=10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,&lt;5=2</t>
    </r>
    <r>
      <rPr>
        <sz val="9"/>
        <color rgb="FF000000"/>
        <rFont val="Linux Libertine G"/>
        <family val="2"/>
      </rPr>
      <t xml:space="preserve">分</t>
    </r>
  </si>
  <si>
    <t xml:space="preserve">政策密集出台，国产替代加速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</si>
  <si>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工业机器人销量</t>
    </r>
  </si>
  <si>
    <t xml:space="preserve">机器人销量高增，制造业升级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</si>
  <si>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高端装备出口增速</t>
    </r>
  </si>
  <si>
    <t xml:space="preserve">高端装备出口强劲，国际竞争力提升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</si>
  <si>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航空航天器产量</t>
    </r>
  </si>
  <si>
    <r>
      <rPr>
        <sz val="9"/>
        <color rgb="FF000000"/>
        <rFont val="Linux Libertine G"/>
        <family val="2"/>
      </rPr>
      <t xml:space="preserve">航空航天产量增长，国防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民航双驱动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</si>
  <si>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高端制造企业季度净利润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</si>
  <si>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高端制造行业毛利率</t>
    </r>
  </si>
  <si>
    <t xml:space="preserve">毛利率改善，高附加值产品占比提升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</si>
  <si>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高端制造行业产能利用率</t>
    </r>
  </si>
  <si>
    <t xml:space="preserve">行业景气度量化跟踪体系（参数优化版）— 人形机器人</t>
  </si>
  <si>
    <r>
      <rPr>
        <b val="true"/>
        <sz val="9"/>
        <color rgb="FF000000"/>
        <rFont val="Linux Libertine G"/>
        <family val="2"/>
      </rPr>
      <t xml:space="preserve">默认阶段框架：早期产业化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兑现｜先行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=55%/30%/15%</t>
    </r>
    <r>
      <rPr>
        <b val="true"/>
        <sz val="9"/>
        <color rgb="FF000000"/>
        <rFont val="Linux Libertine G"/>
        <family val="2"/>
      </rPr>
      <t xml:space="preserve">。量产、订单、交付优先；热度与规划指标不得主导评分。｜核心验证：量产里程碑与商业订单；必选：量产时间、</t>
    </r>
    <r>
      <rPr>
        <b val="true"/>
        <sz val="9"/>
        <color rgb="FF000000"/>
        <rFont val="Linux Libertine G"/>
        <family val="2"/>
        <charset val="1"/>
      </rPr>
      <t xml:space="preserve">BOM</t>
    </r>
    <r>
      <rPr>
        <b val="true"/>
        <sz val="9"/>
        <color rgb="FF000000"/>
        <rFont val="Linux Libertine G"/>
        <family val="2"/>
      </rPr>
      <t xml:space="preserve">降本、订单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客户验证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</si>
  <si>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人形机器人量产计划</t>
    </r>
  </si>
  <si>
    <r>
      <rPr>
        <sz val="9"/>
        <color rgb="FF000000"/>
        <rFont val="Linux Libertine G"/>
        <family val="2"/>
      </rPr>
      <t xml:space="preserve">特斯拉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优必选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小米</t>
    </r>
  </si>
  <si>
    <r>
      <rPr>
        <sz val="9"/>
        <color rgb="FF000000"/>
        <rFont val="微软雅黑"/>
        <family val="2"/>
        <charset val="134"/>
      </rPr>
      <t xml:space="preserve">&gt;10</t>
    </r>
    <r>
      <rPr>
        <sz val="9"/>
        <color rgb="FF000000"/>
        <rFont val="Linux Libertine G"/>
        <family val="2"/>
      </rPr>
      <t xml:space="preserve">万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</t>
    </r>
    <r>
      <rPr>
        <sz val="9"/>
        <color rgb="FF000000"/>
        <rFont val="Linux Libertine G"/>
        <family val="2"/>
      </rPr>
      <t xml:space="preserve">万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,1-5</t>
    </r>
    <r>
      <rPr>
        <sz val="9"/>
        <color rgb="FF000000"/>
        <rFont val="Linux Libertine G"/>
        <family val="2"/>
      </rPr>
      <t xml:space="preserve">万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,0.5-1</t>
    </r>
    <r>
      <rPr>
        <sz val="9"/>
        <color rgb="FF000000"/>
        <rFont val="Linux Libertine G"/>
        <family val="2"/>
      </rPr>
      <t xml:space="preserve">万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,&lt;0.5</t>
    </r>
    <r>
      <rPr>
        <sz val="9"/>
        <color rgb="FF000000"/>
        <rFont val="Linux Libertine G"/>
        <family val="2"/>
      </rPr>
      <t xml:space="preserve">万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</si>
  <si>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量产计划明确，</t>
    </r>
    <r>
      <rPr>
        <sz val="9"/>
        <color rgb="FF000000"/>
        <rFont val="Linux Libertine G"/>
        <family val="2"/>
        <charset val="1"/>
      </rPr>
      <t xml:space="preserve">2026</t>
    </r>
    <r>
      <rPr>
        <sz val="9"/>
        <color rgb="FF000000"/>
        <rFont val="Linux Libertine G"/>
        <family val="2"/>
      </rPr>
      <t xml:space="preserve">年商业化元年</t>
    </r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</si>
  <si>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55%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</si>
  <si>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核心零部件订单</t>
    </r>
  </si>
  <si>
    <r>
      <rPr>
        <sz val="9"/>
        <color rgb="FF000000"/>
        <rFont val="Linux Libertine G"/>
        <family val="2"/>
      </rPr>
      <t xml:space="preserve">绿的谐波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汇川技术</t>
    </r>
  </si>
  <si>
    <r>
      <rPr>
        <sz val="9"/>
        <color rgb="FF000000"/>
        <rFont val="微软雅黑"/>
        <family val="2"/>
        <charset val="134"/>
      </rPr>
      <t xml:space="preserve">&gt;100%=10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,50-100%=8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,20-50%=6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</si>
  <si>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零部件订单爆发，供应链景气确认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</si>
  <si>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减速器价格变化</t>
    </r>
  </si>
  <si>
    <r>
      <rPr>
        <sz val="9"/>
        <color rgb="FF000000"/>
        <rFont val="微软雅黑"/>
        <family val="2"/>
        <charset val="134"/>
      </rPr>
      <t xml:space="preserve">&lt;-20%=10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,-20-0%=8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,&gt;20%=2</t>
    </r>
    <r>
      <rPr>
        <sz val="9"/>
        <color rgb="FF000000"/>
        <rFont val="Linux Libertine G"/>
        <family val="2"/>
      </rPr>
      <t xml:space="preserve">分</t>
    </r>
  </si>
  <si>
    <t xml:space="preserve">减速器价格下降，规模化降本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</si>
  <si>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伺服电机出货量</t>
    </r>
  </si>
  <si>
    <r>
      <rPr>
        <sz val="9"/>
        <color rgb="FF000000"/>
        <rFont val="Linux Libertine G"/>
        <family val="2"/>
      </rPr>
      <t xml:space="preserve">汇川技术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禾川科技</t>
    </r>
  </si>
  <si>
    <r>
      <rPr>
        <sz val="9"/>
        <color rgb="FF000000"/>
        <rFont val="Linux Libertine G"/>
        <family val="2"/>
      </rPr>
      <t xml:space="preserve">伺服电机出货高增，自动化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机器人双驱动</t>
    </r>
  </si>
  <si>
    <r>
      <rPr>
        <sz val="9"/>
        <color rgb="FF000000"/>
        <rFont val="微软雅黑"/>
        <family val="2"/>
        <charset val="134"/>
      </rPr>
      <t xml:space="preserve">5-AI</t>
    </r>
    <r>
      <rPr>
        <sz val="9"/>
        <color rgb="FF000000"/>
        <rFont val="Linux Libertine G"/>
        <family val="2"/>
      </rPr>
      <t xml:space="preserve">大模型迭代进度</t>
    </r>
  </si>
  <si>
    <r>
      <rPr>
        <sz val="9"/>
        <color rgb="FF000000"/>
        <rFont val="微软雅黑"/>
        <family val="2"/>
        <charset val="134"/>
      </rPr>
      <t xml:space="preserve">OpenAI/</t>
    </r>
    <r>
      <rPr>
        <sz val="9"/>
        <color rgb="FF000000"/>
        <rFont val="Linux Libertine G"/>
        <family val="2"/>
      </rPr>
      <t xml:space="preserve">百度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阿里</t>
    </r>
  </si>
  <si>
    <t xml:space="preserve">重大升级</t>
  </si>
  <si>
    <r>
      <rPr>
        <sz val="9"/>
        <color rgb="FF000000"/>
        <rFont val="Linux Libertine G"/>
        <family val="2"/>
      </rPr>
      <t xml:space="preserve">重大升级</t>
    </r>
    <r>
      <rPr>
        <sz val="9"/>
        <color rgb="FF000000"/>
        <rFont val="Linux Libertine G"/>
        <family val="2"/>
        <charset val="1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常规升级</t>
    </r>
    <r>
      <rPr>
        <sz val="9"/>
        <color rgb="FF000000"/>
        <rFont val="Linux Libertine G"/>
        <family val="2"/>
        <charset val="1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小更新</t>
    </r>
    <r>
      <rPr>
        <sz val="9"/>
        <color rgb="FF000000"/>
        <rFont val="Linux Libertine G"/>
        <family val="2"/>
        <charset val="1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停滞</t>
    </r>
    <r>
      <rPr>
        <sz val="9"/>
        <color rgb="FF000000"/>
        <rFont val="Linux Libertine G"/>
        <family val="2"/>
        <charset val="1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倒退</t>
    </r>
    <r>
      <rPr>
        <sz val="9"/>
        <color rgb="FF000000"/>
        <rFont val="Linux Libertine G"/>
        <family val="2"/>
        <charset val="1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</si>
  <si>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大模型迭代加速，机器人智能化提升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</si>
  <si>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人形机器人出货量</t>
    </r>
  </si>
  <si>
    <r>
      <rPr>
        <sz val="9"/>
        <color rgb="FF000000"/>
        <rFont val="Linux Libertine G"/>
        <family val="2"/>
      </rPr>
      <t xml:space="preserve">台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</si>
  <si>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&gt;1000=10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,500-1000=8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,200-500=6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,50-200=4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,&lt;50=2</t>
    </r>
    <r>
      <rPr>
        <sz val="9"/>
        <color rgb="FF000000"/>
        <rFont val="Linux Libertine G"/>
        <family val="2"/>
      </rPr>
      <t xml:space="preserve">分</t>
    </r>
  </si>
  <si>
    <t xml:space="preserve">出货量逐月提升，工厂场景落地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</si>
  <si>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核心零部件国产化率</t>
    </r>
  </si>
  <si>
    <r>
      <rPr>
        <sz val="9"/>
        <color rgb="FF000000"/>
        <rFont val="微软雅黑"/>
        <family val="2"/>
        <charset val="134"/>
      </rPr>
      <t xml:space="preserve">&gt;80%=10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,40-60%=6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,20-40%=4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,&lt;20%=2</t>
    </r>
    <r>
      <rPr>
        <sz val="9"/>
        <color rgb="FF000000"/>
        <rFont val="Linux Libertine G"/>
        <family val="2"/>
      </rPr>
      <t xml:space="preserve">分</t>
    </r>
  </si>
  <si>
    <t xml:space="preserve">国产化率提升，供应链自主可控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</si>
  <si>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人形机器人应用场景拓展</t>
    </r>
  </si>
  <si>
    <r>
      <rPr>
        <sz val="9"/>
        <color rgb="FF000000"/>
        <rFont val="Linux Libertine G"/>
        <family val="2"/>
      </rPr>
      <t xml:space="preserve">应用场景拓展，工业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服务双轮驱动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</si>
  <si>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相关上市公司收入增速</t>
    </r>
  </si>
  <si>
    <t xml:space="preserve">产业链收入高增，订单饱满</t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</si>
  <si>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人形机器人企业净利润</t>
    </r>
  </si>
  <si>
    <t xml:space="preserve">亏损收窄</t>
  </si>
  <si>
    <r>
      <rPr>
        <sz val="9"/>
        <color rgb="FF000000"/>
        <rFont val="微软雅黑"/>
        <family val="2"/>
        <charset val="134"/>
      </rPr>
      <t xml:space="preserve">&gt;10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,-5-0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,&lt;-5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</si>
  <si>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多数企业仍亏损，商业化早期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</si>
  <si>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人形机器人行业毛利率</t>
    </r>
  </si>
  <si>
    <t xml:space="preserve">毛利率改善，规模效应显现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</si>
  <si>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人形机器人行业研发投入</t>
    </r>
  </si>
  <si>
    <t xml:space="preserve">研发投入维持高位，技术迭代快</t>
  </si>
  <si>
    <r>
      <rPr>
        <b val="true"/>
        <sz val="14"/>
        <color rgb="FFFFFFFF"/>
        <rFont val="Linux Libertine G"/>
        <family val="2"/>
      </rPr>
      <t xml:space="preserve">行业景气度量化跟踪体系（参数优化版）— </t>
    </r>
    <r>
      <rPr>
        <b val="true"/>
        <sz val="14"/>
        <color rgb="FFFFFFFF"/>
        <rFont val="Linux Libertine G"/>
        <family val="2"/>
        <charset val="1"/>
      </rPr>
      <t xml:space="preserve">AI</t>
    </r>
    <r>
      <rPr>
        <b val="true"/>
        <sz val="14"/>
        <color rgb="FFFFFFFF"/>
        <rFont val="Linux Libertine G"/>
        <family val="2"/>
      </rPr>
      <t xml:space="preserve">算力</t>
    </r>
  </si>
  <si>
    <r>
      <rPr>
        <b val="true"/>
        <sz val="9"/>
        <color rgb="FF000000"/>
        <rFont val="Linux Libertine G"/>
        <family val="2"/>
      </rPr>
      <t xml:space="preserve">默认阶段框架：早期产业化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兑现｜先行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=55%/30%/15%</t>
    </r>
    <r>
      <rPr>
        <b val="true"/>
        <sz val="9"/>
        <color rgb="FF000000"/>
        <rFont val="Linux Libertine G"/>
        <family val="2"/>
      </rPr>
      <t xml:space="preserve">。量产、订单、交付优先；热度与规划指标不得主导评分。｜核心验证：云</t>
    </r>
    <r>
      <rPr>
        <b val="true"/>
        <sz val="9"/>
        <color rgb="FF000000"/>
        <rFont val="Linux Libertine G"/>
        <family val="2"/>
        <charset val="1"/>
      </rPr>
      <t xml:space="preserve">CAPEX</t>
    </r>
    <r>
      <rPr>
        <b val="true"/>
        <sz val="9"/>
        <color rgb="FF000000"/>
        <rFont val="Linux Libertine G"/>
        <family val="2"/>
      </rPr>
      <t xml:space="preserve">、供给与利用率；必选：云厂商</t>
    </r>
    <r>
      <rPr>
        <b val="true"/>
        <sz val="9"/>
        <color rgb="FF000000"/>
        <rFont val="Linux Libertine G"/>
        <family val="2"/>
        <charset val="1"/>
      </rPr>
      <t xml:space="preserve">CAPEX</t>
    </r>
    <r>
      <rPr>
        <b val="true"/>
        <sz val="9"/>
        <color rgb="FF000000"/>
        <rFont val="Linux Libertine G"/>
        <family val="2"/>
      </rPr>
      <t xml:space="preserve">、</t>
    </r>
    <r>
      <rPr>
        <b val="true"/>
        <sz val="9"/>
        <color rgb="FF000000"/>
        <rFont val="Linux Libertine G"/>
        <family val="2"/>
        <charset val="1"/>
      </rPr>
      <t xml:space="preserve">GPU/</t>
    </r>
    <r>
      <rPr>
        <b val="true"/>
        <sz val="9"/>
        <color rgb="FF000000"/>
        <rFont val="Linux Libertine G"/>
        <family val="2"/>
      </rPr>
      <t xml:space="preserve">光模块订单、供给交期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</si>
  <si>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全球</t>
    </r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服务器出货量增速</t>
    </r>
  </si>
  <si>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服务器爆发，算力基建狂飙</t>
    </r>
  </si>
  <si>
    <r>
      <rPr>
        <sz val="9"/>
        <color rgb="FF000000"/>
        <rFont val="微软雅黑"/>
        <family val="2"/>
        <charset val="134"/>
      </rPr>
      <t xml:space="preserve">2-GPU/ASIC</t>
    </r>
    <r>
      <rPr>
        <sz val="9"/>
        <color rgb="FF000000"/>
        <rFont val="Linux Libertine G"/>
        <family val="2"/>
      </rPr>
      <t xml:space="preserve">出货量</t>
    </r>
  </si>
  <si>
    <r>
      <rPr>
        <sz val="9"/>
        <color rgb="FF000000"/>
        <rFont val="Linux Libertine G"/>
        <family val="2"/>
      </rPr>
      <t xml:space="preserve">英伟达</t>
    </r>
    <r>
      <rPr>
        <sz val="9"/>
        <color rgb="FF000000"/>
        <rFont val="Linux Libertine G"/>
        <family val="2"/>
        <charset val="1"/>
      </rPr>
      <t xml:space="preserve">/AMD/</t>
    </r>
    <r>
      <rPr>
        <sz val="9"/>
        <color rgb="FF000000"/>
        <rFont val="Linux Libertine G"/>
        <family val="2"/>
      </rPr>
      <t xml:space="preserve">华为</t>
    </r>
  </si>
  <si>
    <t xml:space="preserve">90%</t>
  </si>
  <si>
    <r>
      <rPr>
        <sz val="9"/>
        <color rgb="FF000000"/>
        <rFont val="微软雅黑"/>
        <family val="2"/>
        <charset val="134"/>
      </rPr>
      <t xml:space="preserve">GPU/ASIC</t>
    </r>
    <r>
      <rPr>
        <sz val="9"/>
        <color rgb="FF000000"/>
        <rFont val="Linux Libertine G"/>
        <family val="2"/>
      </rPr>
      <t xml:space="preserve">出货井喷，供不应求</t>
    </r>
  </si>
  <si>
    <r>
      <rPr>
        <sz val="9"/>
        <color rgb="FF000000"/>
        <rFont val="Linux Libertine G"/>
        <family val="2"/>
      </rPr>
      <t xml:space="preserve">光模块爆发，</t>
    </r>
    <r>
      <rPr>
        <sz val="9"/>
        <color rgb="FF000000"/>
        <rFont val="Linux Libertine G"/>
        <family val="2"/>
        <charset val="1"/>
      </rPr>
      <t xml:space="preserve">800G/1.6T</t>
    </r>
    <r>
      <rPr>
        <sz val="9"/>
        <color rgb="FF000000"/>
        <rFont val="Linux Libertine G"/>
        <family val="2"/>
      </rPr>
      <t xml:space="preserve">放量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</si>
  <si>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液冷技术渗透率</t>
    </r>
  </si>
  <si>
    <r>
      <rPr>
        <sz val="9"/>
        <color rgb="FF000000"/>
        <rFont val="微软雅黑"/>
        <family val="2"/>
        <charset val="134"/>
      </rPr>
      <t xml:space="preserve">&gt;30%=10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,&lt;5%=2</t>
    </r>
    <r>
      <rPr>
        <sz val="9"/>
        <color rgb="FF000000"/>
        <rFont val="Linux Libertine G"/>
        <family val="2"/>
      </rPr>
      <t xml:space="preserve">分</t>
    </r>
  </si>
  <si>
    <t xml:space="preserve">液冷渗透率提升，高密度算力需求</t>
  </si>
  <si>
    <r>
      <rPr>
        <sz val="9"/>
        <color rgb="FF000000"/>
        <rFont val="微软雅黑"/>
        <family val="2"/>
        <charset val="134"/>
      </rPr>
      <t xml:space="preserve">6-AI</t>
    </r>
    <r>
      <rPr>
        <sz val="9"/>
        <color rgb="FF000000"/>
        <rFont val="Linux Libertine G"/>
        <family val="2"/>
      </rPr>
      <t xml:space="preserve">算力租赁价格</t>
    </r>
  </si>
  <si>
    <t xml:space="preserve">算力租赁价格上涨，供需偏紧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</si>
  <si>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云计算收入增速</t>
    </r>
  </si>
  <si>
    <r>
      <rPr>
        <sz val="9"/>
        <color rgb="FF000000"/>
        <rFont val="Linux Libertine G"/>
        <family val="2"/>
      </rPr>
      <t xml:space="preserve">阿里云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腾讯云</t>
    </r>
    <r>
      <rPr>
        <sz val="9"/>
        <color rgb="FF000000"/>
        <rFont val="Linux Libertine G"/>
        <family val="2"/>
        <charset val="1"/>
      </rPr>
      <t xml:space="preserve">/AWS</t>
    </r>
  </si>
  <si>
    <r>
      <rPr>
        <sz val="9"/>
        <color rgb="FF000000"/>
        <rFont val="Linux Libertine G"/>
        <family val="2"/>
      </rPr>
      <t xml:space="preserve">云收入高增，</t>
    </r>
    <r>
      <rPr>
        <sz val="9"/>
        <color rgb="FF000000"/>
        <rFont val="Linux Libertine G"/>
        <family val="2"/>
        <charset val="1"/>
      </rPr>
      <t xml:space="preserve">AI</t>
    </r>
    <r>
      <rPr>
        <sz val="9"/>
        <color rgb="FF000000"/>
        <rFont val="Linux Libertine G"/>
        <family val="2"/>
      </rPr>
      <t xml:space="preserve">云服务贡献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</si>
  <si>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算力中心</t>
    </r>
    <r>
      <rPr>
        <sz val="9"/>
        <color rgb="FF000000"/>
        <rFont val="微软雅黑"/>
        <family val="2"/>
        <charset val="134"/>
      </rPr>
      <t xml:space="preserve">PUE</t>
    </r>
    <r>
      <rPr>
        <sz val="9"/>
        <color rgb="FF000000"/>
        <rFont val="Linux Libertine G"/>
        <family val="2"/>
      </rPr>
      <t xml:space="preserve">值</t>
    </r>
  </si>
  <si>
    <t xml:space="preserve">改善</t>
  </si>
  <si>
    <r>
      <rPr>
        <sz val="9"/>
        <color rgb="FF000000"/>
        <rFont val="微软雅黑"/>
        <family val="2"/>
        <charset val="134"/>
      </rPr>
      <t xml:space="preserve">&lt;1.2=10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,1.2-1.3=8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,1.3-1.4=6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,1.4-1.5=4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,&gt;1.5=2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</si>
  <si>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PUE</t>
    </r>
    <r>
      <rPr>
        <sz val="9"/>
        <color rgb="FF000000"/>
        <rFont val="Linux Libertine G"/>
        <family val="2"/>
      </rPr>
      <t xml:space="preserve">改善，绿色算力推进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</si>
  <si>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国产</t>
    </r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芯片出货量</t>
    </r>
  </si>
  <si>
    <r>
      <rPr>
        <sz val="9"/>
        <color rgb="FF000000"/>
        <rFont val="Linux Libertine G"/>
        <family val="2"/>
      </rPr>
      <t xml:space="preserve">华为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寒武纪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海光</t>
    </r>
  </si>
  <si>
    <t xml:space="preserve">国产芯片出货翻倍，自主可控加速</t>
  </si>
  <si>
    <r>
      <rPr>
        <sz val="9"/>
        <color rgb="FF000000"/>
        <rFont val="微软雅黑"/>
        <family val="2"/>
        <charset val="134"/>
      </rPr>
      <t xml:space="preserve">10-AI</t>
    </r>
    <r>
      <rPr>
        <sz val="9"/>
        <color rgb="FF000000"/>
        <rFont val="Linux Libertine G"/>
        <family val="2"/>
      </rPr>
      <t xml:space="preserve">算力企业季度净利润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</si>
  <si>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利润高增，光模块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服务器领涨</t>
    </r>
  </si>
  <si>
    <r>
      <rPr>
        <sz val="9"/>
        <color rgb="FF000000"/>
        <rFont val="微软雅黑"/>
        <family val="2"/>
        <charset val="134"/>
      </rPr>
      <t xml:space="preserve">11-AI</t>
    </r>
    <r>
      <rPr>
        <sz val="9"/>
        <color rgb="FF000000"/>
        <rFont val="Linux Libertine G"/>
        <family val="2"/>
      </rPr>
      <t xml:space="preserve">算力行业毛利率</t>
    </r>
  </si>
  <si>
    <r>
      <rPr>
        <sz val="9"/>
        <color rgb="FF000000"/>
        <rFont val="微软雅黑"/>
        <family val="2"/>
        <charset val="134"/>
      </rPr>
      <t xml:space="preserve">&gt;35%=10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,28-35%=8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,20-28%=6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,12-20%=4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,&lt;12%=2</t>
    </r>
    <r>
      <rPr>
        <sz val="9"/>
        <color rgb="FF000000"/>
        <rFont val="Linux Libertine G"/>
        <family val="2"/>
      </rPr>
      <t xml:space="preserve">分</t>
    </r>
  </si>
  <si>
    <t xml:space="preserve">毛利率改善，高端产品占比提升</t>
  </si>
  <si>
    <r>
      <rPr>
        <sz val="9"/>
        <color rgb="FF000000"/>
        <rFont val="微软雅黑"/>
        <family val="2"/>
        <charset val="134"/>
      </rPr>
      <t xml:space="preserve">12-AI</t>
    </r>
    <r>
      <rPr>
        <sz val="9"/>
        <color rgb="FF000000"/>
        <rFont val="Linux Libertine G"/>
        <family val="2"/>
      </rPr>
      <t xml:space="preserve">算力行业产能利用率</t>
    </r>
  </si>
  <si>
    <t xml:space="preserve">产能利用率高位，供不应求</t>
  </si>
  <si>
    <t xml:space="preserve">行业景气度量化跟踪体系（参数优化版）— 锂电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</si>
  <si>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。先用库存、供给、订单确认反转；价格本身不能直接等同高景气。｜核心验证：供给出清、库存与订单；必选：产能投放、库存、排产、车型订单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</si>
  <si>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碳酸锂价格变化</t>
    </r>
  </si>
  <si>
    <r>
      <rPr>
        <sz val="9"/>
        <color rgb="FF000000"/>
        <rFont val="微软雅黑"/>
        <family val="2"/>
        <charset val="134"/>
      </rPr>
      <t xml:space="preserve">SMM/</t>
    </r>
    <r>
      <rPr>
        <sz val="9"/>
        <color rgb="FF000000"/>
        <rFont val="Linux Libertine G"/>
        <family val="2"/>
      </rPr>
      <t xml:space="preserve">上海有色网</t>
    </r>
  </si>
  <si>
    <r>
      <rPr>
        <sz val="9"/>
        <color rgb="FF000000"/>
        <rFont val="Linux Libertine G"/>
        <family val="2"/>
      </rPr>
      <t xml:space="preserve">万元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吨</t>
    </r>
  </si>
  <si>
    <r>
      <rPr>
        <sz val="9"/>
        <color rgb="FF000000"/>
        <rFont val="微软雅黑"/>
        <family val="2"/>
        <charset val="134"/>
      </rPr>
      <t xml:space="preserve">&lt;7=10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,7-9=8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,9-11=6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,11-13=4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,&gt;13=2</t>
    </r>
    <r>
      <rPr>
        <sz val="9"/>
        <color rgb="FF000000"/>
        <rFont val="Linux Libertine G"/>
        <family val="2"/>
      </rPr>
      <t xml:space="preserve">分</t>
    </r>
  </si>
  <si>
    <t xml:space="preserve">碳酸锂价格触底，成本端改善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</si>
  <si>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氢氧化锂价格变化</t>
    </r>
  </si>
  <si>
    <r>
      <rPr>
        <sz val="9"/>
        <color rgb="FF000000"/>
        <rFont val="微软雅黑"/>
        <family val="2"/>
        <charset val="134"/>
      </rPr>
      <t xml:space="preserve">&lt;8=10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,10-12=6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,12-14=4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,&gt;14=2</t>
    </r>
    <r>
      <rPr>
        <sz val="9"/>
        <color rgb="FF000000"/>
        <rFont val="Linux Libertine G"/>
        <family val="2"/>
      </rPr>
      <t xml:space="preserve">分</t>
    </r>
  </si>
  <si>
    <t xml:space="preserve">氢氧化锂价格回落，高镍成本下降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</si>
  <si>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钴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镍价格变化</t>
    </r>
  </si>
  <si>
    <t xml:space="preserve">钴镍价格回落，三元材料成本改善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</si>
  <si>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动力电池产能规划增速</t>
    </r>
  </si>
  <si>
    <r>
      <rPr>
        <sz val="9"/>
        <color rgb="FF000000"/>
        <rFont val="微软雅黑"/>
        <family val="2"/>
        <charset val="134"/>
      </rPr>
      <t xml:space="preserve">&lt;20%=10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,20-40%=8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,40-60%=6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,&gt;80%=2</t>
    </r>
    <r>
      <rPr>
        <sz val="9"/>
        <color rgb="FF000000"/>
        <rFont val="Linux Libertine G"/>
        <family val="2"/>
      </rPr>
      <t xml:space="preserve">分</t>
    </r>
  </si>
  <si>
    <t xml:space="preserve">产能扩张放缓，供给压力减轻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</si>
  <si>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新能源车渗透率预期</t>
    </r>
  </si>
  <si>
    <r>
      <rPr>
        <sz val="9"/>
        <color rgb="FF000000"/>
        <rFont val="Linux Libertine G"/>
        <family val="2"/>
      </rPr>
      <t xml:space="preserve">中汽协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乘联会</t>
    </r>
  </si>
  <si>
    <t xml:space="preserve">渗透率快速提升，需求端强劲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</si>
  <si>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锂电设备订单增速</t>
    </r>
  </si>
  <si>
    <r>
      <rPr>
        <sz val="9"/>
        <color rgb="FF000000"/>
        <rFont val="Linux Libertine G"/>
        <family val="2"/>
      </rPr>
      <t xml:space="preserve">先导智能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赢合科技</t>
    </r>
  </si>
  <si>
    <r>
      <rPr>
        <sz val="9"/>
        <color rgb="FF000000"/>
        <rFont val="Linux Libertine G"/>
        <family val="2"/>
      </rPr>
      <t xml:space="preserve">设备订单高增，海外扩产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固态电池</t>
    </r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</si>
  <si>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正极材料企业排产计划</t>
    </r>
  </si>
  <si>
    <r>
      <rPr>
        <sz val="9"/>
        <color rgb="FF000000"/>
        <rFont val="Linux Libertine G"/>
        <family val="2"/>
      </rPr>
      <t xml:space="preserve">排产温和增长，</t>
    </r>
    <r>
      <rPr>
        <sz val="9"/>
        <color rgb="FF000000"/>
        <rFont val="Linux Libertine G"/>
        <family val="2"/>
        <charset val="1"/>
      </rPr>
      <t xml:space="preserve">5</t>
    </r>
    <r>
      <rPr>
        <sz val="9"/>
        <color rgb="FF000000"/>
        <rFont val="Linux Libertine G"/>
        <family val="2"/>
      </rPr>
      <t xml:space="preserve">月旺季来临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</si>
  <si>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动力电池装车量增速</t>
    </r>
  </si>
  <si>
    <t xml:space="preserve">装车量高增，新能源车产销两旺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</si>
  <si>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动力电池产量增速</t>
    </r>
  </si>
  <si>
    <r>
      <rPr>
        <sz val="9"/>
        <color rgb="FF000000"/>
        <rFont val="微软雅黑"/>
        <family val="2"/>
        <charset val="134"/>
      </rPr>
      <t xml:space="preserve">&gt;35%=10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,25-35%=8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</si>
  <si>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电池产量高增，出口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国内双驱动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</si>
  <si>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锂电池出口金额增速</t>
    </r>
  </si>
  <si>
    <t xml:space="preserve">锂电池出口强劲，海外车企订单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</si>
  <si>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正极材料产量增速</t>
    </r>
  </si>
  <si>
    <r>
      <rPr>
        <sz val="9"/>
        <color rgb="FF000000"/>
        <rFont val="微软雅黑"/>
        <family val="2"/>
        <charset val="134"/>
      </rPr>
      <t xml:space="preserve">&gt;25%=10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</si>
  <si>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正极材料产量高增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</si>
  <si>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负极材料产量增速</t>
    </r>
  </si>
  <si>
    <t xml:space="preserve">负极材料产量增长</t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</si>
  <si>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电解液产量增速</t>
    </r>
  </si>
  <si>
    <t xml:space="preserve">电解液产量增长</t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</si>
  <si>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锂电企业季度毛利率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</si>
  <si>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毛利率改善，价格竞争趋缓</t>
    </r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</si>
  <si>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锂电企业季度净利润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</si>
  <si>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利润分化，龙头盈利改善</t>
    </r>
  </si>
  <si>
    <r>
      <rPr>
        <sz val="9"/>
        <color rgb="FF000000"/>
        <rFont val="微软雅黑"/>
        <family val="2"/>
        <charset val="134"/>
      </rPr>
      <t xml:space="preserve">16-</t>
    </r>
    <r>
      <rPr>
        <sz val="9"/>
        <color rgb="FF000000"/>
        <rFont val="Linux Libertine G"/>
        <family val="2"/>
      </rPr>
      <t xml:space="preserve">锂电行业产能利用率</t>
    </r>
  </si>
  <si>
    <r>
      <rPr>
        <sz val="9"/>
        <color rgb="FF000000"/>
        <rFont val="微软雅黑"/>
        <family val="2"/>
        <charset val="134"/>
      </rPr>
      <t xml:space="preserve">&gt;80%=10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,70-80%=8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</si>
  <si>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17-</t>
    </r>
    <r>
      <rPr>
        <sz val="9"/>
        <color rgb="FF000000"/>
        <rFont val="Linux Libertine G"/>
        <family val="2"/>
      </rPr>
      <t xml:space="preserve">锂电行业应收账款周转</t>
    </r>
  </si>
  <si>
    <t xml:space="preserve">行业景气度量化跟踪体系（参数优化版）— 光伏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</si>
  <si>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。先用库存、供给、订单确认反转；价格本身不能直接等同高景气。｜核心验证：供给出清、排产与现金流；必选：产能出清、库存、排产、招标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</si>
  <si>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多晶硅料价格</t>
    </r>
  </si>
  <si>
    <r>
      <rPr>
        <sz val="9"/>
        <color rgb="FF000000"/>
        <rFont val="微软雅黑"/>
        <family val="2"/>
        <charset val="134"/>
      </rPr>
      <t xml:space="preserve">&lt;40=10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,&gt;70=2</t>
    </r>
    <r>
      <rPr>
        <sz val="9"/>
        <color rgb="FF000000"/>
        <rFont val="Linux Libertine G"/>
        <family val="2"/>
      </rPr>
      <t xml:space="preserve">分</t>
    </r>
  </si>
  <si>
    <t xml:space="preserve">硅料价格触底，全产业链成本改善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</si>
  <si>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硅片价格变化</t>
    </r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</si>
  <si>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片</t>
    </r>
  </si>
  <si>
    <r>
      <rPr>
        <sz val="9"/>
        <color rgb="FF000000"/>
        <rFont val="微软雅黑"/>
        <family val="2"/>
        <charset val="134"/>
      </rPr>
      <t xml:space="preserve">&lt;1.5=10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,1.5-2.0=8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,2.0-2.5=6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,2.5-3.0=4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,&gt;3.0=2</t>
    </r>
    <r>
      <rPr>
        <sz val="9"/>
        <color rgb="FF000000"/>
        <rFont val="Linux Libertine G"/>
        <family val="2"/>
      </rPr>
      <t xml:space="preserve">分</t>
    </r>
  </si>
  <si>
    <t xml:space="preserve">硅片价格低位，利润压缩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</si>
  <si>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光伏组件价格</t>
    </r>
  </si>
  <si>
    <r>
      <rPr>
        <sz val="9"/>
        <color rgb="FF000000"/>
        <rFont val="微软雅黑"/>
        <family val="2"/>
        <charset val="134"/>
      </rPr>
      <t xml:space="preserve">&lt;0.8=10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,0.8-0.9=8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,0.9-1.0=6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,1.0-1.1=4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,&gt;1.1=2</t>
    </r>
    <r>
      <rPr>
        <sz val="9"/>
        <color rgb="FF000000"/>
        <rFont val="Linux Libertine G"/>
        <family val="2"/>
      </rPr>
      <t xml:space="preserve">分</t>
    </r>
  </si>
  <si>
    <t xml:space="preserve">组件价格触底，出口竞争力强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</si>
  <si>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多晶硅产能投放计划</t>
    </r>
  </si>
  <si>
    <r>
      <rPr>
        <sz val="9"/>
        <color rgb="FF000000"/>
        <rFont val="微软雅黑"/>
        <family val="2"/>
        <charset val="134"/>
      </rPr>
      <t xml:space="preserve">&lt;10=10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,&gt;40=2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</si>
  <si>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光伏玻璃价格</t>
    </r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</si>
  <si>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平米</t>
    </r>
  </si>
  <si>
    <r>
      <rPr>
        <sz val="9"/>
        <color rgb="FF000000"/>
        <rFont val="微软雅黑"/>
        <family val="2"/>
        <charset val="134"/>
      </rPr>
      <t xml:space="preserve">&lt;20=10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,20-25=8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,25-30=6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,30-35=4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,&gt;35=2</t>
    </r>
    <r>
      <rPr>
        <sz val="9"/>
        <color rgb="FF000000"/>
        <rFont val="Linux Libertine G"/>
        <family val="2"/>
      </rPr>
      <t xml:space="preserve">分</t>
    </r>
  </si>
  <si>
    <t xml:space="preserve">玻璃价格低位，辅材成本改善</t>
  </si>
  <si>
    <r>
      <rPr>
        <sz val="9"/>
        <color rgb="FF000000"/>
        <rFont val="微软雅黑"/>
        <family val="2"/>
        <charset val="134"/>
      </rPr>
      <t xml:space="preserve">6-EVA</t>
    </r>
    <r>
      <rPr>
        <sz val="9"/>
        <color rgb="FF000000"/>
        <rFont val="Linux Libertine G"/>
        <family val="2"/>
      </rPr>
      <t xml:space="preserve">胶膜价格</t>
    </r>
  </si>
  <si>
    <r>
      <rPr>
        <sz val="9"/>
        <color rgb="FF000000"/>
        <rFont val="微软雅黑"/>
        <family val="2"/>
        <charset val="134"/>
      </rPr>
      <t xml:space="preserve">&lt;10=10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,10-12=8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,12-14=6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,14-16=4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,&gt;16=2</t>
    </r>
    <r>
      <rPr>
        <sz val="9"/>
        <color rgb="FF000000"/>
        <rFont val="Linux Libertine G"/>
        <family val="2"/>
      </rPr>
      <t xml:space="preserve">分</t>
    </r>
  </si>
  <si>
    <t xml:space="preserve">胶膜价格回落，组件成本下降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</si>
  <si>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光伏企业排产计划</t>
    </r>
  </si>
  <si>
    <r>
      <rPr>
        <sz val="9"/>
        <color rgb="FF000000"/>
        <rFont val="Linux Libertine G"/>
        <family val="2"/>
      </rPr>
      <t xml:space="preserve">排产回升，</t>
    </r>
    <r>
      <rPr>
        <sz val="9"/>
        <color rgb="FF000000"/>
        <rFont val="Linux Libertine G"/>
        <family val="2"/>
        <charset val="1"/>
      </rPr>
      <t xml:space="preserve">5-6</t>
    </r>
    <r>
      <rPr>
        <sz val="9"/>
        <color rgb="FF000000"/>
        <rFont val="Linux Libertine G"/>
        <family val="2"/>
      </rPr>
      <t xml:space="preserve">月旺季来临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</si>
  <si>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光伏新增装机量</t>
    </r>
  </si>
  <si>
    <r>
      <rPr>
        <sz val="9"/>
        <color rgb="FF000000"/>
        <rFont val="Linux Libertine G"/>
        <family val="2"/>
      </rPr>
      <t xml:space="preserve">装机量稳健，分布式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集中式双驱动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</si>
  <si>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组件出货量增速</t>
    </r>
  </si>
  <si>
    <t xml:space="preserve">组件出货高增，海外需求旺盛</t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</si>
  <si>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电池片产量增速</t>
    </r>
  </si>
  <si>
    <r>
      <rPr>
        <sz val="9"/>
        <color rgb="FF000000"/>
        <rFont val="Linux Libertine G"/>
        <family val="2"/>
      </rPr>
      <t xml:space="preserve">电池片产量增长，</t>
    </r>
    <r>
      <rPr>
        <sz val="9"/>
        <color rgb="FF000000"/>
        <rFont val="Linux Libertine G"/>
        <family val="2"/>
        <charset val="1"/>
      </rPr>
      <t xml:space="preserve">TOPCon</t>
    </r>
    <r>
      <rPr>
        <sz val="9"/>
        <color rgb="FF000000"/>
        <rFont val="Linux Libertine G"/>
        <family val="2"/>
      </rPr>
      <t xml:space="preserve">放量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</si>
  <si>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光伏出口金额增速</t>
    </r>
  </si>
  <si>
    <r>
      <rPr>
        <sz val="9"/>
        <color rgb="FF000000"/>
        <rFont val="Linux Libertine G"/>
        <family val="2"/>
      </rPr>
      <t xml:space="preserve">光伏出口强劲，欧洲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新兴市场</t>
    </r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</si>
  <si>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分布式光伏装机占比</t>
    </r>
  </si>
  <si>
    <r>
      <rPr>
        <sz val="9"/>
        <color rgb="FF000000"/>
        <rFont val="Linux Libertine G"/>
        <family val="2"/>
      </rPr>
      <t xml:space="preserve">分布式占比提升，户用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工商业爆发</t>
    </r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</si>
  <si>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光伏逆变器出货量</t>
    </r>
  </si>
  <si>
    <t xml:space="preserve">逆变器出货高增，储能逆变器贡献</t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</si>
  <si>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光伏企业季度毛利率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</si>
  <si>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毛利率低迷，价格竞争惨烈</t>
    </r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</si>
  <si>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光伏企业季度净利润</t>
    </r>
  </si>
  <si>
    <r>
      <rPr>
        <sz val="9"/>
        <color rgb="FF000000"/>
        <rFont val="微软雅黑"/>
        <family val="2"/>
        <charset val="134"/>
      </rPr>
      <t xml:space="preserve">16-</t>
    </r>
    <r>
      <rPr>
        <sz val="9"/>
        <color rgb="FF000000"/>
        <rFont val="Linux Libertine G"/>
        <family val="2"/>
      </rPr>
      <t xml:space="preserve">光伏行业产能利用率</t>
    </r>
  </si>
  <si>
    <t xml:space="preserve">产能利用率偏低，产能过剩严重</t>
  </si>
  <si>
    <r>
      <rPr>
        <sz val="9"/>
        <color rgb="FF000000"/>
        <rFont val="微软雅黑"/>
        <family val="2"/>
        <charset val="134"/>
      </rPr>
      <t xml:space="preserve">17-</t>
    </r>
    <r>
      <rPr>
        <sz val="9"/>
        <color rgb="FF000000"/>
        <rFont val="Linux Libertine G"/>
        <family val="2"/>
      </rPr>
      <t xml:space="preserve">光伏行业资产负债率</t>
    </r>
  </si>
  <si>
    <t xml:space="preserve">负债率上升，资金链承压</t>
  </si>
  <si>
    <t xml:space="preserve">行业景气度量化跟踪体系（参数优化版）— 风电</t>
  </si>
  <si>
    <r>
      <rPr>
        <b val="true"/>
        <sz val="9"/>
        <color rgb="FF000000"/>
        <rFont val="Linux Libertine G"/>
        <family val="2"/>
      </rPr>
      <t xml:space="preserve">默认阶段框架：政策资本开支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交付｜先行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=45%/35%/20%</t>
    </r>
    <r>
      <rPr>
        <b val="true"/>
        <sz val="9"/>
        <color rgb="FF000000"/>
        <rFont val="Linux Libertine G"/>
        <family val="2"/>
      </rPr>
      <t xml:space="preserve">。政策与规划只作确认项，必须由招标、交付、回款和利润验证。｜核心验证：招标、交付与盈利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回款；必选：招标、核准、海风进度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</si>
  <si>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风电招标量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</si>
  <si>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风机中标均价</t>
    </r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</si>
  <si>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/kW</t>
    </r>
  </si>
  <si>
    <r>
      <rPr>
        <sz val="9"/>
        <color rgb="FF000000"/>
        <rFont val="微软雅黑"/>
        <family val="2"/>
        <charset val="134"/>
      </rPr>
      <t xml:space="preserve">&lt;1500=10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,1500-1800=8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,1800-2100=6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,2100-2400=4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,&gt;2400=2</t>
    </r>
    <r>
      <rPr>
        <sz val="9"/>
        <color rgb="FF000000"/>
        <rFont val="Linux Libertine G"/>
        <family val="2"/>
      </rPr>
      <t xml:space="preserve">分</t>
    </r>
  </si>
  <si>
    <t xml:space="preserve">风机价格触底，成本竞争力强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</si>
  <si>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中厚板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钢铁价格</t>
    </r>
  </si>
  <si>
    <r>
      <rPr>
        <sz val="9"/>
        <color rgb="FF000000"/>
        <rFont val="Linux Libertine G"/>
        <family val="2"/>
      </rPr>
      <t xml:space="preserve">钢材价格回落，塔筒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桩基成本改善</t>
    </r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</si>
  <si>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海上风电规划容量</t>
    </r>
  </si>
  <si>
    <r>
      <rPr>
        <sz val="9"/>
        <color rgb="FF000000"/>
        <rFont val="Linux Libertine G"/>
        <family val="2"/>
      </rPr>
      <t xml:space="preserve">国家能源局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各省发改委</t>
    </r>
  </si>
  <si>
    <t xml:space="preserve">海上风电规划加码，沿海省份竞配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</si>
  <si>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风电项目核准量</t>
    </r>
  </si>
  <si>
    <r>
      <rPr>
        <sz val="9"/>
        <color rgb="FF000000"/>
        <rFont val="微软雅黑"/>
        <family val="2"/>
        <charset val="134"/>
      </rPr>
      <t xml:space="preserve">&gt;40=10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,&lt;10=2</t>
    </r>
    <r>
      <rPr>
        <sz val="9"/>
        <color rgb="FF000000"/>
        <rFont val="Linux Libertine G"/>
        <family val="2"/>
      </rPr>
      <t xml:space="preserve">分</t>
    </r>
  </si>
  <si>
    <t xml:space="preserve">项目核准放量，开工前置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</si>
  <si>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叶片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塔筒订单增速</t>
    </r>
  </si>
  <si>
    <t xml:space="preserve">零部件订单高增，供应链景气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</si>
  <si>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风电整机企业排产计划</t>
    </r>
  </si>
  <si>
    <t xml:space="preserve">排产高增，交付旺季来临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</si>
  <si>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风电新增装机量</t>
    </r>
  </si>
  <si>
    <t xml:space="preserve">装机量平稳，海上风电加速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</si>
  <si>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风机产量增速</t>
    </r>
  </si>
  <si>
    <t xml:space="preserve">风机产量增长，大型化趋势</t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</si>
  <si>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风电发电量增速</t>
    </r>
  </si>
  <si>
    <r>
      <rPr>
        <sz val="9"/>
        <color rgb="FF000000"/>
        <rFont val="Linux Libertine G"/>
        <family val="2"/>
      </rPr>
      <t xml:space="preserve">发电量高增，装机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利用小时双驱动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</si>
  <si>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风电利用率</t>
    </r>
  </si>
  <si>
    <r>
      <rPr>
        <sz val="9"/>
        <color rgb="FF000000"/>
        <rFont val="微软雅黑"/>
        <family val="2"/>
        <charset val="134"/>
      </rPr>
      <t xml:space="preserve">&gt;97%=10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,95-97%=8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,93-95%=6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,90-93%=4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,&lt;90%=2</t>
    </r>
    <r>
      <rPr>
        <sz val="9"/>
        <color rgb="FF000000"/>
        <rFont val="Linux Libertine G"/>
        <family val="2"/>
      </rPr>
      <t xml:space="preserve">分</t>
    </r>
  </si>
  <si>
    <t xml:space="preserve">利用率高，消纳改善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</si>
  <si>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海上风电装机量</t>
    </r>
  </si>
  <si>
    <r>
      <rPr>
        <sz val="9"/>
        <color rgb="FF000000"/>
        <rFont val="微软雅黑"/>
        <family val="2"/>
        <charset val="134"/>
      </rPr>
      <t xml:space="preserve">&gt;15</t>
    </r>
    <r>
      <rPr>
        <sz val="9"/>
        <color rgb="FF000000"/>
        <rFont val="Linux Libertine G"/>
        <family val="2"/>
      </rPr>
      <t xml:space="preserve">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,10-15=8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,7-10=6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,4-7=4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,&lt;4=2</t>
    </r>
    <r>
      <rPr>
        <sz val="9"/>
        <color rgb="FF000000"/>
        <rFont val="Linux Libertine G"/>
        <family val="2"/>
      </rPr>
      <t xml:space="preserve">分</t>
    </r>
  </si>
  <si>
    <t xml:space="preserve">海上风电装机加速</t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</si>
  <si>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风电出口金额增速</t>
    </r>
  </si>
  <si>
    <r>
      <rPr>
        <sz val="9"/>
        <color rgb="FF000000"/>
        <rFont val="Linux Libertine G"/>
        <family val="2"/>
      </rPr>
      <t xml:space="preserve">风电出口强劲，风机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零部件出海</t>
    </r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</si>
  <si>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风电企业季度毛利率</t>
    </r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</si>
  <si>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风电企业季度净利润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</si>
  <si>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利润改善，零部件企业贡献</t>
    </r>
  </si>
  <si>
    <r>
      <rPr>
        <sz val="9"/>
        <color rgb="FF000000"/>
        <rFont val="微软雅黑"/>
        <family val="2"/>
        <charset val="134"/>
      </rPr>
      <t xml:space="preserve">16-</t>
    </r>
    <r>
      <rPr>
        <sz val="9"/>
        <color rgb="FF000000"/>
        <rFont val="Linux Libertine G"/>
        <family val="2"/>
      </rPr>
      <t xml:space="preserve">风电行业应收账款周转</t>
    </r>
  </si>
  <si>
    <t xml:space="preserve">应收账款周转放缓，回款周期延长</t>
  </si>
  <si>
    <r>
      <rPr>
        <sz val="9"/>
        <color rgb="FF000000"/>
        <rFont val="微软雅黑"/>
        <family val="2"/>
        <charset val="134"/>
      </rPr>
      <t xml:space="preserve">17-</t>
    </r>
    <r>
      <rPr>
        <sz val="9"/>
        <color rgb="FF000000"/>
        <rFont val="Linux Libertine G"/>
        <family val="2"/>
      </rPr>
      <t xml:space="preserve">风电行业资产负债率</t>
    </r>
  </si>
  <si>
    <r>
      <rPr>
        <sz val="9"/>
        <color rgb="FF000000"/>
        <rFont val="微软雅黑"/>
        <family val="2"/>
        <charset val="134"/>
      </rPr>
      <t xml:space="preserve">&lt;65%=10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,65-70%=8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,70-75%=6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,75-80%=4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,&gt;80%=2</t>
    </r>
    <r>
      <rPr>
        <sz val="9"/>
        <color rgb="FF000000"/>
        <rFont val="Linux Libertine G"/>
        <family val="2"/>
      </rPr>
      <t xml:space="preserve">分</t>
    </r>
  </si>
  <si>
    <t xml:space="preserve">负债率可控，财务结构稳健</t>
  </si>
  <si>
    <t xml:space="preserve">行业景气度量化跟踪体系（参数优化版）— 储能</t>
  </si>
  <si>
    <r>
      <rPr>
        <b val="true"/>
        <sz val="9"/>
        <color rgb="FF000000"/>
        <rFont val="Linux Libertine G"/>
        <family val="2"/>
      </rPr>
      <t xml:space="preserve">默认阶段框架：政策资本开支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交付｜先行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=45%/35%/20%</t>
    </r>
    <r>
      <rPr>
        <b val="true"/>
        <sz val="9"/>
        <color rgb="FF000000"/>
        <rFont val="Linux Libertine G"/>
        <family val="2"/>
      </rPr>
      <t xml:space="preserve">。政策与规划只作确认项，必须由招标、交付、回款和利润验证。｜核心验证：项目</t>
    </r>
    <r>
      <rPr>
        <b val="true"/>
        <sz val="9"/>
        <color rgb="FF000000"/>
        <rFont val="Linux Libertine G"/>
        <family val="2"/>
        <charset val="1"/>
      </rPr>
      <t xml:space="preserve">IRR</t>
    </r>
    <r>
      <rPr>
        <b val="true"/>
        <sz val="9"/>
        <color rgb="FF000000"/>
        <rFont val="Linux Libertine G"/>
        <family val="2"/>
      </rPr>
      <t xml:space="preserve">、招标与并网利用；必选：峰谷价差、</t>
    </r>
    <r>
      <rPr>
        <b val="true"/>
        <sz val="9"/>
        <color rgb="FF000000"/>
        <rFont val="Linux Libertine G"/>
        <family val="2"/>
        <charset val="1"/>
      </rPr>
      <t xml:space="preserve">IRR</t>
    </r>
    <r>
      <rPr>
        <b val="true"/>
        <sz val="9"/>
        <color rgb="FF000000"/>
        <rFont val="Linux Libertine G"/>
        <family val="2"/>
      </rPr>
      <t xml:space="preserve">、招标、海外订单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</si>
  <si>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储能系统招标量</t>
    </r>
  </si>
  <si>
    <r>
      <rPr>
        <sz val="9"/>
        <color rgb="FF000000"/>
        <rFont val="微软雅黑"/>
        <family val="2"/>
        <charset val="134"/>
      </rPr>
      <t xml:space="preserve">CNESA/</t>
    </r>
    <r>
      <rPr>
        <sz val="9"/>
        <color rgb="FF000000"/>
        <rFont val="Linux Libertine G"/>
        <family val="2"/>
      </rPr>
      <t xml:space="preserve">中关村储能联盟</t>
    </r>
  </si>
  <si>
    <r>
      <rPr>
        <sz val="9"/>
        <color rgb="FF000000"/>
        <rFont val="微软雅黑"/>
        <family val="2"/>
        <charset val="134"/>
      </rPr>
      <t xml:space="preserve">&gt;60=10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,45-60=8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,30-45=6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,15-30=4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,&lt;15=2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</si>
  <si>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储能招标创新高，工商业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大储双爆发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</si>
  <si>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储能系统中标均价</t>
    </r>
  </si>
  <si>
    <t xml:space="preserve">系统价格触底，经济性凸显</t>
  </si>
  <si>
    <t xml:space="preserve">电池价格低位，储能成本下降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</si>
  <si>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新型储能规划容量</t>
    </r>
  </si>
  <si>
    <t xml:space="preserve">储能规划加码，政策目标明确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</si>
  <si>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储能政策发布数量</t>
    </r>
  </si>
  <si>
    <r>
      <rPr>
        <sz val="9"/>
        <color rgb="FF000000"/>
        <rFont val="Linux Libertine G"/>
        <family val="2"/>
      </rPr>
      <t xml:space="preserve">国家能源局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发改委</t>
    </r>
  </si>
  <si>
    <t xml:space="preserve">政策密集出台，储能地位提升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</si>
  <si>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工商业储能</t>
    </r>
    <r>
      <rPr>
        <sz val="9"/>
        <color rgb="FF000000"/>
        <rFont val="微软雅黑"/>
        <family val="2"/>
        <charset val="134"/>
      </rPr>
      <t xml:space="preserve">IRR</t>
    </r>
  </si>
  <si>
    <r>
      <rPr>
        <sz val="9"/>
        <color rgb="FF000000"/>
        <rFont val="微软雅黑"/>
        <family val="2"/>
        <charset val="134"/>
      </rPr>
      <t xml:space="preserve">&gt;15%=10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,12-15%=8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,9-12%=6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,6-9%=4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</si>
  <si>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工商业</t>
    </r>
    <r>
      <rPr>
        <sz val="9"/>
        <color rgb="FF000000"/>
        <rFont val="Linux Libertine G"/>
        <family val="2"/>
        <charset val="1"/>
      </rPr>
      <t xml:space="preserve">IRR</t>
    </r>
    <r>
      <rPr>
        <sz val="9"/>
        <color rgb="FF000000"/>
        <rFont val="Linux Libertine G"/>
        <family val="2"/>
      </rPr>
      <t xml:space="preserve">改善，投资吸引力增强</t>
    </r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</si>
  <si>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储能</t>
    </r>
    <r>
      <rPr>
        <sz val="9"/>
        <color rgb="FF000000"/>
        <rFont val="微软雅黑"/>
        <family val="2"/>
        <charset val="134"/>
      </rPr>
      <t xml:space="preserve">PCS</t>
    </r>
    <r>
      <rPr>
        <sz val="9"/>
        <color rgb="FF000000"/>
        <rFont val="Linux Libertine G"/>
        <family val="2"/>
      </rPr>
      <t xml:space="preserve">订单增速</t>
    </r>
  </si>
  <si>
    <r>
      <rPr>
        <sz val="9"/>
        <color rgb="FF000000"/>
        <rFont val="Linux Libertine G"/>
        <family val="2"/>
      </rPr>
      <t xml:space="preserve">阳光电源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上能电气</t>
    </r>
  </si>
  <si>
    <r>
      <rPr>
        <sz val="9"/>
        <color rgb="FF000000"/>
        <rFont val="微软雅黑"/>
        <family val="2"/>
        <charset val="134"/>
      </rPr>
      <t xml:space="preserve">PCS</t>
    </r>
    <r>
      <rPr>
        <sz val="9"/>
        <color rgb="FF000000"/>
        <rFont val="Linux Libertine G"/>
        <family val="2"/>
      </rPr>
      <t xml:space="preserve">订单爆发，大储</t>
    </r>
    <r>
      <rPr>
        <sz val="9"/>
        <color rgb="FF000000"/>
        <rFont val="微软雅黑"/>
        <family val="2"/>
        <charset val="134"/>
      </rPr>
      <t xml:space="preserve">+</t>
    </r>
    <r>
      <rPr>
        <sz val="9"/>
        <color rgb="FF000000"/>
        <rFont val="Linux Libertine G"/>
        <family val="2"/>
      </rPr>
      <t xml:space="preserve">工商业双驱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</si>
  <si>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储能新增装机量</t>
    </r>
  </si>
  <si>
    <t xml:space="preserve">装机量高增，但基数仍小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</si>
  <si>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储能项目并网量</t>
    </r>
  </si>
  <si>
    <r>
      <rPr>
        <sz val="9"/>
        <color rgb="FF000000"/>
        <rFont val="微软雅黑"/>
        <family val="2"/>
        <charset val="134"/>
      </rPr>
      <t xml:space="preserve">&gt;40</t>
    </r>
    <r>
      <rPr>
        <sz val="9"/>
        <color rgb="FF000000"/>
        <rFont val="Linux Libertine G"/>
        <family val="2"/>
      </rPr>
      <t xml:space="preserve">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,&lt;10=2</t>
    </r>
    <r>
      <rPr>
        <sz val="9"/>
        <color rgb="FF000000"/>
        <rFont val="Linux Libertine G"/>
        <family val="2"/>
      </rPr>
      <t xml:space="preserve">分</t>
    </r>
  </si>
  <si>
    <t xml:space="preserve">并网量增长，项目落地加速</t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</si>
  <si>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工商业储能渗透率</t>
    </r>
  </si>
  <si>
    <t xml:space="preserve">工商业渗透率提升，峰谷价差驱动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</si>
  <si>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储能出口金额增速</t>
    </r>
  </si>
  <si>
    <t xml:space="preserve">储能出口爆发，欧美大储订单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</si>
  <si>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电源侧储能配储比例</t>
    </r>
  </si>
  <si>
    <r>
      <rPr>
        <sz val="9"/>
        <color rgb="FF000000"/>
        <rFont val="微软雅黑"/>
        <family val="2"/>
        <charset val="134"/>
      </rPr>
      <t xml:space="preserve">&gt;15%=10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,12-15%=8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,10-12%=6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,&lt;8%=2</t>
    </r>
    <r>
      <rPr>
        <sz val="9"/>
        <color rgb="FF000000"/>
        <rFont val="Linux Libertine G"/>
        <family val="2"/>
      </rPr>
      <t xml:space="preserve">分</t>
    </r>
  </si>
  <si>
    <t xml:space="preserve">配储比例提升，新能源强制配储</t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</si>
  <si>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储能</t>
    </r>
    <r>
      <rPr>
        <sz val="9"/>
        <color rgb="FF000000"/>
        <rFont val="微软雅黑"/>
        <family val="2"/>
        <charset val="134"/>
      </rPr>
      <t xml:space="preserve">EPC</t>
    </r>
    <r>
      <rPr>
        <sz val="9"/>
        <color rgb="FF000000"/>
        <rFont val="Linux Libertine G"/>
        <family val="2"/>
      </rPr>
      <t xml:space="preserve">中标量</t>
    </r>
  </si>
  <si>
    <r>
      <rPr>
        <sz val="9"/>
        <color rgb="FF000000"/>
        <rFont val="微软雅黑"/>
        <family val="2"/>
        <charset val="134"/>
      </rPr>
      <t xml:space="preserve">EPC</t>
    </r>
    <r>
      <rPr>
        <sz val="9"/>
        <color rgb="FF000000"/>
        <rFont val="Linux Libertine G"/>
        <family val="2"/>
      </rPr>
      <t xml:space="preserve">中标放量，项目建设提速</t>
    </r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</si>
  <si>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储能企业季度毛利率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</si>
  <si>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毛利率改善，系统集成能力提升</t>
    </r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</si>
  <si>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储能企业季度净利润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</si>
  <si>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利润改善，系统集成商贡献</t>
    </r>
  </si>
  <si>
    <r>
      <rPr>
        <sz val="9"/>
        <color rgb="FF000000"/>
        <rFont val="微软雅黑"/>
        <family val="2"/>
        <charset val="134"/>
      </rPr>
      <t xml:space="preserve">16-</t>
    </r>
    <r>
      <rPr>
        <sz val="9"/>
        <color rgb="FF000000"/>
        <rFont val="Linux Libertine G"/>
        <family val="2"/>
      </rPr>
      <t xml:space="preserve">储能项目</t>
    </r>
    <r>
      <rPr>
        <sz val="9"/>
        <color rgb="FF000000"/>
        <rFont val="微软雅黑"/>
        <family val="2"/>
        <charset val="134"/>
      </rPr>
      <t xml:space="preserve">IRR</t>
    </r>
    <r>
      <rPr>
        <sz val="9"/>
        <color rgb="FF000000"/>
        <rFont val="Linux Libertine G"/>
        <family val="2"/>
      </rPr>
      <t xml:space="preserve">实现值</t>
    </r>
  </si>
  <si>
    <r>
      <rPr>
        <sz val="9"/>
        <color rgb="FF000000"/>
        <rFont val="微软雅黑"/>
        <family val="2"/>
        <charset val="134"/>
      </rPr>
      <t xml:space="preserve">&gt;12%=10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,9-12%=8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,6-9%=6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,3-6%=4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</si>
  <si>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项目</t>
    </r>
    <r>
      <rPr>
        <sz val="9"/>
        <color rgb="FF000000"/>
        <rFont val="Linux Libertine G"/>
        <family val="2"/>
        <charset val="1"/>
      </rPr>
      <t xml:space="preserve">IRR</t>
    </r>
    <r>
      <rPr>
        <sz val="9"/>
        <color rgb="FF000000"/>
        <rFont val="Linux Libertine G"/>
        <family val="2"/>
      </rPr>
      <t xml:space="preserve">改善，盈利模式清晰</t>
    </r>
  </si>
  <si>
    <r>
      <rPr>
        <sz val="9"/>
        <color rgb="FF000000"/>
        <rFont val="微软雅黑"/>
        <family val="2"/>
        <charset val="134"/>
      </rPr>
      <t xml:space="preserve">17-</t>
    </r>
    <r>
      <rPr>
        <sz val="9"/>
        <color rgb="FF000000"/>
        <rFont val="Linux Libertine G"/>
        <family val="2"/>
      </rPr>
      <t xml:space="preserve">储能行业产能利用率</t>
    </r>
  </si>
  <si>
    <r>
      <rPr>
        <sz val="9"/>
        <color rgb="FF000000"/>
        <rFont val="微软雅黑"/>
        <family val="2"/>
        <charset val="134"/>
      </rPr>
      <t xml:space="preserve">&gt;75%=10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,65-75%=8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,55-65%=6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,45-55%=4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,&lt;45%=2</t>
    </r>
    <r>
      <rPr>
        <sz val="9"/>
        <color rgb="FF000000"/>
        <rFont val="Linux Libertine G"/>
        <family val="2"/>
      </rPr>
      <t xml:space="preserve">分</t>
    </r>
  </si>
  <si>
    <t xml:space="preserve">产能利用率偏低，产能快速扩张</t>
  </si>
  <si>
    <r>
      <rPr>
        <b val="true"/>
        <sz val="14"/>
        <color rgb="FFFFFFFF"/>
        <rFont val="Linux Libertine G"/>
        <family val="2"/>
      </rPr>
      <t xml:space="preserve">行业景气度量化跟踪体系（参数优化版）— </t>
    </r>
    <r>
      <rPr>
        <b val="true"/>
        <sz val="14"/>
        <color rgb="FFFFFFFF"/>
        <rFont val="Linux Libertine G"/>
        <family val="2"/>
        <charset val="1"/>
      </rPr>
      <t xml:space="preserve">CXO</t>
    </r>
  </si>
  <si>
    <r>
      <rPr>
        <b val="true"/>
        <sz val="9"/>
        <color rgb="FF000000"/>
        <rFont val="Linux Libertine G"/>
        <family val="2"/>
      </rPr>
      <t xml:space="preserve">默认阶段框架：早期产业化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兑现｜先行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=55%/30%/15%</t>
    </r>
    <r>
      <rPr>
        <b val="true"/>
        <sz val="9"/>
        <color rgb="FF000000"/>
        <rFont val="Linux Libertine G"/>
        <family val="2"/>
      </rPr>
      <t xml:space="preserve">。量产、订单、交付优先；热度与规划指标不得主导评分。｜核心验证：全球研发资金、订单与产能利用；必选：融资、</t>
    </r>
    <r>
      <rPr>
        <b val="true"/>
        <sz val="9"/>
        <color rgb="FF000000"/>
        <rFont val="Linux Libertine G"/>
        <family val="2"/>
        <charset val="1"/>
      </rPr>
      <t xml:space="preserve">IND</t>
    </r>
    <r>
      <rPr>
        <b val="true"/>
        <sz val="9"/>
        <color rgb="FF000000"/>
        <rFont val="Linux Libertine G"/>
        <family val="2"/>
      </rPr>
      <t xml:space="preserve">、订单、地缘风险</t>
    </r>
  </si>
  <si>
    <r>
      <rPr>
        <b val="true"/>
        <sz val="10"/>
        <color rgb="FFFFFFFF"/>
        <rFont val="Linux Libertine G"/>
        <family val="2"/>
      </rPr>
      <t xml:space="preserve">【先行指标（</t>
    </r>
    <r>
      <rPr>
        <b val="true"/>
        <sz val="10"/>
        <color rgb="FFFFFFFF"/>
        <rFont val="Linux Libertine G"/>
        <family val="2"/>
        <charset val="1"/>
      </rPr>
      <t xml:space="preserve">Leading Indicators</t>
    </r>
    <r>
      <rPr>
        <b val="true"/>
        <sz val="10"/>
        <color rgb="FFFFFFFF"/>
        <rFont val="Linux Libertine G"/>
        <family val="2"/>
      </rPr>
      <t xml:space="preserve">）——提前</t>
    </r>
    <r>
      <rPr>
        <b val="true"/>
        <sz val="10"/>
        <color rgb="FFFFFFFF"/>
        <rFont val="Linux Libertine G"/>
        <family val="2"/>
        <charset val="1"/>
      </rPr>
      <t xml:space="preserve">1-2</t>
    </r>
    <r>
      <rPr>
        <b val="true"/>
        <sz val="10"/>
        <color rgb="FFFFFFFF"/>
        <rFont val="Linux Libertine G"/>
        <family val="2"/>
      </rPr>
      <t xml:space="preserve">个季度预示景气变化】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</si>
  <si>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全球生物医药融资额</t>
    </r>
  </si>
  <si>
    <r>
      <rPr>
        <sz val="9"/>
        <color rgb="FF000000"/>
        <rFont val="Linux Libertine G"/>
        <family val="2"/>
      </rPr>
      <t xml:space="preserve">融资回暖，创新药研发资金充裕，</t>
    </r>
    <r>
      <rPr>
        <sz val="9"/>
        <color rgb="FF000000"/>
        <rFont val="Linux Libertine G"/>
        <family val="2"/>
        <charset val="1"/>
      </rPr>
      <t xml:space="preserve">CXO</t>
    </r>
    <r>
      <rPr>
        <sz val="9"/>
        <color rgb="FF000000"/>
        <rFont val="Linux Libertine G"/>
        <family val="2"/>
      </rPr>
      <t xml:space="preserve">订单源头改善</t>
    </r>
  </si>
  <si>
    <r>
      <rPr>
        <sz val="9"/>
        <color rgb="FF000000"/>
        <rFont val="微软雅黑"/>
        <family val="2"/>
        <charset val="134"/>
      </rPr>
      <t xml:space="preserve">2-FDA</t>
    </r>
    <r>
      <rPr>
        <sz val="9"/>
        <color rgb="FF000000"/>
        <rFont val="Linux Libertine G"/>
        <family val="2"/>
      </rPr>
      <t xml:space="preserve">新药批准数量</t>
    </r>
  </si>
  <si>
    <r>
      <rPr>
        <sz val="9"/>
        <color rgb="FF000000"/>
        <rFont val="微软雅黑"/>
        <family val="2"/>
        <charset val="134"/>
      </rPr>
      <t xml:space="preserve">&gt;30=10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,25-30=8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,20-25=6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,&lt;15=2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</si>
  <si>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FDA</t>
    </r>
    <r>
      <rPr>
        <sz val="9"/>
        <color rgb="FF000000"/>
        <rFont val="Linux Libertine G"/>
        <family val="2"/>
      </rPr>
      <t xml:space="preserve">批准活跃，全球新药上市加速，后端</t>
    </r>
    <r>
      <rPr>
        <sz val="9"/>
        <color rgb="FF000000"/>
        <rFont val="微软雅黑"/>
        <family val="2"/>
        <charset val="134"/>
      </rPr>
      <t xml:space="preserve">CDMO</t>
    </r>
    <r>
      <rPr>
        <sz val="9"/>
        <color rgb="FF000000"/>
        <rFont val="Linux Libertine G"/>
        <family val="2"/>
      </rPr>
      <t xml:space="preserve">需求增加</t>
    </r>
  </si>
  <si>
    <r>
      <rPr>
        <sz val="9"/>
        <color rgb="FF000000"/>
        <rFont val="微软雅黑"/>
        <family val="2"/>
        <charset val="134"/>
      </rPr>
      <t xml:space="preserve">3-CXO</t>
    </r>
    <r>
      <rPr>
        <sz val="9"/>
        <color rgb="FF000000"/>
        <rFont val="Linux Libertine G"/>
        <family val="2"/>
      </rPr>
      <t xml:space="preserve">企业订单增速</t>
    </r>
  </si>
  <si>
    <r>
      <rPr>
        <sz val="9"/>
        <color rgb="FF000000"/>
        <rFont val="Linux Libertine G"/>
        <family val="2"/>
      </rPr>
      <t xml:space="preserve">药明康德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康龙化成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凯莱英</t>
    </r>
  </si>
  <si>
    <r>
      <rPr>
        <sz val="9"/>
        <color rgb="FF000000"/>
        <rFont val="Linux Libertine G"/>
        <family val="2"/>
      </rPr>
      <t xml:space="preserve">订单增速回升，全球外包转移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国内创新药需求双驱</t>
    </r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</si>
  <si>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客户研发管线数量</t>
    </r>
  </si>
  <si>
    <r>
      <rPr>
        <sz val="9"/>
        <color rgb="FF000000"/>
        <rFont val="Linux Libertine G"/>
        <family val="2"/>
      </rPr>
      <t xml:space="preserve">客户管线扩张，前端</t>
    </r>
    <r>
      <rPr>
        <sz val="9"/>
        <color rgb="FF000000"/>
        <rFont val="Linux Libertine G"/>
        <family val="2"/>
        <charset val="1"/>
      </rPr>
      <t xml:space="preserve">CRO</t>
    </r>
    <r>
      <rPr>
        <sz val="9"/>
        <color rgb="FF000000"/>
        <rFont val="Linux Libertine G"/>
        <family val="2"/>
      </rPr>
      <t xml:space="preserve">需求旺盛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</si>
  <si>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创新药</t>
    </r>
    <r>
      <rPr>
        <sz val="9"/>
        <color rgb="FF000000"/>
        <rFont val="微软雅黑"/>
        <family val="2"/>
        <charset val="134"/>
      </rPr>
      <t xml:space="preserve">IND</t>
    </r>
    <r>
      <rPr>
        <sz val="9"/>
        <color rgb="FF000000"/>
        <rFont val="Linux Libertine G"/>
        <family val="2"/>
      </rPr>
      <t xml:space="preserve">数量</t>
    </r>
  </si>
  <si>
    <r>
      <rPr>
        <sz val="9"/>
        <color rgb="FF000000"/>
        <rFont val="Linux Libertine G"/>
        <family val="2"/>
      </rPr>
      <t xml:space="preserve">国内</t>
    </r>
    <r>
      <rPr>
        <sz val="9"/>
        <color rgb="FF000000"/>
        <rFont val="Linux Libertine G"/>
        <family val="2"/>
        <charset val="1"/>
      </rPr>
      <t xml:space="preserve">IND</t>
    </r>
    <r>
      <rPr>
        <sz val="9"/>
        <color rgb="FF000000"/>
        <rFont val="Linux Libertine G"/>
        <family val="2"/>
      </rPr>
      <t xml:space="preserve">活跃，早期研发外包需求强劲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</si>
  <si>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大分子</t>
    </r>
    <r>
      <rPr>
        <sz val="9"/>
        <color rgb="FF000000"/>
        <rFont val="微软雅黑"/>
        <family val="2"/>
        <charset val="134"/>
      </rPr>
      <t xml:space="preserve">/ADC</t>
    </r>
    <r>
      <rPr>
        <sz val="9"/>
        <color rgb="FF000000"/>
        <rFont val="Linux Libertine G"/>
        <family val="2"/>
      </rPr>
      <t xml:space="preserve">药物研发热度</t>
    </r>
  </si>
  <si>
    <r>
      <rPr>
        <sz val="9"/>
        <color rgb="FF000000"/>
        <rFont val="Linux Libertine G"/>
        <family val="2"/>
      </rPr>
      <t xml:space="preserve">极高</t>
    </r>
    <r>
      <rPr>
        <sz val="9"/>
        <color rgb="FF000000"/>
        <rFont val="Linux Libertine G"/>
        <family val="2"/>
        <charset val="1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高</t>
    </r>
    <r>
      <rPr>
        <sz val="9"/>
        <color rgb="FF000000"/>
        <rFont val="Linux Libertine G"/>
        <family val="2"/>
        <charset val="1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中</t>
    </r>
    <r>
      <rPr>
        <sz val="9"/>
        <color rgb="FF000000"/>
        <rFont val="Linux Libertine G"/>
        <family val="2"/>
        <charset val="1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低</t>
    </r>
    <r>
      <rPr>
        <sz val="9"/>
        <color rgb="FF000000"/>
        <rFont val="Linux Libertine G"/>
        <family val="2"/>
        <charset val="1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极低</t>
    </r>
    <r>
      <rPr>
        <sz val="9"/>
        <color rgb="FF000000"/>
        <rFont val="Linux Libertine G"/>
        <family val="2"/>
        <charset val="1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</si>
  <si>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ADC/</t>
    </r>
    <r>
      <rPr>
        <sz val="9"/>
        <color rgb="FF000000"/>
        <rFont val="Linux Libertine G"/>
        <family val="2"/>
      </rPr>
      <t xml:space="preserve">双抗热度高涨，大分子</t>
    </r>
    <r>
      <rPr>
        <sz val="9"/>
        <color rgb="FF000000"/>
        <rFont val="微软雅黑"/>
        <family val="2"/>
        <charset val="134"/>
      </rPr>
      <t xml:space="preserve">CDMO</t>
    </r>
    <r>
      <rPr>
        <sz val="9"/>
        <color rgb="FF000000"/>
        <rFont val="Linux Libertine G"/>
        <family val="2"/>
      </rPr>
      <t xml:space="preserve">产能紧缺</t>
    </r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</si>
  <si>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地缘政治风险指数</t>
    </r>
  </si>
  <si>
    <t xml:space="preserve">回落</t>
  </si>
  <si>
    <t xml:space="preserve">地缘风险边际回落，但美国生物安全法案仍存不确定性</t>
  </si>
  <si>
    <r>
      <rPr>
        <b val="true"/>
        <sz val="10"/>
        <color rgb="FFFFFFFF"/>
        <rFont val="Linux Libertine G"/>
        <family val="2"/>
      </rPr>
      <t xml:space="preserve">【同步指标（</t>
    </r>
    <r>
      <rPr>
        <b val="true"/>
        <sz val="10"/>
        <color rgb="FFFFFFFF"/>
        <rFont val="Linux Libertine G"/>
        <family val="2"/>
        <charset val="1"/>
      </rPr>
      <t xml:space="preserve">Coincident Indicators</t>
    </r>
    <r>
      <rPr>
        <b val="true"/>
        <sz val="10"/>
        <color rgb="FFFFFFFF"/>
        <rFont val="Linux Libertine G"/>
        <family val="2"/>
      </rPr>
      <t xml:space="preserve">）——与当前景气同步变动】</t>
    </r>
  </si>
  <si>
    <r>
      <rPr>
        <sz val="9"/>
        <color rgb="FF000000"/>
        <rFont val="微软雅黑"/>
        <family val="2"/>
        <charset val="134"/>
      </rPr>
      <t xml:space="preserve">8-CXO</t>
    </r>
    <r>
      <rPr>
        <sz val="9"/>
        <color rgb="FF000000"/>
        <rFont val="Linux Libertine G"/>
        <family val="2"/>
      </rPr>
      <t xml:space="preserve">企业收入增速</t>
    </r>
  </si>
  <si>
    <r>
      <rPr>
        <sz val="9"/>
        <color rgb="FF000000"/>
        <rFont val="Linux Libertine G"/>
        <family val="2"/>
      </rPr>
      <t xml:space="preserve">收入增速回升，化学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生物业务双增长</t>
    </r>
  </si>
  <si>
    <r>
      <rPr>
        <sz val="9"/>
        <color rgb="FF000000"/>
        <rFont val="微软雅黑"/>
        <family val="2"/>
        <charset val="134"/>
      </rPr>
      <t xml:space="preserve">9-CDMO</t>
    </r>
    <r>
      <rPr>
        <sz val="9"/>
        <color rgb="FF000000"/>
        <rFont val="Linux Libertine G"/>
        <family val="2"/>
      </rPr>
      <t xml:space="preserve">产能利用率</t>
    </r>
  </si>
  <si>
    <r>
      <rPr>
        <sz val="9"/>
        <color rgb="FF000000"/>
        <rFont val="Linux Libertine G"/>
        <family val="2"/>
      </rPr>
      <t xml:space="preserve">产能利用率回升，小分子</t>
    </r>
    <r>
      <rPr>
        <sz val="9"/>
        <color rgb="FF000000"/>
        <rFont val="Linux Libertine G"/>
        <family val="2"/>
        <charset val="1"/>
      </rPr>
      <t xml:space="preserve">CDMO</t>
    </r>
    <r>
      <rPr>
        <sz val="9"/>
        <color rgb="FF000000"/>
        <rFont val="Linux Libertine G"/>
        <family val="2"/>
      </rPr>
      <t xml:space="preserve">回暖明显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</si>
  <si>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实验室服务收入增速</t>
    </r>
  </si>
  <si>
    <r>
      <rPr>
        <sz val="9"/>
        <color rgb="FF000000"/>
        <rFont val="Linux Libertine G"/>
        <family val="2"/>
      </rPr>
      <t xml:space="preserve">药明康德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康龙化成</t>
    </r>
  </si>
  <si>
    <t xml:space="preserve">实验室服务高增，药物发现阶段需求旺盛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</si>
  <si>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临床</t>
    </r>
    <r>
      <rPr>
        <sz val="9"/>
        <color rgb="FF000000"/>
        <rFont val="微软雅黑"/>
        <family val="2"/>
        <charset val="134"/>
      </rPr>
      <t xml:space="preserve">CRO</t>
    </r>
    <r>
      <rPr>
        <sz val="9"/>
        <color rgb="FF000000"/>
        <rFont val="Linux Libertine G"/>
        <family val="2"/>
      </rPr>
      <t xml:space="preserve">在研项目数</t>
    </r>
  </si>
  <si>
    <r>
      <rPr>
        <sz val="9"/>
        <color rgb="FF000000"/>
        <rFont val="Linux Libertine G"/>
        <family val="2"/>
      </rPr>
      <t xml:space="preserve">泰格医药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诺思格</t>
    </r>
  </si>
  <si>
    <t xml:space="preserve">临床项目增长，国内创新药临床需求增加</t>
  </si>
  <si>
    <r>
      <rPr>
        <sz val="9"/>
        <color rgb="FF000000"/>
        <rFont val="微软雅黑"/>
        <family val="2"/>
        <charset val="134"/>
      </rPr>
      <t xml:space="preserve">12-CXO</t>
    </r>
    <r>
      <rPr>
        <sz val="9"/>
        <color rgb="FF000000"/>
        <rFont val="Linux Libertine G"/>
        <family val="2"/>
      </rPr>
      <t xml:space="preserve">企业合同负债</t>
    </r>
  </si>
  <si>
    <t xml:space="preserve">合同负债高增，在手订单充裕，收入前瞻性好</t>
  </si>
  <si>
    <r>
      <rPr>
        <sz val="9"/>
        <color rgb="FF000000"/>
        <rFont val="微软雅黑"/>
        <family val="2"/>
        <charset val="134"/>
      </rPr>
      <t xml:space="preserve">13-CXO</t>
    </r>
    <r>
      <rPr>
        <sz val="9"/>
        <color rgb="FF000000"/>
        <rFont val="Linux Libertine G"/>
        <family val="2"/>
      </rPr>
      <t xml:space="preserve">企业海外收入占比</t>
    </r>
  </si>
  <si>
    <t xml:space="preserve">海外收入占比高，全球化布局成熟</t>
  </si>
  <si>
    <r>
      <rPr>
        <b val="true"/>
        <sz val="10"/>
        <color rgb="FFFFFFFF"/>
        <rFont val="Linux Libertine G"/>
        <family val="2"/>
      </rPr>
      <t xml:space="preserve">【滞后指标（</t>
    </r>
    <r>
      <rPr>
        <b val="true"/>
        <sz val="10"/>
        <color rgb="FFFFFFFF"/>
        <rFont val="Linux Libertine G"/>
        <family val="2"/>
        <charset val="1"/>
      </rPr>
      <t xml:space="preserve">Lagging Indicators</t>
    </r>
    <r>
      <rPr>
        <b val="true"/>
        <sz val="10"/>
        <color rgb="FFFFFFFF"/>
        <rFont val="Linux Libertine G"/>
        <family val="2"/>
      </rPr>
      <t xml:space="preserve">）——滞后</t>
    </r>
    <r>
      <rPr>
        <b val="true"/>
        <sz val="10"/>
        <color rgb="FFFFFFFF"/>
        <rFont val="Linux Libertine G"/>
        <family val="2"/>
        <charset val="1"/>
      </rPr>
      <t xml:space="preserve">1-2</t>
    </r>
    <r>
      <rPr>
        <b val="true"/>
        <sz val="10"/>
        <color rgb="FFFFFFFF"/>
        <rFont val="Linux Libertine G"/>
        <family val="2"/>
      </rPr>
      <t xml:space="preserve">个季度反映景气变化】</t>
    </r>
  </si>
  <si>
    <r>
      <rPr>
        <sz val="9"/>
        <color rgb="FF000000"/>
        <rFont val="微软雅黑"/>
        <family val="2"/>
        <charset val="134"/>
      </rPr>
      <t xml:space="preserve">14-CXO</t>
    </r>
    <r>
      <rPr>
        <sz val="9"/>
        <color rgb="FF000000"/>
        <rFont val="Linux Libertine G"/>
        <family val="2"/>
      </rPr>
      <t xml:space="preserve">企业季度毛利率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</si>
  <si>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毛利率改善，产能利用率提升</t>
    </r>
    <r>
      <rPr>
        <sz val="9"/>
        <color rgb="FF000000"/>
        <rFont val="微软雅黑"/>
        <family val="2"/>
        <charset val="134"/>
      </rPr>
      <t xml:space="preserve">+</t>
    </r>
    <r>
      <rPr>
        <sz val="9"/>
        <color rgb="FF000000"/>
        <rFont val="Linux Libertine G"/>
        <family val="2"/>
      </rPr>
      <t xml:space="preserve">价格企稳</t>
    </r>
  </si>
  <si>
    <r>
      <rPr>
        <sz val="9"/>
        <color rgb="FF000000"/>
        <rFont val="微软雅黑"/>
        <family val="2"/>
        <charset val="134"/>
      </rPr>
      <t xml:space="preserve">15-CXO</t>
    </r>
    <r>
      <rPr>
        <sz val="9"/>
        <color rgb="FF000000"/>
        <rFont val="Linux Libertine G"/>
        <family val="2"/>
      </rPr>
      <t xml:space="preserve">企业净利润增速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</si>
  <si>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净利增速回升，规模效应显现</t>
    </r>
  </si>
  <si>
    <r>
      <rPr>
        <sz val="9"/>
        <color rgb="FF000000"/>
        <rFont val="微软雅黑"/>
        <family val="2"/>
        <charset val="134"/>
      </rPr>
      <t xml:space="preserve">16-CXO</t>
    </r>
    <r>
      <rPr>
        <sz val="9"/>
        <color rgb="FF000000"/>
        <rFont val="Linux Libertine G"/>
        <family val="2"/>
      </rPr>
      <t xml:space="preserve">行业人均产出</t>
    </r>
  </si>
  <si>
    <r>
      <rPr>
        <sz val="9"/>
        <color rgb="FF000000"/>
        <rFont val="微软雅黑"/>
        <family val="2"/>
        <charset val="134"/>
      </rPr>
      <t xml:space="preserve">&gt;80=10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,45-60=6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,30-45=4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,&lt;30=2</t>
    </r>
    <r>
      <rPr>
        <sz val="9"/>
        <color rgb="FF000000"/>
        <rFont val="Linux Libertine G"/>
        <family val="2"/>
      </rPr>
      <t xml:space="preserve">分</t>
    </r>
  </si>
  <si>
    <t xml:space="preserve">人均产出提升，运营效率改善</t>
  </si>
  <si>
    <r>
      <rPr>
        <sz val="9"/>
        <color rgb="FF000000"/>
        <rFont val="微软雅黑"/>
        <family val="2"/>
        <charset val="134"/>
      </rPr>
      <t xml:space="preserve">17-CXO</t>
    </r>
    <r>
      <rPr>
        <sz val="9"/>
        <color rgb="FF000000"/>
        <rFont val="Linux Libertine G"/>
        <family val="2"/>
      </rPr>
      <t xml:space="preserve">产能扩张进度</t>
    </r>
  </si>
  <si>
    <t xml:space="preserve">产能扩张放缓，资本开支趋于理性</t>
  </si>
  <si>
    <t xml:space="preserve">行业景气度量化跟踪体系（参数优化版）— 创新药</t>
  </si>
  <si>
    <r>
      <rPr>
        <b val="true"/>
        <sz val="9"/>
        <color rgb="FF000000"/>
        <rFont val="Linux Libertine G"/>
        <family val="2"/>
      </rPr>
      <t xml:space="preserve">默认阶段框架：早期产业化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兑现｜先行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=55%/30%/15%</t>
    </r>
    <r>
      <rPr>
        <b val="true"/>
        <sz val="9"/>
        <color rgb="FF000000"/>
        <rFont val="Linux Libertine G"/>
        <family val="2"/>
      </rPr>
      <t xml:space="preserve">。量产、订单、交付优先；热度与规划指标不得主导评分。｜核心验证：研发兑现、商业化与支付；必选：</t>
    </r>
    <r>
      <rPr>
        <b val="true"/>
        <sz val="9"/>
        <color rgb="FF000000"/>
        <rFont val="Linux Libertine G"/>
        <family val="2"/>
        <charset val="1"/>
      </rPr>
      <t xml:space="preserve">BD</t>
    </r>
    <r>
      <rPr>
        <b val="true"/>
        <sz val="9"/>
        <color rgb="FF000000"/>
        <rFont val="Linux Libertine G"/>
        <family val="2"/>
      </rPr>
      <t xml:space="preserve">、临床、获批、医保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准入</t>
    </r>
  </si>
  <si>
    <r>
      <rPr>
        <sz val="9"/>
        <color rgb="FF000000"/>
        <rFont val="Linux Libertine G"/>
        <family val="2"/>
      </rPr>
      <t xml:space="preserve">融资回暖，</t>
    </r>
    <r>
      <rPr>
        <sz val="9"/>
        <color rgb="FF000000"/>
        <rFont val="Linux Libertine G"/>
        <family val="2"/>
        <charset val="1"/>
      </rPr>
      <t xml:space="preserve">Biotech</t>
    </r>
    <r>
      <rPr>
        <sz val="9"/>
        <color rgb="FF000000"/>
        <rFont val="Linux Libertine G"/>
        <family val="2"/>
      </rPr>
      <t xml:space="preserve">资金充裕，早期研发外包及自研投入增加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</si>
  <si>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创新药</t>
    </r>
    <r>
      <rPr>
        <sz val="9"/>
        <color rgb="FF000000"/>
        <rFont val="微软雅黑"/>
        <family val="2"/>
        <charset val="134"/>
      </rPr>
      <t xml:space="preserve">IND</t>
    </r>
    <r>
      <rPr>
        <sz val="9"/>
        <color rgb="FF000000"/>
        <rFont val="Linux Libertine G"/>
        <family val="2"/>
      </rPr>
      <t xml:space="preserve">数量</t>
    </r>
  </si>
  <si>
    <r>
      <rPr>
        <sz val="9"/>
        <color rgb="FF000000"/>
        <rFont val="微软雅黑"/>
        <family val="2"/>
        <charset val="134"/>
      </rPr>
      <t xml:space="preserve">IND</t>
    </r>
    <r>
      <rPr>
        <sz val="9"/>
        <color rgb="FF000000"/>
        <rFont val="Linux Libertine G"/>
        <family val="2"/>
      </rPr>
      <t xml:space="preserve">申报活跃，研发管线丰富，预示</t>
    </r>
    <r>
      <rPr>
        <sz val="9"/>
        <color rgb="FF000000"/>
        <rFont val="微软雅黑"/>
        <family val="2"/>
        <charset val="134"/>
      </rPr>
      <t xml:space="preserve">3-5</t>
    </r>
    <r>
      <rPr>
        <sz val="9"/>
        <color rgb="FF000000"/>
        <rFont val="Linux Libertine G"/>
        <family val="2"/>
      </rPr>
      <t xml:space="preserve">年后上市品种</t>
    </r>
  </si>
  <si>
    <r>
      <rPr>
        <sz val="9"/>
        <color rgb="FF000000"/>
        <rFont val="微软雅黑"/>
        <family val="2"/>
        <charset val="134"/>
      </rPr>
      <t xml:space="preserve">3-NDA/BLA</t>
    </r>
    <r>
      <rPr>
        <sz val="9"/>
        <color rgb="FF000000"/>
        <rFont val="Linux Libertine G"/>
        <family val="2"/>
      </rPr>
      <t xml:space="preserve">申报数量</t>
    </r>
  </si>
  <si>
    <t xml:space="preserve">上市申请增加，商业化在即，收入前瞻性好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</si>
  <si>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临床管线数量</t>
    </r>
  </si>
  <si>
    <r>
      <rPr>
        <sz val="9"/>
        <color rgb="FF000000"/>
        <rFont val="Linux Libertine G"/>
        <family val="2"/>
      </rPr>
      <t xml:space="preserve">管线扩张，临床阶段项目增加，</t>
    </r>
    <r>
      <rPr>
        <sz val="9"/>
        <color rgb="FF000000"/>
        <rFont val="Linux Libertine G"/>
        <family val="2"/>
        <charset val="1"/>
      </rPr>
      <t xml:space="preserve">CRO/CDMO</t>
    </r>
    <r>
      <rPr>
        <sz val="9"/>
        <color rgb="FF000000"/>
        <rFont val="Linux Libertine G"/>
        <family val="2"/>
      </rPr>
      <t xml:space="preserve">需求拉动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</si>
  <si>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创新药</t>
    </r>
    <r>
      <rPr>
        <sz val="9"/>
        <color rgb="FF000000"/>
        <rFont val="微软雅黑"/>
        <family val="2"/>
        <charset val="134"/>
      </rPr>
      <t xml:space="preserve">BD</t>
    </r>
    <r>
      <rPr>
        <sz val="9"/>
        <color rgb="FF000000"/>
        <rFont val="Linux Libertine G"/>
        <family val="2"/>
      </rPr>
      <t xml:space="preserve">交易金额</t>
    </r>
  </si>
  <si>
    <r>
      <rPr>
        <sz val="9"/>
        <color rgb="FF000000"/>
        <rFont val="微软雅黑"/>
        <family val="2"/>
        <charset val="134"/>
      </rPr>
      <t xml:space="preserve">License-out</t>
    </r>
    <r>
      <rPr>
        <sz val="9"/>
        <color rgb="FF000000"/>
        <rFont val="Linux Libertine G"/>
        <family val="2"/>
      </rPr>
      <t xml:space="preserve">高增，国产创新药国际化加速，首付款改善现金流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</si>
  <si>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医保谈判降价预期</t>
    </r>
  </si>
  <si>
    <t xml:space="preserve">降价幅度可控，创新药定价环境改善，利于峰值销售预期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</si>
  <si>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创新药研发支出增速</t>
    </r>
  </si>
  <si>
    <t xml:space="preserve">研发投入高增，管线厚度增加，长期成长确定性提升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</si>
  <si>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创新药获批数量</t>
    </r>
  </si>
  <si>
    <t xml:space="preserve">获批数量高增，国产创新药进入收获期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</si>
  <si>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创新药销售额增速</t>
    </r>
  </si>
  <si>
    <r>
      <rPr>
        <sz val="9"/>
        <color rgb="FF000000"/>
        <rFont val="微软雅黑"/>
        <family val="2"/>
        <charset val="134"/>
      </rPr>
      <t xml:space="preserve">PDB/</t>
    </r>
    <r>
      <rPr>
        <sz val="9"/>
        <color rgb="FF000000"/>
        <rFont val="Linux Libertine G"/>
        <family val="2"/>
      </rPr>
      <t xml:space="preserve">样本医院</t>
    </r>
  </si>
  <si>
    <r>
      <rPr>
        <sz val="9"/>
        <color rgb="FF000000"/>
        <rFont val="Linux Libertine G"/>
        <family val="2"/>
      </rPr>
      <t xml:space="preserve">院内销售高增，新药放量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适应症拓展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</si>
  <si>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医院准入数量</t>
    </r>
  </si>
  <si>
    <r>
      <rPr>
        <sz val="9"/>
        <color rgb="FF000000"/>
        <rFont val="Linux Libertine G"/>
        <family val="2"/>
      </rPr>
      <t xml:space="preserve">医院准入加快，医保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商保双通道推动放量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</si>
  <si>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创新药处方量增速</t>
    </r>
  </si>
  <si>
    <r>
      <rPr>
        <sz val="9"/>
        <color rgb="FF000000"/>
        <rFont val="Linux Libertine G"/>
        <family val="2"/>
      </rPr>
      <t xml:space="preserve">处方量高增，医生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患者接受度提升</t>
    </r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</si>
  <si>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创新药出口金额</t>
    </r>
  </si>
  <si>
    <r>
      <rPr>
        <sz val="9"/>
        <color rgb="FF000000"/>
        <rFont val="Linux Libertine G"/>
        <family val="2"/>
      </rPr>
      <t xml:space="preserve">出口爆发，</t>
    </r>
    <r>
      <rPr>
        <sz val="9"/>
        <color rgb="FF000000"/>
        <rFont val="Linux Libertine G"/>
        <family val="2"/>
        <charset val="1"/>
      </rPr>
      <t xml:space="preserve">License-out+</t>
    </r>
    <r>
      <rPr>
        <sz val="9"/>
        <color rgb="FF000000"/>
        <rFont val="Linux Libertine G"/>
        <family val="2"/>
      </rPr>
      <t xml:space="preserve">自主出海双轮驱动</t>
    </r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</si>
  <si>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生物类似药上市数量</t>
    </r>
  </si>
  <si>
    <t xml:space="preserve">生物类似药上市，市场竞争加剧但可及性提升</t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</si>
  <si>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创新药企业毛利率</t>
    </r>
  </si>
  <si>
    <r>
      <rPr>
        <sz val="9"/>
        <color rgb="FF000000"/>
        <rFont val="Linux Libertine G"/>
        <family val="2"/>
      </rPr>
      <t xml:space="preserve">毛利率极高，创新药专利壁垒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定价权强</t>
    </r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</si>
  <si>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创新药企业净利润</t>
    </r>
  </si>
  <si>
    <r>
      <rPr>
        <sz val="9"/>
        <color rgb="FF000000"/>
        <rFont val="微软雅黑"/>
        <family val="2"/>
        <charset val="134"/>
      </rPr>
      <t xml:space="preserve">&gt;30%=10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,15-30%=8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,-15-0%=4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,&lt;-15%=2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</si>
  <si>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净利润高增，重磅品种放量</t>
    </r>
    <r>
      <rPr>
        <sz val="9"/>
        <color rgb="FF000000"/>
        <rFont val="微软雅黑"/>
        <family val="2"/>
        <charset val="134"/>
      </rPr>
      <t xml:space="preserve">+</t>
    </r>
    <r>
      <rPr>
        <sz val="9"/>
        <color rgb="FF000000"/>
        <rFont val="Linux Libertine G"/>
        <family val="2"/>
      </rPr>
      <t xml:space="preserve">费用率优化</t>
    </r>
  </si>
  <si>
    <r>
      <rPr>
        <sz val="9"/>
        <color rgb="FF000000"/>
        <rFont val="微软雅黑"/>
        <family val="2"/>
        <charset val="134"/>
      </rPr>
      <t xml:space="preserve">16-</t>
    </r>
    <r>
      <rPr>
        <sz val="9"/>
        <color rgb="FF000000"/>
        <rFont val="Linux Libertine G"/>
        <family val="2"/>
      </rPr>
      <t xml:space="preserve">创新药研发费用率</t>
    </r>
  </si>
  <si>
    <t xml:space="preserve">研发费用率维持高位，管线投入大</t>
  </si>
  <si>
    <r>
      <rPr>
        <sz val="9"/>
        <color rgb="FF000000"/>
        <rFont val="微软雅黑"/>
        <family val="2"/>
        <charset val="134"/>
      </rPr>
      <t xml:space="preserve">17-</t>
    </r>
    <r>
      <rPr>
        <sz val="9"/>
        <color rgb="FF000000"/>
        <rFont val="Linux Libertine G"/>
        <family val="2"/>
      </rPr>
      <t xml:space="preserve">创新药销售费用率</t>
    </r>
  </si>
  <si>
    <r>
      <rPr>
        <sz val="9"/>
        <color rgb="FF000000"/>
        <rFont val="微软雅黑"/>
        <family val="2"/>
        <charset val="134"/>
      </rPr>
      <t xml:space="preserve">&lt;35%=10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,35-45%=8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,45-55%=6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,55-65%=4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,&gt;65%=2</t>
    </r>
    <r>
      <rPr>
        <sz val="9"/>
        <color rgb="FF000000"/>
        <rFont val="Linux Libertine G"/>
        <family val="2"/>
      </rPr>
      <t xml:space="preserve">分</t>
    </r>
  </si>
  <si>
    <t xml:space="preserve">销售费用率下降，学术推广效率提升</t>
  </si>
  <si>
    <r>
      <rPr>
        <sz val="9"/>
        <color rgb="FF000000"/>
        <rFont val="微软雅黑"/>
        <family val="2"/>
        <charset val="134"/>
      </rPr>
      <t xml:space="preserve">18-</t>
    </r>
    <r>
      <rPr>
        <sz val="9"/>
        <color rgb="FF000000"/>
        <rFont val="Linux Libertine G"/>
        <family val="2"/>
      </rPr>
      <t xml:space="preserve">创新药经营性现金流</t>
    </r>
  </si>
  <si>
    <r>
      <rPr>
        <sz val="9"/>
        <color rgb="FF000000"/>
        <rFont val="Linux Libertine G"/>
        <family val="2"/>
      </rPr>
      <t xml:space="preserve">现金流改善，</t>
    </r>
    <r>
      <rPr>
        <sz val="9"/>
        <color rgb="FF000000"/>
        <rFont val="Linux Libertine G"/>
        <family val="2"/>
        <charset val="1"/>
      </rPr>
      <t xml:space="preserve">BD</t>
    </r>
    <r>
      <rPr>
        <sz val="9"/>
        <color rgb="FF000000"/>
        <rFont val="Linux Libertine G"/>
        <family val="2"/>
      </rPr>
      <t xml:space="preserve">首付款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销售回款增加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</si>
</sst>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26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Linux Libertine G"/>
      <family val="2"/>
    </font>
    <font>
      <b val="true"/>
      <sz val="16"/>
      <color rgb="FFFFFFFF"/>
      <name val="Cambria"/>
      <family val="0"/>
      <charset val="1"/>
    </font>
    <font>
      <b val="true"/>
      <sz val="11"/>
      <name val="Linux Libertine G"/>
      <family val="2"/>
    </font>
    <font>
      <b val="true"/>
      <sz val="11"/>
      <color rgb="FFFFFFFF"/>
      <name val="Linux Libertine G"/>
      <family val="2"/>
    </font>
    <font>
      <sz val="11"/>
      <color theme="1"/>
      <name val="Linux Libertine G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Linux Libertine G"/>
      <family val="2"/>
      <charset val="1"/>
    </font>
    <font>
      <b val="true"/>
      <sz val="15"/>
      <color rgb="FFFFFFFF"/>
      <name val="Linux Libertine G"/>
      <family val="2"/>
    </font>
    <font>
      <b val="true"/>
      <sz val="9"/>
      <color rgb="FF000000"/>
      <name val="Linux Libertine G"/>
      <family val="2"/>
    </font>
    <font>
      <b val="true"/>
      <sz val="9"/>
      <color rgb="FF000000"/>
      <name val="Linux Libertine G"/>
      <family val="2"/>
      <charset val="1"/>
    </font>
    <font>
      <sz val="9"/>
      <color rgb="FF000000"/>
      <name val="Linux Libertine G"/>
      <family val="2"/>
    </font>
    <font>
      <sz val="9"/>
      <color rgb="FF000000"/>
      <name val="微软雅黑"/>
      <family val="2"/>
      <charset val="134"/>
    </font>
    <font>
      <sz val="9"/>
      <color rgb="FF000000"/>
      <name val="Linux Libertine G"/>
      <family val="2"/>
      <charset val="1"/>
    </font>
    <font>
      <sz val="11"/>
      <color theme="1"/>
      <name val="宋体"/>
      <family val="2"/>
      <charset val="1"/>
    </font>
    <font>
      <b val="true"/>
      <sz val="14"/>
      <color rgb="FFFFFFFF"/>
      <name val="Linux Libertine G"/>
      <family val="2"/>
    </font>
    <font>
      <b val="true"/>
      <sz val="10"/>
      <color rgb="FFFFFFFF"/>
      <name val="Linux Libertine G"/>
      <family val="2"/>
    </font>
    <font>
      <b val="true"/>
      <sz val="10"/>
      <color rgb="FFFFFFFF"/>
      <name val="Linux Libertine G"/>
      <family val="2"/>
      <charset val="1"/>
    </font>
    <font>
      <b val="true"/>
      <sz val="11"/>
      <color rgb="FF000000"/>
      <name val="Linux Libertine G"/>
      <family val="2"/>
    </font>
    <font>
      <b val="true"/>
      <sz val="12"/>
      <color rgb="FF000000"/>
      <name val="微软雅黑"/>
      <family val="2"/>
      <charset val="134"/>
    </font>
    <font>
      <sz val="10"/>
      <name val="Linux Libertine G"/>
      <family val="2"/>
    </font>
    <font>
      <sz val="10"/>
      <name val="Arial"/>
      <family val="2"/>
    </font>
    <font>
      <b val="true"/>
      <sz val="14"/>
      <color rgb="FFFFFFFF"/>
      <name val="Linux Libertine G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D9E1F2"/>
      </patternFill>
    </fill>
    <fill>
      <patternFill patternType="solid">
        <fgColor rgb="FFD9EAD3"/>
        <bgColor rgb="FFE7E6E6"/>
      </patternFill>
    </fill>
    <fill>
      <patternFill patternType="solid">
        <fgColor rgb="FF1F4E78"/>
        <bgColor rgb="FF17365D"/>
      </patternFill>
    </fill>
    <fill>
      <patternFill patternType="solid">
        <fgColor rgb="FFC55A11"/>
        <bgColor rgb="FF993300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9EAD3"/>
      </patternFill>
    </fill>
    <fill>
      <patternFill patternType="solid">
        <fgColor rgb="FFFFC7CE"/>
        <bgColor rgb="FFE7E6E6"/>
      </patternFill>
    </fill>
    <fill>
      <patternFill patternType="solid">
        <fgColor rgb="FFFF6B6B"/>
        <bgColor rgb="FFC55A11"/>
      </patternFill>
    </fill>
    <fill>
      <patternFill patternType="solid">
        <fgColor rgb="FFE7E6E6"/>
        <bgColor rgb="FFD9E1F2"/>
      </patternFill>
    </fill>
    <fill>
      <patternFill patternType="solid">
        <fgColor rgb="FFFFF2CC"/>
        <bgColor rgb="FFFFEB9C"/>
      </patternFill>
    </fill>
    <fill>
      <patternFill patternType="solid">
        <fgColor rgb="FF2E75B6"/>
        <bgColor rgb="FF4F81BD"/>
      </patternFill>
    </fill>
    <fill>
      <patternFill patternType="solid">
        <fgColor rgb="FFD9E1F2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  <dxf>
      <font>
        <color rgb="FF000000"/>
      </font>
      <fill>
        <patternFill>
          <bgColor theme="4" tint="0.8"/>
        </patternFill>
      </fill>
    </dxf>
    <dxf>
      <fill>
        <patternFill>
          <bgColor theme="4" tint="0.6"/>
        </patternFill>
      </fill>
    </dxf>
    <dxf>
      <fill>
        <patternFill>
          <bgColor theme="4" tint="0.6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  <border diagonalUp="false" diagonalDown="false">
        <left/>
        <right/>
        <top/>
        <bottom style="medium">
          <color theme="0"/>
        </bottom>
        <diagonal/>
      </border>
    </dxf>
    <dxf>
      <font>
        <b val="1"/>
        <color rgb="FFFFFFFF"/>
      </font>
      <fill>
        <patternFill>
          <bgColor theme="4"/>
        </patternFill>
      </fill>
      <border diagonalUp="false" diagonalDown="false">
        <left/>
        <right/>
        <top style="medium">
          <color theme="0"/>
        </top>
        <bottom/>
        <diagonal/>
      </border>
    </dxf>
  </dxfs>
  <tableStyles count="2">
    <tableStyle count="7" name="TableStyleMedium2">
      <tableStyleElement dxfId="10" type="wholeTable"/>
      <tableStyleElement dxfId="11" type="firstColumnStripe"/>
      <tableStyleElement dxfId="12" type="firstRowStripe"/>
      <tableStyleElement dxfId="13" type="lastColumn"/>
      <tableStyleElement dxfId="14" type="firstColumn"/>
      <tableStyleElement dxfId="15" type="headerRow"/>
      <tableStyleElement dxfId="16" type="totalRow"/>
    </tableStyle>
    <tableStyle count="7" name="TableStyleMedium9">
      <tableStyleElement dxfId="17" type="wholeTable"/>
      <tableStyleElement dxfId="18" type="firstColumnStripe"/>
      <tableStyleElement dxfId="19" type="firstRowStripe"/>
      <tableStyleElement dxfId="20" type="lastColumn"/>
      <tableStyleElement dxfId="21" type="firstColumn"/>
      <tableStyleElement dxfId="22" type="headerRow"/>
      <tableStyleElement dxfId="23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7E6E6"/>
      <rgbColor rgb="FF808080"/>
      <rgbColor rgb="FF9999FF"/>
      <rgbColor rgb="FF993366"/>
      <rgbColor rgb="FFFFF2CC"/>
      <rgbColor rgb="FFD9EAF7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EB9C"/>
      <rgbColor rgb="FF95B3D7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C55A11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事件覆盖层表" displayName="事件覆盖层表" ref="A1:M101" headerRowCount="1" totalsRowCount="0" totalsRowShown="0">
  <autoFilter ref="A1:M101"/>
  <tableColumns count="13">
    <tableColumn id="1" name="事件ID"/>
    <tableColumn id="2" name="日期"/>
    <tableColumn id="3" name="受影响行业"/>
    <tableColumn id="4" name="事件类别"/>
    <tableColumn id="5" name="方向"/>
    <tableColumn id="6" name="影响期限"/>
    <tableColumn id="7" name="证据数(0-3)"/>
    <tableColumn id="8" name="事件影响(-1.5~1.5)"/>
    <tableColumn id="9" name="验证指标"/>
    <tableColumn id="10" name="证伪条件"/>
    <tableColumn id="11" name="到期复核日"/>
    <tableColumn id="12" name="状态"/>
    <tableColumn id="13" name="备注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指标更新台账表" displayName="指标更新台账表" ref="A1:N526" headerRowCount="1" totalsRowCount="0" totalsRowShown="0">
  <autoFilter ref="A1:N526"/>
  <tableColumns count="14">
    <tableColumn id="1" name="指标键"/>
    <tableColumn id="2" name="行业"/>
    <tableColumn id="3" name="层级"/>
    <tableColumn id="4" name="指标名称"/>
    <tableColumn id="5" name="数据来源"/>
    <tableColumn id="6" name="当前值（原始）"/>
    <tableColumn id="7" name="单位"/>
    <tableColumn id="8" name="建议权重"/>
    <tableColumn id="9" name="当前评分(1-10)"/>
    <tableColumn id="10" name="数据发布日期"/>
    <tableColumn id="11" name="数据状态"/>
    <tableColumn id="12" name="角色"/>
    <tableColumn id="13" name="评分口径"/>
    <tableColumn id="14" name="更新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行业核心标准表" displayName="行业核心标准表" ref="A1:G44" headerRowCount="1" totalsRowCount="0" totalsRowShown="0">
  <autoFilter ref="A1:G44"/>
  <tableColumns count="7">
    <tableColumn id="1" name="行业"/>
    <tableColumn id="2" name="核心增长内核"/>
    <tableColumn id="3" name="必选先行标准（未满足不得上调）"/>
    <tableColumn id="4" name="同步确认标准"/>
    <tableColumn id="5" name="质量/盈利验证"/>
    <tableColumn id="6" name="不作为主评分的指标"/>
    <tableColumn id="7" name="新标理由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行业监控面板表" displayName="行业监控面板表" ref="A1:K44" headerRowCount="1" totalsRowCount="0" totalsRowShown="0">
  <autoFilter ref="A1:K44"/>
  <tableColumns count="11">
    <tableColumn id="1" name="行业"/>
    <tableColumn id="2" name="基础景气分"/>
    <tableColumn id="3" name="核心增长内核"/>
    <tableColumn id="4" name="必选先行标准"/>
    <tableColumn id="5" name="风险否决重点"/>
    <tableColumn id="6" name="事件证据数(0-3)"/>
    <tableColumn id="7" name="事件影响(-1.5~1.5)"/>
    <tableColumn id="8" name="风险扣分(0~-1.5)"/>
    <tableColumn id="9" name="事件有效影响"/>
    <tableColumn id="10" name="最终行业分"/>
    <tableColumn id="11" name="使用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跨行业因子库表" displayName="跨行业因子库表" ref="A1:E11" headerRowCount="1" totalsRowCount="0" totalsRowShown="0">
  <autoFilter ref="A1:E11"/>
  <tableColumns count="5">
    <tableColumn id="1" name="跨行业因子"/>
    <tableColumn id="2" name="核心标准"/>
    <tableColumn id="3" name="主要影响行业"/>
    <tableColumn id="4" name="评分限制"/>
    <tableColumn id="5" name="建议口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2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3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4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8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9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0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1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12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13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14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15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16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17.v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18.v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19.v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0.v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21.v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22.v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23.v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24.v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25.v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26.v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27.v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28.v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29.v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0.v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31.v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32.v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33.v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comments" Target="../comments43.xml"/><Relationship Id="rId2" Type="http://schemas.openxmlformats.org/officeDocument/2006/relationships/vmlDrawing" Target="../drawings/vmlDrawing34.v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comments" Target="../comments44.xml"/><Relationship Id="rId2" Type="http://schemas.openxmlformats.org/officeDocument/2006/relationships/vmlDrawing" Target="../drawings/vmlDrawing35.v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comments" Target="../comments45.xml"/><Relationship Id="rId2" Type="http://schemas.openxmlformats.org/officeDocument/2006/relationships/vmlDrawing" Target="../drawings/vmlDrawing36.v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comments" Target="../comments46.xml"/><Relationship Id="rId2" Type="http://schemas.openxmlformats.org/officeDocument/2006/relationships/vmlDrawing" Target="../drawings/vmlDrawing37.v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comments" Target="../comments47.xml"/><Relationship Id="rId2" Type="http://schemas.openxmlformats.org/officeDocument/2006/relationships/vmlDrawing" Target="../drawings/vmlDrawing38.v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comments" Target="../comments48.xml"/><Relationship Id="rId2" Type="http://schemas.openxmlformats.org/officeDocument/2006/relationships/vmlDrawing" Target="../drawings/vmlDrawing39.v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comments" Target="../comments49.xml"/><Relationship Id="rId2" Type="http://schemas.openxmlformats.org/officeDocument/2006/relationships/vmlDrawing" Target="../drawings/vmlDrawing40.v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comments" Target="../comments50.xml"/><Relationship Id="rId2" Type="http://schemas.openxmlformats.org/officeDocument/2006/relationships/vmlDrawing" Target="../drawings/vmlDrawing41.v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comments" Target="../comments51.xml"/><Relationship Id="rId2" Type="http://schemas.openxmlformats.org/officeDocument/2006/relationships/vmlDrawing" Target="../drawings/vmlDrawing42.v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comments" Target="../comments52.xml"/><Relationship Id="rId2" Type="http://schemas.openxmlformats.org/officeDocument/2006/relationships/vmlDrawing" Target="../drawings/vmlDrawing4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8" min="3" style="0" width="18"/>
  </cols>
  <sheetData>
    <row r="1" customFormat="false" ht="20.1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4.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  <c r="H4" s="4"/>
    </row>
    <row r="5" customFormat="false" ht="34.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  <c r="G5" s="4"/>
      <c r="H5" s="4"/>
    </row>
    <row r="6" customFormat="false" ht="34.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  <c r="G6" s="4"/>
      <c r="H6" s="4"/>
    </row>
    <row r="7" customFormat="false" ht="34.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  <c r="G7" s="4"/>
      <c r="H7" s="4"/>
    </row>
  </sheetData>
  <mergeCells count="6">
    <mergeCell ref="A1:H1"/>
    <mergeCell ref="A2:H2"/>
    <mergeCell ref="B4:H4"/>
    <mergeCell ref="B5:H5"/>
    <mergeCell ref="B6:H6"/>
    <mergeCell ref="B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</row>
    <row r="2" customFormat="false" ht="54.75" hidden="false" customHeight="true" outlineLevel="0" collapsed="false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</row>
    <row r="3" customFormat="false" ht="54.75" hidden="false" customHeight="tru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</row>
    <row r="4" customFormat="false" ht="54.75" hidden="false" customHeight="tru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7" t="s">
        <v>29</v>
      </c>
    </row>
    <row r="5" customFormat="false" ht="54.75" hidden="false" customHeight="true" outlineLevel="0" collapsed="false">
      <c r="A5" s="6" t="s">
        <v>30</v>
      </c>
      <c r="B5" s="6" t="s">
        <v>31</v>
      </c>
      <c r="C5" s="6" t="s">
        <v>32</v>
      </c>
      <c r="D5" s="6" t="s">
        <v>33</v>
      </c>
      <c r="E5" s="6" t="s">
        <v>34</v>
      </c>
    </row>
    <row r="6" customFormat="false" ht="54.75" hidden="false" customHeight="true" outlineLevel="0" collapsed="false">
      <c r="A6" s="6" t="s">
        <v>35</v>
      </c>
      <c r="B6" s="6" t="s">
        <v>36</v>
      </c>
      <c r="C6" s="6" t="s">
        <v>37</v>
      </c>
      <c r="D6" s="6" t="s">
        <v>38</v>
      </c>
      <c r="E6" s="7" t="s">
        <v>39</v>
      </c>
    </row>
    <row r="7" customFormat="false" ht="54.75" hidden="false" customHeight="true" outlineLevel="0" collapsed="false">
      <c r="A7" s="6" t="s">
        <v>40</v>
      </c>
      <c r="B7" s="6" t="s">
        <v>41</v>
      </c>
      <c r="C7" s="6" t="s">
        <v>42</v>
      </c>
      <c r="D7" s="6" t="s">
        <v>43</v>
      </c>
      <c r="E7" s="6" t="s">
        <v>44</v>
      </c>
    </row>
    <row r="8" customFormat="false" ht="54.75" hidden="false" customHeight="true" outlineLevel="0" collapsed="false">
      <c r="A8" s="6" t="s">
        <v>45</v>
      </c>
      <c r="B8" s="6" t="s">
        <v>46</v>
      </c>
      <c r="C8" s="6" t="s">
        <v>47</v>
      </c>
      <c r="D8" s="6" t="s">
        <v>48</v>
      </c>
      <c r="E8" s="6" t="s">
        <v>49</v>
      </c>
    </row>
    <row r="9" customFormat="false" ht="54.75" hidden="false" customHeight="true" outlineLevel="0" collapsed="false">
      <c r="A9" s="6" t="s">
        <v>50</v>
      </c>
      <c r="B9" s="6" t="s">
        <v>51</v>
      </c>
      <c r="C9" s="6" t="s">
        <v>52</v>
      </c>
      <c r="D9" s="6" t="s">
        <v>53</v>
      </c>
      <c r="E9" s="6" t="s">
        <v>54</v>
      </c>
    </row>
    <row r="10" customFormat="false" ht="54.75" hidden="false" customHeight="true" outlineLevel="0" collapsed="false">
      <c r="A10" s="6" t="s">
        <v>55</v>
      </c>
      <c r="B10" s="6" t="s">
        <v>56</v>
      </c>
      <c r="C10" s="6" t="s">
        <v>57</v>
      </c>
      <c r="D10" s="6" t="s">
        <v>58</v>
      </c>
      <c r="E10" s="7" t="s">
        <v>59</v>
      </c>
    </row>
    <row r="11" customFormat="false" ht="54.75" hidden="false" customHeight="true" outlineLevel="0" collapsed="false">
      <c r="A11" s="6" t="s">
        <v>60</v>
      </c>
      <c r="B11" s="6" t="s">
        <v>61</v>
      </c>
      <c r="C11" s="6" t="s">
        <v>62</v>
      </c>
      <c r="D11" s="6" t="s">
        <v>63</v>
      </c>
      <c r="E11" s="6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48"/>
    <col collapsed="false" customWidth="true" hidden="false" outlineLevel="0" max="14" min="14" style="0" width="38"/>
  </cols>
  <sheetData>
    <row r="1" customFormat="false" ht="27.6" hidden="false" customHeight="false" outlineLevel="0" collapsed="false">
      <c r="A1" s="5" t="s">
        <v>65</v>
      </c>
      <c r="B1" s="5" t="s">
        <v>66</v>
      </c>
      <c r="C1" s="5" t="s">
        <v>67</v>
      </c>
      <c r="D1" s="5" t="s">
        <v>68</v>
      </c>
      <c r="E1" s="5" t="s">
        <v>69</v>
      </c>
      <c r="F1" s="5" t="s">
        <v>70</v>
      </c>
      <c r="G1" s="5" t="s">
        <v>71</v>
      </c>
      <c r="H1" s="5" t="s">
        <v>72</v>
      </c>
      <c r="I1" s="5" t="s">
        <v>73</v>
      </c>
      <c r="J1" s="5" t="s">
        <v>74</v>
      </c>
      <c r="K1" s="5" t="s">
        <v>75</v>
      </c>
      <c r="L1" s="5" t="s">
        <v>76</v>
      </c>
      <c r="M1" s="5" t="s">
        <v>77</v>
      </c>
      <c r="N1" s="5" t="s">
        <v>78</v>
      </c>
    </row>
    <row r="2" customFormat="false" ht="15" hidden="false" customHeight="false" outlineLevel="0" collapsed="false">
      <c r="A2" s="6" t="s">
        <v>79</v>
      </c>
      <c r="B2" s="6" t="s">
        <v>80</v>
      </c>
      <c r="C2" s="6" t="s">
        <v>81</v>
      </c>
      <c r="D2" s="7" t="s">
        <v>82</v>
      </c>
      <c r="E2" s="6" t="s">
        <v>83</v>
      </c>
      <c r="F2" s="7" t="s">
        <v>84</v>
      </c>
      <c r="G2" s="7" t="s">
        <v>85</v>
      </c>
      <c r="H2" s="6" t="n">
        <v>0.125</v>
      </c>
      <c r="I2" s="8" t="n">
        <v>6</v>
      </c>
      <c r="J2" s="6"/>
      <c r="K2" s="6" t="s">
        <v>86</v>
      </c>
      <c r="L2" s="6" t="s">
        <v>87</v>
      </c>
      <c r="M2" s="6" t="s">
        <v>88</v>
      </c>
      <c r="N2" s="6" t="s">
        <v>89</v>
      </c>
    </row>
    <row r="3" customFormat="false" ht="26.85" hidden="false" customHeight="false" outlineLevel="0" collapsed="false">
      <c r="A3" s="6" t="s">
        <v>90</v>
      </c>
      <c r="B3" s="6" t="s">
        <v>80</v>
      </c>
      <c r="C3" s="6" t="s">
        <v>81</v>
      </c>
      <c r="D3" s="7" t="s">
        <v>91</v>
      </c>
      <c r="E3" s="6" t="s">
        <v>92</v>
      </c>
      <c r="F3" s="7" t="s">
        <v>93</v>
      </c>
      <c r="G3" s="7" t="s">
        <v>85</v>
      </c>
      <c r="H3" s="6" t="n">
        <v>0.125</v>
      </c>
      <c r="I3" s="8" t="n">
        <v>9</v>
      </c>
      <c r="J3" s="6"/>
      <c r="K3" s="6" t="s">
        <v>86</v>
      </c>
      <c r="L3" s="6" t="s">
        <v>87</v>
      </c>
      <c r="M3" s="6" t="s">
        <v>94</v>
      </c>
      <c r="N3" s="6" t="s">
        <v>89</v>
      </c>
    </row>
    <row r="4" customFormat="false" ht="26.85" hidden="false" customHeight="false" outlineLevel="0" collapsed="false">
      <c r="A4" s="6" t="s">
        <v>95</v>
      </c>
      <c r="B4" s="6" t="s">
        <v>80</v>
      </c>
      <c r="C4" s="6" t="s">
        <v>81</v>
      </c>
      <c r="D4" s="7" t="s">
        <v>96</v>
      </c>
      <c r="E4" s="6" t="s">
        <v>97</v>
      </c>
      <c r="F4" s="7" t="s">
        <v>98</v>
      </c>
      <c r="G4" s="7" t="s">
        <v>85</v>
      </c>
      <c r="H4" s="6" t="n">
        <v>0.1</v>
      </c>
      <c r="I4" s="8" t="n">
        <v>8</v>
      </c>
      <c r="J4" s="6"/>
      <c r="K4" s="6" t="s">
        <v>86</v>
      </c>
      <c r="L4" s="6" t="s">
        <v>87</v>
      </c>
      <c r="M4" s="6" t="s">
        <v>94</v>
      </c>
      <c r="N4" s="6" t="s">
        <v>89</v>
      </c>
    </row>
    <row r="5" customFormat="false" ht="15" hidden="false" customHeight="false" outlineLevel="0" collapsed="false">
      <c r="A5" s="6" t="s">
        <v>99</v>
      </c>
      <c r="B5" s="6" t="s">
        <v>80</v>
      </c>
      <c r="C5" s="6" t="s">
        <v>81</v>
      </c>
      <c r="D5" s="7" t="s">
        <v>100</v>
      </c>
      <c r="E5" s="6" t="s">
        <v>101</v>
      </c>
      <c r="F5" s="7" t="s">
        <v>102</v>
      </c>
      <c r="G5" s="7" t="s">
        <v>85</v>
      </c>
      <c r="H5" s="6" t="n">
        <v>0.0833</v>
      </c>
      <c r="I5" s="8" t="n">
        <v>6</v>
      </c>
      <c r="J5" s="6"/>
      <c r="K5" s="6" t="s">
        <v>86</v>
      </c>
      <c r="L5" s="6" t="s">
        <v>87</v>
      </c>
      <c r="M5" s="6" t="s">
        <v>88</v>
      </c>
      <c r="N5" s="6" t="s">
        <v>89</v>
      </c>
    </row>
    <row r="6" customFormat="false" ht="15" hidden="false" customHeight="false" outlineLevel="0" collapsed="false">
      <c r="A6" s="6" t="s">
        <v>103</v>
      </c>
      <c r="B6" s="6" t="s">
        <v>80</v>
      </c>
      <c r="C6" s="6" t="s">
        <v>81</v>
      </c>
      <c r="D6" s="7" t="s">
        <v>104</v>
      </c>
      <c r="E6" s="6" t="s">
        <v>105</v>
      </c>
      <c r="F6" s="7" t="s">
        <v>106</v>
      </c>
      <c r="G6" s="7" t="s">
        <v>85</v>
      </c>
      <c r="H6" s="6" t="n">
        <v>0.0667</v>
      </c>
      <c r="I6" s="8" t="n">
        <v>6</v>
      </c>
      <c r="J6" s="6"/>
      <c r="K6" s="6" t="s">
        <v>86</v>
      </c>
      <c r="L6" s="6" t="s">
        <v>87</v>
      </c>
      <c r="M6" s="6" t="s">
        <v>88</v>
      </c>
      <c r="N6" s="6" t="s">
        <v>89</v>
      </c>
    </row>
    <row r="7" customFormat="false" ht="26.85" hidden="false" customHeight="false" outlineLevel="0" collapsed="false">
      <c r="A7" s="6" t="s">
        <v>107</v>
      </c>
      <c r="B7" s="6" t="s">
        <v>80</v>
      </c>
      <c r="C7" s="6" t="s">
        <v>108</v>
      </c>
      <c r="D7" s="7" t="s">
        <v>109</v>
      </c>
      <c r="E7" s="6" t="s">
        <v>83</v>
      </c>
      <c r="F7" s="7" t="s">
        <v>110</v>
      </c>
      <c r="G7" s="6" t="s">
        <v>111</v>
      </c>
      <c r="H7" s="6" t="n">
        <v>0.1312</v>
      </c>
      <c r="I7" s="8" t="n">
        <v>6</v>
      </c>
      <c r="J7" s="6"/>
      <c r="K7" s="6" t="s">
        <v>86</v>
      </c>
      <c r="L7" s="6" t="s">
        <v>112</v>
      </c>
      <c r="M7" s="6" t="s">
        <v>94</v>
      </c>
      <c r="N7" s="6" t="s">
        <v>89</v>
      </c>
    </row>
    <row r="8" customFormat="false" ht="26.85" hidden="false" customHeight="false" outlineLevel="0" collapsed="false">
      <c r="A8" s="6" t="s">
        <v>113</v>
      </c>
      <c r="B8" s="6" t="s">
        <v>80</v>
      </c>
      <c r="C8" s="6" t="s">
        <v>108</v>
      </c>
      <c r="D8" s="7" t="s">
        <v>114</v>
      </c>
      <c r="E8" s="6" t="s">
        <v>115</v>
      </c>
      <c r="F8" s="7" t="s">
        <v>116</v>
      </c>
      <c r="G8" s="6" t="s">
        <v>111</v>
      </c>
      <c r="H8" s="6" t="n">
        <v>0.0875</v>
      </c>
      <c r="I8" s="8" t="n">
        <v>8</v>
      </c>
      <c r="J8" s="6"/>
      <c r="K8" s="6" t="s">
        <v>86</v>
      </c>
      <c r="L8" s="6" t="s">
        <v>112</v>
      </c>
      <c r="M8" s="6" t="s">
        <v>94</v>
      </c>
      <c r="N8" s="6" t="s">
        <v>89</v>
      </c>
    </row>
    <row r="9" customFormat="false" ht="26.85" hidden="false" customHeight="false" outlineLevel="0" collapsed="false">
      <c r="A9" s="6" t="s">
        <v>117</v>
      </c>
      <c r="B9" s="6" t="s">
        <v>80</v>
      </c>
      <c r="C9" s="6" t="s">
        <v>108</v>
      </c>
      <c r="D9" s="7" t="s">
        <v>118</v>
      </c>
      <c r="E9" s="6" t="s">
        <v>83</v>
      </c>
      <c r="F9" s="7" t="s">
        <v>119</v>
      </c>
      <c r="G9" s="6" t="s">
        <v>120</v>
      </c>
      <c r="H9" s="6" t="n">
        <v>0.07</v>
      </c>
      <c r="I9" s="8" t="n">
        <v>6</v>
      </c>
      <c r="J9" s="6"/>
      <c r="K9" s="6" t="s">
        <v>86</v>
      </c>
      <c r="L9" s="6" t="s">
        <v>112</v>
      </c>
      <c r="M9" s="6" t="s">
        <v>94</v>
      </c>
      <c r="N9" s="6" t="s">
        <v>89</v>
      </c>
    </row>
    <row r="10" customFormat="false" ht="26.85" hidden="false" customHeight="false" outlineLevel="0" collapsed="false">
      <c r="A10" s="6" t="s">
        <v>121</v>
      </c>
      <c r="B10" s="6" t="s">
        <v>80</v>
      </c>
      <c r="C10" s="6" t="s">
        <v>108</v>
      </c>
      <c r="D10" s="7" t="s">
        <v>122</v>
      </c>
      <c r="E10" s="6" t="s">
        <v>83</v>
      </c>
      <c r="F10" s="7" t="s">
        <v>123</v>
      </c>
      <c r="G10" s="6" t="s">
        <v>120</v>
      </c>
      <c r="H10" s="6" t="n">
        <v>0.0612</v>
      </c>
      <c r="I10" s="8" t="n">
        <v>6</v>
      </c>
      <c r="J10" s="6"/>
      <c r="K10" s="6" t="s">
        <v>86</v>
      </c>
      <c r="L10" s="6" t="s">
        <v>112</v>
      </c>
      <c r="M10" s="6" t="s">
        <v>94</v>
      </c>
      <c r="N10" s="6" t="s">
        <v>89</v>
      </c>
    </row>
    <row r="11" customFormat="false" ht="15" hidden="false" customHeight="false" outlineLevel="0" collapsed="false">
      <c r="A11" s="6" t="s">
        <v>124</v>
      </c>
      <c r="B11" s="6" t="s">
        <v>80</v>
      </c>
      <c r="C11" s="6" t="s">
        <v>125</v>
      </c>
      <c r="D11" s="7" t="s">
        <v>126</v>
      </c>
      <c r="E11" s="6" t="s">
        <v>127</v>
      </c>
      <c r="F11" s="7" t="s">
        <v>128</v>
      </c>
      <c r="G11" s="7" t="s">
        <v>129</v>
      </c>
      <c r="H11" s="6" t="n">
        <v>0.06</v>
      </c>
      <c r="I11" s="8" t="n">
        <v>6</v>
      </c>
      <c r="J11" s="6"/>
      <c r="K11" s="6" t="s">
        <v>86</v>
      </c>
      <c r="L11" s="6" t="s">
        <v>130</v>
      </c>
      <c r="M11" s="6" t="s">
        <v>131</v>
      </c>
      <c r="N11" s="6" t="s">
        <v>89</v>
      </c>
    </row>
    <row r="12" customFormat="false" ht="15" hidden="false" customHeight="false" outlineLevel="0" collapsed="false">
      <c r="A12" s="6" t="s">
        <v>132</v>
      </c>
      <c r="B12" s="6" t="s">
        <v>80</v>
      </c>
      <c r="C12" s="6" t="s">
        <v>125</v>
      </c>
      <c r="D12" s="7" t="s">
        <v>133</v>
      </c>
      <c r="E12" s="6" t="s">
        <v>105</v>
      </c>
      <c r="F12" s="7" t="s">
        <v>134</v>
      </c>
      <c r="G12" s="7" t="s">
        <v>85</v>
      </c>
      <c r="H12" s="6" t="n">
        <v>0.048</v>
      </c>
      <c r="I12" s="8" t="n">
        <v>8</v>
      </c>
      <c r="J12" s="6"/>
      <c r="K12" s="6" t="s">
        <v>86</v>
      </c>
      <c r="L12" s="6" t="s">
        <v>130</v>
      </c>
      <c r="M12" s="6" t="s">
        <v>88</v>
      </c>
      <c r="N12" s="6" t="s">
        <v>89</v>
      </c>
    </row>
    <row r="13" customFormat="false" ht="15" hidden="false" customHeight="false" outlineLevel="0" collapsed="false">
      <c r="A13" s="6" t="s">
        <v>135</v>
      </c>
      <c r="B13" s="6" t="s">
        <v>80</v>
      </c>
      <c r="C13" s="6" t="s">
        <v>125</v>
      </c>
      <c r="D13" s="7" t="s">
        <v>136</v>
      </c>
      <c r="E13" s="6" t="s">
        <v>105</v>
      </c>
      <c r="F13" s="7" t="s">
        <v>84</v>
      </c>
      <c r="G13" s="7" t="s">
        <v>129</v>
      </c>
      <c r="H13" s="6" t="n">
        <v>0.042</v>
      </c>
      <c r="I13" s="8" t="n">
        <v>6</v>
      </c>
      <c r="J13" s="6"/>
      <c r="K13" s="6" t="s">
        <v>86</v>
      </c>
      <c r="L13" s="6" t="s">
        <v>130</v>
      </c>
      <c r="M13" s="6" t="s">
        <v>88</v>
      </c>
      <c r="N13" s="6" t="s">
        <v>89</v>
      </c>
    </row>
    <row r="14" customFormat="false" ht="26.85" hidden="false" customHeight="false" outlineLevel="0" collapsed="false">
      <c r="A14" s="6" t="s">
        <v>137</v>
      </c>
      <c r="B14" s="6" t="s">
        <v>138</v>
      </c>
      <c r="C14" s="6" t="s">
        <v>81</v>
      </c>
      <c r="D14" s="7" t="s">
        <v>139</v>
      </c>
      <c r="E14" s="7" t="s">
        <v>140</v>
      </c>
      <c r="F14" s="7" t="s">
        <v>141</v>
      </c>
      <c r="G14" s="6" t="s">
        <v>142</v>
      </c>
      <c r="H14" s="6" t="n">
        <v>0.15</v>
      </c>
      <c r="I14" s="8" t="n">
        <v>8</v>
      </c>
      <c r="J14" s="6"/>
      <c r="K14" s="6" t="s">
        <v>86</v>
      </c>
      <c r="L14" s="6" t="s">
        <v>87</v>
      </c>
      <c r="M14" s="6" t="s">
        <v>94</v>
      </c>
      <c r="N14" s="6" t="s">
        <v>89</v>
      </c>
    </row>
    <row r="15" customFormat="false" ht="26.85" hidden="false" customHeight="false" outlineLevel="0" collapsed="false">
      <c r="A15" s="6" t="s">
        <v>143</v>
      </c>
      <c r="B15" s="6" t="s">
        <v>138</v>
      </c>
      <c r="C15" s="6" t="s">
        <v>81</v>
      </c>
      <c r="D15" s="7" t="s">
        <v>144</v>
      </c>
      <c r="E15" s="6" t="s">
        <v>145</v>
      </c>
      <c r="F15" s="7" t="s">
        <v>146</v>
      </c>
      <c r="G15" s="6" t="s">
        <v>147</v>
      </c>
      <c r="H15" s="6" t="n">
        <v>0.12</v>
      </c>
      <c r="I15" s="8" t="n">
        <v>10</v>
      </c>
      <c r="J15" s="6"/>
      <c r="K15" s="6" t="s">
        <v>86</v>
      </c>
      <c r="L15" s="6" t="s">
        <v>87</v>
      </c>
      <c r="M15" s="6" t="s">
        <v>94</v>
      </c>
      <c r="N15" s="6" t="s">
        <v>89</v>
      </c>
    </row>
    <row r="16" customFormat="false" ht="15" hidden="false" customHeight="false" outlineLevel="0" collapsed="false">
      <c r="A16" s="6" t="s">
        <v>148</v>
      </c>
      <c r="B16" s="6" t="s">
        <v>138</v>
      </c>
      <c r="C16" s="6" t="s">
        <v>81</v>
      </c>
      <c r="D16" s="7" t="s">
        <v>149</v>
      </c>
      <c r="E16" s="6" t="s">
        <v>150</v>
      </c>
      <c r="F16" s="7" t="s">
        <v>151</v>
      </c>
      <c r="G16" s="7" t="s">
        <v>129</v>
      </c>
      <c r="H16" s="6" t="n">
        <v>0.13</v>
      </c>
      <c r="I16" s="8" t="n">
        <v>6</v>
      </c>
      <c r="J16" s="6"/>
      <c r="K16" s="6" t="s">
        <v>86</v>
      </c>
      <c r="L16" s="6" t="s">
        <v>87</v>
      </c>
      <c r="M16" s="6" t="s">
        <v>131</v>
      </c>
      <c r="N16" s="6" t="s">
        <v>89</v>
      </c>
    </row>
    <row r="17" customFormat="false" ht="15" hidden="false" customHeight="false" outlineLevel="0" collapsed="false">
      <c r="A17" s="6" t="s">
        <v>152</v>
      </c>
      <c r="B17" s="6" t="s">
        <v>138</v>
      </c>
      <c r="C17" s="6" t="s">
        <v>81</v>
      </c>
      <c r="D17" s="7" t="s">
        <v>153</v>
      </c>
      <c r="E17" s="6" t="s">
        <v>154</v>
      </c>
      <c r="F17" s="7" t="s">
        <v>155</v>
      </c>
      <c r="G17" s="7" t="s">
        <v>129</v>
      </c>
      <c r="H17" s="6" t="n">
        <v>0.1</v>
      </c>
      <c r="I17" s="8" t="n">
        <v>8</v>
      </c>
      <c r="J17" s="6"/>
      <c r="K17" s="6" t="s">
        <v>86</v>
      </c>
      <c r="L17" s="6" t="s">
        <v>87</v>
      </c>
      <c r="M17" s="6" t="s">
        <v>88</v>
      </c>
      <c r="N17" s="6" t="s">
        <v>89</v>
      </c>
    </row>
    <row r="18" customFormat="false" ht="26.85" hidden="false" customHeight="false" outlineLevel="0" collapsed="false">
      <c r="A18" s="6" t="s">
        <v>156</v>
      </c>
      <c r="B18" s="6" t="s">
        <v>138</v>
      </c>
      <c r="C18" s="6" t="s">
        <v>108</v>
      </c>
      <c r="D18" s="7" t="s">
        <v>157</v>
      </c>
      <c r="E18" s="6" t="s">
        <v>150</v>
      </c>
      <c r="F18" s="7" t="s">
        <v>158</v>
      </c>
      <c r="G18" s="6" t="s">
        <v>120</v>
      </c>
      <c r="H18" s="6" t="n">
        <v>0.1167</v>
      </c>
      <c r="I18" s="8" t="n">
        <v>6</v>
      </c>
      <c r="J18" s="6"/>
      <c r="K18" s="6" t="s">
        <v>86</v>
      </c>
      <c r="L18" s="6" t="s">
        <v>112</v>
      </c>
      <c r="M18" s="6" t="s">
        <v>94</v>
      </c>
      <c r="N18" s="6" t="s">
        <v>89</v>
      </c>
    </row>
    <row r="19" customFormat="false" ht="26.85" hidden="false" customHeight="false" outlineLevel="0" collapsed="false">
      <c r="A19" s="6" t="s">
        <v>159</v>
      </c>
      <c r="B19" s="6" t="s">
        <v>138</v>
      </c>
      <c r="C19" s="6" t="s">
        <v>108</v>
      </c>
      <c r="D19" s="7" t="s">
        <v>160</v>
      </c>
      <c r="E19" s="6" t="s">
        <v>161</v>
      </c>
      <c r="F19" s="7" t="s">
        <v>162</v>
      </c>
      <c r="G19" s="7" t="s">
        <v>163</v>
      </c>
      <c r="H19" s="6" t="n">
        <v>0.0933</v>
      </c>
      <c r="I19" s="8" t="n">
        <v>6</v>
      </c>
      <c r="J19" s="6"/>
      <c r="K19" s="6" t="s">
        <v>86</v>
      </c>
      <c r="L19" s="6" t="s">
        <v>112</v>
      </c>
      <c r="M19" s="6" t="s">
        <v>94</v>
      </c>
      <c r="N19" s="6" t="s">
        <v>89</v>
      </c>
    </row>
    <row r="20" customFormat="false" ht="15" hidden="false" customHeight="false" outlineLevel="0" collapsed="false">
      <c r="A20" s="6" t="s">
        <v>164</v>
      </c>
      <c r="B20" s="6" t="s">
        <v>138</v>
      </c>
      <c r="C20" s="6" t="s">
        <v>108</v>
      </c>
      <c r="D20" s="7" t="s">
        <v>165</v>
      </c>
      <c r="E20" s="6" t="s">
        <v>150</v>
      </c>
      <c r="F20" s="7" t="s">
        <v>166</v>
      </c>
      <c r="G20" s="6" t="s">
        <v>167</v>
      </c>
      <c r="H20" s="6" t="n">
        <v>0.0778</v>
      </c>
      <c r="I20" s="8" t="n">
        <v>8</v>
      </c>
      <c r="J20" s="6"/>
      <c r="K20" s="6" t="s">
        <v>86</v>
      </c>
      <c r="L20" s="6" t="s">
        <v>112</v>
      </c>
      <c r="M20" s="6" t="s">
        <v>168</v>
      </c>
      <c r="N20" s="6" t="s">
        <v>89</v>
      </c>
    </row>
    <row r="21" customFormat="false" ht="15" hidden="false" customHeight="false" outlineLevel="0" collapsed="false">
      <c r="A21" s="6" t="s">
        <v>169</v>
      </c>
      <c r="B21" s="6" t="s">
        <v>138</v>
      </c>
      <c r="C21" s="6" t="s">
        <v>108</v>
      </c>
      <c r="D21" s="7" t="s">
        <v>170</v>
      </c>
      <c r="E21" s="6" t="s">
        <v>101</v>
      </c>
      <c r="F21" s="7" t="s">
        <v>171</v>
      </c>
      <c r="G21" s="7" t="s">
        <v>85</v>
      </c>
      <c r="H21" s="6" t="n">
        <v>0.0622</v>
      </c>
      <c r="I21" s="8" t="n">
        <v>8</v>
      </c>
      <c r="J21" s="6"/>
      <c r="K21" s="6" t="s">
        <v>86</v>
      </c>
      <c r="L21" s="6" t="s">
        <v>112</v>
      </c>
      <c r="M21" s="6" t="s">
        <v>88</v>
      </c>
      <c r="N21" s="6" t="s">
        <v>89</v>
      </c>
    </row>
    <row r="22" customFormat="false" ht="15" hidden="false" customHeight="false" outlineLevel="0" collapsed="false">
      <c r="A22" s="6" t="s">
        <v>172</v>
      </c>
      <c r="B22" s="6" t="s">
        <v>138</v>
      </c>
      <c r="C22" s="6" t="s">
        <v>125</v>
      </c>
      <c r="D22" s="7" t="s">
        <v>173</v>
      </c>
      <c r="E22" s="6" t="s">
        <v>127</v>
      </c>
      <c r="F22" s="7" t="s">
        <v>174</v>
      </c>
      <c r="G22" s="7" t="s">
        <v>129</v>
      </c>
      <c r="H22" s="6" t="n">
        <v>0.06</v>
      </c>
      <c r="I22" s="8" t="n">
        <v>6</v>
      </c>
      <c r="J22" s="6"/>
      <c r="K22" s="6" t="s">
        <v>86</v>
      </c>
      <c r="L22" s="6" t="s">
        <v>130</v>
      </c>
      <c r="M22" s="6" t="s">
        <v>131</v>
      </c>
      <c r="N22" s="6" t="s">
        <v>89</v>
      </c>
    </row>
    <row r="23" customFormat="false" ht="15" hidden="false" customHeight="false" outlineLevel="0" collapsed="false">
      <c r="A23" s="6" t="s">
        <v>175</v>
      </c>
      <c r="B23" s="6" t="s">
        <v>138</v>
      </c>
      <c r="C23" s="6" t="s">
        <v>125</v>
      </c>
      <c r="D23" s="7" t="s">
        <v>176</v>
      </c>
      <c r="E23" s="6" t="s">
        <v>105</v>
      </c>
      <c r="F23" s="7" t="s">
        <v>177</v>
      </c>
      <c r="G23" s="7" t="s">
        <v>85</v>
      </c>
      <c r="H23" s="6" t="n">
        <v>0.048</v>
      </c>
      <c r="I23" s="8" t="n">
        <v>8</v>
      </c>
      <c r="J23" s="6"/>
      <c r="K23" s="6" t="s">
        <v>86</v>
      </c>
      <c r="L23" s="6" t="s">
        <v>130</v>
      </c>
      <c r="M23" s="6" t="s">
        <v>88</v>
      </c>
      <c r="N23" s="6" t="s">
        <v>89</v>
      </c>
    </row>
    <row r="24" customFormat="false" ht="15" hidden="false" customHeight="false" outlineLevel="0" collapsed="false">
      <c r="A24" s="6" t="s">
        <v>178</v>
      </c>
      <c r="B24" s="6" t="s">
        <v>138</v>
      </c>
      <c r="C24" s="6" t="s">
        <v>125</v>
      </c>
      <c r="D24" s="7" t="s">
        <v>179</v>
      </c>
      <c r="E24" s="6" t="s">
        <v>105</v>
      </c>
      <c r="F24" s="7" t="s">
        <v>180</v>
      </c>
      <c r="G24" s="7" t="s">
        <v>129</v>
      </c>
      <c r="H24" s="6" t="n">
        <v>0.042</v>
      </c>
      <c r="I24" s="8" t="n">
        <v>6</v>
      </c>
      <c r="J24" s="6"/>
      <c r="K24" s="6" t="s">
        <v>86</v>
      </c>
      <c r="L24" s="6" t="s">
        <v>130</v>
      </c>
      <c r="M24" s="6" t="s">
        <v>88</v>
      </c>
      <c r="N24" s="6" t="s">
        <v>89</v>
      </c>
    </row>
    <row r="25" customFormat="false" ht="26.85" hidden="false" customHeight="false" outlineLevel="0" collapsed="false">
      <c r="A25" s="6" t="s">
        <v>181</v>
      </c>
      <c r="B25" s="6" t="s">
        <v>182</v>
      </c>
      <c r="C25" s="6" t="s">
        <v>81</v>
      </c>
      <c r="D25" s="7" t="s">
        <v>183</v>
      </c>
      <c r="E25" s="6" t="s">
        <v>184</v>
      </c>
      <c r="F25" s="7" t="s">
        <v>185</v>
      </c>
      <c r="G25" s="6" t="s">
        <v>186</v>
      </c>
      <c r="H25" s="6" t="n">
        <v>0.15</v>
      </c>
      <c r="I25" s="8" t="n">
        <v>8</v>
      </c>
      <c r="J25" s="6"/>
      <c r="K25" s="6" t="s">
        <v>86</v>
      </c>
      <c r="L25" s="6" t="s">
        <v>87</v>
      </c>
      <c r="M25" s="6" t="s">
        <v>94</v>
      </c>
      <c r="N25" s="6" t="s">
        <v>89</v>
      </c>
    </row>
    <row r="26" customFormat="false" ht="26.85" hidden="false" customHeight="false" outlineLevel="0" collapsed="false">
      <c r="A26" s="6" t="s">
        <v>187</v>
      </c>
      <c r="B26" s="6" t="s">
        <v>182</v>
      </c>
      <c r="C26" s="6" t="s">
        <v>81</v>
      </c>
      <c r="D26" s="7" t="s">
        <v>188</v>
      </c>
      <c r="E26" s="7" t="s">
        <v>189</v>
      </c>
      <c r="F26" s="7" t="s">
        <v>190</v>
      </c>
      <c r="G26" s="6" t="s">
        <v>147</v>
      </c>
      <c r="H26" s="6" t="n">
        <v>0.12</v>
      </c>
      <c r="I26" s="8" t="n">
        <v>8</v>
      </c>
      <c r="J26" s="6"/>
      <c r="K26" s="6" t="s">
        <v>86</v>
      </c>
      <c r="L26" s="6" t="s">
        <v>87</v>
      </c>
      <c r="M26" s="6" t="s">
        <v>94</v>
      </c>
      <c r="N26" s="6" t="s">
        <v>89</v>
      </c>
    </row>
    <row r="27" customFormat="false" ht="15" hidden="false" customHeight="false" outlineLevel="0" collapsed="false">
      <c r="A27" s="6" t="s">
        <v>191</v>
      </c>
      <c r="B27" s="6" t="s">
        <v>182</v>
      </c>
      <c r="C27" s="6" t="s">
        <v>81</v>
      </c>
      <c r="D27" s="7" t="s">
        <v>192</v>
      </c>
      <c r="E27" s="7" t="s">
        <v>193</v>
      </c>
      <c r="F27" s="7" t="s">
        <v>194</v>
      </c>
      <c r="G27" s="7" t="s">
        <v>129</v>
      </c>
      <c r="H27" s="6" t="n">
        <v>0.13</v>
      </c>
      <c r="I27" s="8" t="n">
        <v>8</v>
      </c>
      <c r="J27" s="6"/>
      <c r="K27" s="6" t="s">
        <v>86</v>
      </c>
      <c r="L27" s="6" t="s">
        <v>87</v>
      </c>
      <c r="M27" s="6" t="s">
        <v>88</v>
      </c>
      <c r="N27" s="6" t="s">
        <v>89</v>
      </c>
    </row>
    <row r="28" customFormat="false" ht="15" hidden="false" customHeight="false" outlineLevel="0" collapsed="false">
      <c r="A28" s="6" t="s">
        <v>195</v>
      </c>
      <c r="B28" s="6" t="s">
        <v>182</v>
      </c>
      <c r="C28" s="6" t="s">
        <v>81</v>
      </c>
      <c r="D28" s="7" t="s">
        <v>196</v>
      </c>
      <c r="E28" s="7" t="s">
        <v>193</v>
      </c>
      <c r="F28" s="7" t="s">
        <v>197</v>
      </c>
      <c r="G28" s="7" t="s">
        <v>198</v>
      </c>
      <c r="H28" s="6" t="n">
        <v>0.1</v>
      </c>
      <c r="I28" s="8" t="n">
        <v>8</v>
      </c>
      <c r="J28" s="6"/>
      <c r="K28" s="6" t="s">
        <v>86</v>
      </c>
      <c r="L28" s="6" t="s">
        <v>87</v>
      </c>
      <c r="M28" s="6" t="s">
        <v>168</v>
      </c>
      <c r="N28" s="6" t="s">
        <v>89</v>
      </c>
    </row>
    <row r="29" customFormat="false" ht="26.85" hidden="false" customHeight="false" outlineLevel="0" collapsed="false">
      <c r="A29" s="6" t="s">
        <v>199</v>
      </c>
      <c r="B29" s="6" t="s">
        <v>182</v>
      </c>
      <c r="C29" s="6" t="s">
        <v>108</v>
      </c>
      <c r="D29" s="7" t="s">
        <v>200</v>
      </c>
      <c r="E29" s="6" t="s">
        <v>201</v>
      </c>
      <c r="F29" s="7" t="s">
        <v>202</v>
      </c>
      <c r="G29" s="6" t="s">
        <v>147</v>
      </c>
      <c r="H29" s="6" t="n">
        <v>0.1167</v>
      </c>
      <c r="I29" s="8" t="n">
        <v>6</v>
      </c>
      <c r="J29" s="6"/>
      <c r="K29" s="6" t="s">
        <v>86</v>
      </c>
      <c r="L29" s="6" t="s">
        <v>112</v>
      </c>
      <c r="M29" s="6" t="s">
        <v>94</v>
      </c>
      <c r="N29" s="6" t="s">
        <v>89</v>
      </c>
    </row>
    <row r="30" customFormat="false" ht="26.85" hidden="false" customHeight="false" outlineLevel="0" collapsed="false">
      <c r="A30" s="6" t="s">
        <v>203</v>
      </c>
      <c r="B30" s="6" t="s">
        <v>182</v>
      </c>
      <c r="C30" s="6" t="s">
        <v>108</v>
      </c>
      <c r="D30" s="7" t="s">
        <v>204</v>
      </c>
      <c r="E30" s="6" t="s">
        <v>201</v>
      </c>
      <c r="F30" s="7" t="s">
        <v>205</v>
      </c>
      <c r="G30" s="6" t="s">
        <v>147</v>
      </c>
      <c r="H30" s="6" t="n">
        <v>0.0778</v>
      </c>
      <c r="I30" s="8" t="n">
        <v>6</v>
      </c>
      <c r="J30" s="6"/>
      <c r="K30" s="6" t="s">
        <v>86</v>
      </c>
      <c r="L30" s="6" t="s">
        <v>112</v>
      </c>
      <c r="M30" s="6" t="s">
        <v>94</v>
      </c>
      <c r="N30" s="6" t="s">
        <v>89</v>
      </c>
    </row>
    <row r="31" customFormat="false" ht="15" hidden="false" customHeight="false" outlineLevel="0" collapsed="false">
      <c r="A31" s="6" t="s">
        <v>206</v>
      </c>
      <c r="B31" s="6" t="s">
        <v>182</v>
      </c>
      <c r="C31" s="6" t="s">
        <v>108</v>
      </c>
      <c r="D31" s="7" t="s">
        <v>207</v>
      </c>
      <c r="E31" s="7" t="s">
        <v>193</v>
      </c>
      <c r="F31" s="7" t="s">
        <v>208</v>
      </c>
      <c r="G31" s="7" t="s">
        <v>129</v>
      </c>
      <c r="H31" s="6" t="n">
        <v>0.0933</v>
      </c>
      <c r="I31" s="8" t="n">
        <v>6</v>
      </c>
      <c r="J31" s="6"/>
      <c r="K31" s="6" t="s">
        <v>86</v>
      </c>
      <c r="L31" s="6" t="s">
        <v>112</v>
      </c>
      <c r="M31" s="6" t="s">
        <v>88</v>
      </c>
      <c r="N31" s="6" t="s">
        <v>89</v>
      </c>
    </row>
    <row r="32" customFormat="false" ht="15" hidden="false" customHeight="false" outlineLevel="0" collapsed="false">
      <c r="A32" s="6" t="s">
        <v>209</v>
      </c>
      <c r="B32" s="6" t="s">
        <v>182</v>
      </c>
      <c r="C32" s="6" t="s">
        <v>108</v>
      </c>
      <c r="D32" s="7" t="s">
        <v>210</v>
      </c>
      <c r="E32" s="6" t="s">
        <v>105</v>
      </c>
      <c r="F32" s="7" t="s">
        <v>211</v>
      </c>
      <c r="G32" s="6" t="s">
        <v>212</v>
      </c>
      <c r="H32" s="6" t="n">
        <v>0.0622</v>
      </c>
      <c r="I32" s="8" t="n">
        <v>6</v>
      </c>
      <c r="J32" s="6"/>
      <c r="K32" s="6" t="s">
        <v>86</v>
      </c>
      <c r="L32" s="6" t="s">
        <v>112</v>
      </c>
      <c r="M32" s="6" t="s">
        <v>213</v>
      </c>
      <c r="N32" s="6" t="s">
        <v>89</v>
      </c>
    </row>
    <row r="33" customFormat="false" ht="15" hidden="false" customHeight="false" outlineLevel="0" collapsed="false">
      <c r="A33" s="6" t="s">
        <v>214</v>
      </c>
      <c r="B33" s="6" t="s">
        <v>182</v>
      </c>
      <c r="C33" s="6" t="s">
        <v>125</v>
      </c>
      <c r="D33" s="7" t="s">
        <v>215</v>
      </c>
      <c r="E33" s="6" t="s">
        <v>127</v>
      </c>
      <c r="F33" s="7" t="s">
        <v>216</v>
      </c>
      <c r="G33" s="6" t="s">
        <v>217</v>
      </c>
      <c r="H33" s="6" t="n">
        <v>0.06</v>
      </c>
      <c r="I33" s="8" t="n">
        <v>6</v>
      </c>
      <c r="J33" s="6"/>
      <c r="K33" s="6" t="s">
        <v>86</v>
      </c>
      <c r="L33" s="6" t="s">
        <v>130</v>
      </c>
      <c r="M33" s="6" t="s">
        <v>131</v>
      </c>
      <c r="N33" s="6" t="s">
        <v>89</v>
      </c>
    </row>
    <row r="34" customFormat="false" ht="15" hidden="false" customHeight="false" outlineLevel="0" collapsed="false">
      <c r="A34" s="6" t="s">
        <v>218</v>
      </c>
      <c r="B34" s="6" t="s">
        <v>182</v>
      </c>
      <c r="C34" s="6" t="s">
        <v>125</v>
      </c>
      <c r="D34" s="7" t="s">
        <v>219</v>
      </c>
      <c r="E34" s="6" t="s">
        <v>105</v>
      </c>
      <c r="F34" s="7" t="s">
        <v>220</v>
      </c>
      <c r="G34" s="7" t="s">
        <v>129</v>
      </c>
      <c r="H34" s="6" t="n">
        <v>0.048</v>
      </c>
      <c r="I34" s="8" t="n">
        <v>6</v>
      </c>
      <c r="J34" s="6"/>
      <c r="K34" s="6" t="s">
        <v>86</v>
      </c>
      <c r="L34" s="6" t="s">
        <v>130</v>
      </c>
      <c r="M34" s="6" t="s">
        <v>131</v>
      </c>
      <c r="N34" s="6" t="s">
        <v>89</v>
      </c>
    </row>
    <row r="35" customFormat="false" ht="15" hidden="false" customHeight="false" outlineLevel="0" collapsed="false">
      <c r="A35" s="6" t="s">
        <v>221</v>
      </c>
      <c r="B35" s="6" t="s">
        <v>182</v>
      </c>
      <c r="C35" s="6" t="s">
        <v>125</v>
      </c>
      <c r="D35" s="7" t="s">
        <v>222</v>
      </c>
      <c r="E35" s="6" t="s">
        <v>105</v>
      </c>
      <c r="F35" s="7" t="s">
        <v>223</v>
      </c>
      <c r="G35" s="7" t="s">
        <v>129</v>
      </c>
      <c r="H35" s="6" t="n">
        <v>0.042</v>
      </c>
      <c r="I35" s="8" t="n">
        <v>6</v>
      </c>
      <c r="J35" s="6"/>
      <c r="K35" s="6" t="s">
        <v>86</v>
      </c>
      <c r="L35" s="6" t="s">
        <v>130</v>
      </c>
      <c r="M35" s="6" t="s">
        <v>88</v>
      </c>
      <c r="N35" s="6" t="s">
        <v>89</v>
      </c>
    </row>
    <row r="36" customFormat="false" ht="15" hidden="false" customHeight="false" outlineLevel="0" collapsed="false">
      <c r="A36" s="6" t="s">
        <v>224</v>
      </c>
      <c r="B36" s="6" t="s">
        <v>225</v>
      </c>
      <c r="C36" s="6" t="s">
        <v>81</v>
      </c>
      <c r="D36" s="7" t="s">
        <v>226</v>
      </c>
      <c r="E36" s="7" t="s">
        <v>227</v>
      </c>
      <c r="F36" s="7" t="s">
        <v>228</v>
      </c>
      <c r="G36" s="7" t="s">
        <v>85</v>
      </c>
      <c r="H36" s="6" t="n">
        <v>0.15</v>
      </c>
      <c r="I36" s="8" t="n">
        <v>8</v>
      </c>
      <c r="J36" s="6"/>
      <c r="K36" s="6" t="s">
        <v>86</v>
      </c>
      <c r="L36" s="6" t="s">
        <v>87</v>
      </c>
      <c r="M36" s="6" t="s">
        <v>168</v>
      </c>
      <c r="N36" s="6" t="s">
        <v>89</v>
      </c>
    </row>
    <row r="37" customFormat="false" ht="26.85" hidden="false" customHeight="false" outlineLevel="0" collapsed="false">
      <c r="A37" s="6" t="s">
        <v>229</v>
      </c>
      <c r="B37" s="6" t="s">
        <v>225</v>
      </c>
      <c r="C37" s="6" t="s">
        <v>81</v>
      </c>
      <c r="D37" s="7" t="s">
        <v>230</v>
      </c>
      <c r="E37" s="7" t="s">
        <v>231</v>
      </c>
      <c r="F37" s="7" t="s">
        <v>232</v>
      </c>
      <c r="G37" s="6" t="s">
        <v>186</v>
      </c>
      <c r="H37" s="6" t="n">
        <v>0.12</v>
      </c>
      <c r="I37" s="8" t="n">
        <v>4</v>
      </c>
      <c r="J37" s="6"/>
      <c r="K37" s="6" t="s">
        <v>86</v>
      </c>
      <c r="L37" s="6" t="s">
        <v>87</v>
      </c>
      <c r="M37" s="6" t="s">
        <v>94</v>
      </c>
      <c r="N37" s="6" t="s">
        <v>89</v>
      </c>
    </row>
    <row r="38" customFormat="false" ht="15" hidden="false" customHeight="false" outlineLevel="0" collapsed="false">
      <c r="A38" s="6" t="s">
        <v>233</v>
      </c>
      <c r="B38" s="6" t="s">
        <v>225</v>
      </c>
      <c r="C38" s="6" t="s">
        <v>81</v>
      </c>
      <c r="D38" s="7" t="s">
        <v>234</v>
      </c>
      <c r="E38" s="6" t="s">
        <v>235</v>
      </c>
      <c r="F38" s="7" t="s">
        <v>236</v>
      </c>
      <c r="G38" s="6" t="s">
        <v>120</v>
      </c>
      <c r="H38" s="6" t="n">
        <v>0.1</v>
      </c>
      <c r="I38" s="8" t="n">
        <v>8</v>
      </c>
      <c r="J38" s="6"/>
      <c r="K38" s="6" t="s">
        <v>86</v>
      </c>
      <c r="L38" s="6" t="s">
        <v>87</v>
      </c>
      <c r="M38" s="6" t="s">
        <v>88</v>
      </c>
      <c r="N38" s="6" t="s">
        <v>89</v>
      </c>
    </row>
    <row r="39" customFormat="false" ht="15" hidden="false" customHeight="false" outlineLevel="0" collapsed="false">
      <c r="A39" s="6" t="s">
        <v>237</v>
      </c>
      <c r="B39" s="6" t="s">
        <v>225</v>
      </c>
      <c r="C39" s="6" t="s">
        <v>81</v>
      </c>
      <c r="D39" s="7" t="s">
        <v>238</v>
      </c>
      <c r="E39" s="7" t="s">
        <v>239</v>
      </c>
      <c r="F39" s="7" t="s">
        <v>240</v>
      </c>
      <c r="G39" s="7" t="s">
        <v>85</v>
      </c>
      <c r="H39" s="6" t="n">
        <v>0.08</v>
      </c>
      <c r="I39" s="8" t="n">
        <v>8</v>
      </c>
      <c r="J39" s="6"/>
      <c r="K39" s="6" t="s">
        <v>86</v>
      </c>
      <c r="L39" s="6" t="s">
        <v>87</v>
      </c>
      <c r="M39" s="6" t="s">
        <v>88</v>
      </c>
      <c r="N39" s="6" t="s">
        <v>89</v>
      </c>
    </row>
    <row r="40" customFormat="false" ht="26.85" hidden="false" customHeight="false" outlineLevel="0" collapsed="false">
      <c r="A40" s="6" t="s">
        <v>241</v>
      </c>
      <c r="B40" s="6" t="s">
        <v>225</v>
      </c>
      <c r="C40" s="6" t="s">
        <v>108</v>
      </c>
      <c r="D40" s="7" t="s">
        <v>242</v>
      </c>
      <c r="E40" s="7" t="s">
        <v>227</v>
      </c>
      <c r="F40" s="7" t="s">
        <v>243</v>
      </c>
      <c r="G40" s="6" t="s">
        <v>186</v>
      </c>
      <c r="H40" s="6" t="n">
        <v>0.1395</v>
      </c>
      <c r="I40" s="8" t="n">
        <v>10</v>
      </c>
      <c r="J40" s="6"/>
      <c r="K40" s="6" t="s">
        <v>86</v>
      </c>
      <c r="L40" s="6" t="s">
        <v>112</v>
      </c>
      <c r="M40" s="6" t="s">
        <v>94</v>
      </c>
      <c r="N40" s="6" t="s">
        <v>89</v>
      </c>
    </row>
    <row r="41" customFormat="false" ht="26.85" hidden="false" customHeight="false" outlineLevel="0" collapsed="false">
      <c r="A41" s="6" t="s">
        <v>244</v>
      </c>
      <c r="B41" s="6" t="s">
        <v>225</v>
      </c>
      <c r="C41" s="6" t="s">
        <v>108</v>
      </c>
      <c r="D41" s="7" t="s">
        <v>245</v>
      </c>
      <c r="E41" s="7" t="s">
        <v>231</v>
      </c>
      <c r="F41" s="7" t="s">
        <v>246</v>
      </c>
      <c r="G41" s="6" t="s">
        <v>147</v>
      </c>
      <c r="H41" s="6" t="n">
        <v>0.093</v>
      </c>
      <c r="I41" s="8" t="n">
        <v>10</v>
      </c>
      <c r="J41" s="6"/>
      <c r="K41" s="6" t="s">
        <v>86</v>
      </c>
      <c r="L41" s="6" t="s">
        <v>112</v>
      </c>
      <c r="M41" s="6" t="s">
        <v>94</v>
      </c>
      <c r="N41" s="6" t="s">
        <v>89</v>
      </c>
    </row>
    <row r="42" customFormat="false" ht="15" hidden="false" customHeight="false" outlineLevel="0" collapsed="false">
      <c r="A42" s="6" t="s">
        <v>247</v>
      </c>
      <c r="B42" s="6" t="s">
        <v>225</v>
      </c>
      <c r="C42" s="6" t="s">
        <v>108</v>
      </c>
      <c r="D42" s="7" t="s">
        <v>248</v>
      </c>
      <c r="E42" s="7" t="s">
        <v>231</v>
      </c>
      <c r="F42" s="7" t="s">
        <v>249</v>
      </c>
      <c r="G42" s="7" t="s">
        <v>163</v>
      </c>
      <c r="H42" s="6" t="n">
        <v>0.093</v>
      </c>
      <c r="I42" s="8" t="n">
        <v>6</v>
      </c>
      <c r="J42" s="6"/>
      <c r="K42" s="6" t="s">
        <v>86</v>
      </c>
      <c r="L42" s="6" t="s">
        <v>112</v>
      </c>
      <c r="M42" s="6" t="s">
        <v>88</v>
      </c>
      <c r="N42" s="6" t="s">
        <v>89</v>
      </c>
    </row>
    <row r="43" customFormat="false" ht="15" hidden="false" customHeight="false" outlineLevel="0" collapsed="false">
      <c r="A43" s="6" t="s">
        <v>250</v>
      </c>
      <c r="B43" s="6" t="s">
        <v>225</v>
      </c>
      <c r="C43" s="6" t="s">
        <v>108</v>
      </c>
      <c r="D43" s="7" t="s">
        <v>251</v>
      </c>
      <c r="E43" s="6" t="s">
        <v>252</v>
      </c>
      <c r="F43" s="7" t="s">
        <v>253</v>
      </c>
      <c r="G43" s="7" t="s">
        <v>85</v>
      </c>
      <c r="H43" s="6" t="n">
        <v>0.0744</v>
      </c>
      <c r="I43" s="8" t="n">
        <v>8</v>
      </c>
      <c r="J43" s="6"/>
      <c r="K43" s="6" t="s">
        <v>86</v>
      </c>
      <c r="L43" s="6" t="s">
        <v>112</v>
      </c>
      <c r="M43" s="6" t="s">
        <v>213</v>
      </c>
      <c r="N43" s="6" t="s">
        <v>89</v>
      </c>
    </row>
    <row r="44" customFormat="false" ht="15" hidden="false" customHeight="false" outlineLevel="0" collapsed="false">
      <c r="A44" s="6" t="s">
        <v>254</v>
      </c>
      <c r="B44" s="6" t="s">
        <v>225</v>
      </c>
      <c r="C44" s="6" t="s">
        <v>125</v>
      </c>
      <c r="D44" s="7" t="s">
        <v>255</v>
      </c>
      <c r="E44" s="6" t="s">
        <v>127</v>
      </c>
      <c r="F44" s="7" t="s">
        <v>256</v>
      </c>
      <c r="G44" s="6" t="s">
        <v>217</v>
      </c>
      <c r="H44" s="6" t="n">
        <v>0.06</v>
      </c>
      <c r="I44" s="8" t="n">
        <v>8</v>
      </c>
      <c r="J44" s="6"/>
      <c r="K44" s="6" t="s">
        <v>86</v>
      </c>
      <c r="L44" s="6" t="s">
        <v>130</v>
      </c>
      <c r="M44" s="6" t="s">
        <v>131</v>
      </c>
      <c r="N44" s="6" t="s">
        <v>89</v>
      </c>
    </row>
    <row r="45" customFormat="false" ht="15" hidden="false" customHeight="false" outlineLevel="0" collapsed="false">
      <c r="A45" s="6" t="s">
        <v>257</v>
      </c>
      <c r="B45" s="6" t="s">
        <v>225</v>
      </c>
      <c r="C45" s="6" t="s">
        <v>125</v>
      </c>
      <c r="D45" s="7" t="s">
        <v>258</v>
      </c>
      <c r="E45" s="6" t="s">
        <v>127</v>
      </c>
      <c r="F45" s="7" t="s">
        <v>259</v>
      </c>
      <c r="G45" s="6" t="s">
        <v>167</v>
      </c>
      <c r="H45" s="6" t="n">
        <v>0.048</v>
      </c>
      <c r="I45" s="8" t="n">
        <v>8</v>
      </c>
      <c r="J45" s="6"/>
      <c r="K45" s="6" t="s">
        <v>86</v>
      </c>
      <c r="L45" s="6" t="s">
        <v>130</v>
      </c>
      <c r="M45" s="6" t="s">
        <v>168</v>
      </c>
      <c r="N45" s="6" t="s">
        <v>89</v>
      </c>
    </row>
    <row r="46" customFormat="false" ht="15" hidden="false" customHeight="false" outlineLevel="0" collapsed="false">
      <c r="A46" s="6" t="s">
        <v>260</v>
      </c>
      <c r="B46" s="6" t="s">
        <v>225</v>
      </c>
      <c r="C46" s="6" t="s">
        <v>125</v>
      </c>
      <c r="D46" s="7" t="s">
        <v>261</v>
      </c>
      <c r="E46" s="6" t="s">
        <v>105</v>
      </c>
      <c r="F46" s="7" t="s">
        <v>171</v>
      </c>
      <c r="G46" s="7" t="s">
        <v>129</v>
      </c>
      <c r="H46" s="6" t="n">
        <v>0.042</v>
      </c>
      <c r="I46" s="8" t="n">
        <v>10</v>
      </c>
      <c r="J46" s="6"/>
      <c r="K46" s="6" t="s">
        <v>86</v>
      </c>
      <c r="L46" s="6" t="s">
        <v>130</v>
      </c>
      <c r="M46" s="6" t="s">
        <v>88</v>
      </c>
      <c r="N46" s="6" t="s">
        <v>89</v>
      </c>
    </row>
    <row r="47" customFormat="false" ht="15" hidden="false" customHeight="false" outlineLevel="0" collapsed="false">
      <c r="A47" s="6" t="s">
        <v>262</v>
      </c>
      <c r="B47" s="6" t="s">
        <v>263</v>
      </c>
      <c r="C47" s="6" t="s">
        <v>81</v>
      </c>
      <c r="D47" s="7" t="s">
        <v>264</v>
      </c>
      <c r="E47" s="7" t="s">
        <v>265</v>
      </c>
      <c r="F47" s="7" t="s">
        <v>266</v>
      </c>
      <c r="G47" s="7" t="s">
        <v>85</v>
      </c>
      <c r="H47" s="6" t="n">
        <v>0.1364</v>
      </c>
      <c r="I47" s="8" t="n">
        <v>8</v>
      </c>
      <c r="J47" s="6"/>
      <c r="K47" s="6" t="s">
        <v>86</v>
      </c>
      <c r="L47" s="6" t="s">
        <v>87</v>
      </c>
      <c r="M47" s="6" t="s">
        <v>88</v>
      </c>
      <c r="N47" s="6" t="s">
        <v>89</v>
      </c>
    </row>
    <row r="48" customFormat="false" ht="26.85" hidden="false" customHeight="false" outlineLevel="0" collapsed="false">
      <c r="A48" s="6" t="s">
        <v>267</v>
      </c>
      <c r="B48" s="6" t="s">
        <v>263</v>
      </c>
      <c r="C48" s="6" t="s">
        <v>81</v>
      </c>
      <c r="D48" s="7" t="s">
        <v>268</v>
      </c>
      <c r="E48" s="7" t="s">
        <v>269</v>
      </c>
      <c r="F48" s="7" t="s">
        <v>270</v>
      </c>
      <c r="G48" s="7" t="s">
        <v>198</v>
      </c>
      <c r="H48" s="6" t="n">
        <v>0.1091</v>
      </c>
      <c r="I48" s="8" t="n">
        <v>9</v>
      </c>
      <c r="J48" s="6"/>
      <c r="K48" s="6" t="s">
        <v>86</v>
      </c>
      <c r="L48" s="6" t="s">
        <v>87</v>
      </c>
      <c r="M48" s="6" t="s">
        <v>94</v>
      </c>
      <c r="N48" s="6" t="s">
        <v>89</v>
      </c>
    </row>
    <row r="49" customFormat="false" ht="15" hidden="false" customHeight="false" outlineLevel="0" collapsed="false">
      <c r="A49" s="6" t="s">
        <v>271</v>
      </c>
      <c r="B49" s="6" t="s">
        <v>263</v>
      </c>
      <c r="C49" s="6" t="s">
        <v>81</v>
      </c>
      <c r="D49" s="7" t="s">
        <v>272</v>
      </c>
      <c r="E49" s="7" t="s">
        <v>273</v>
      </c>
      <c r="F49" s="7" t="s">
        <v>274</v>
      </c>
      <c r="G49" s="7" t="s">
        <v>85</v>
      </c>
      <c r="H49" s="6" t="n">
        <v>0.0909</v>
      </c>
      <c r="I49" s="8" t="n">
        <v>7</v>
      </c>
      <c r="J49" s="6"/>
      <c r="K49" s="6" t="s">
        <v>86</v>
      </c>
      <c r="L49" s="6" t="s">
        <v>87</v>
      </c>
      <c r="M49" s="6" t="s">
        <v>213</v>
      </c>
      <c r="N49" s="6" t="s">
        <v>89</v>
      </c>
    </row>
    <row r="50" customFormat="false" ht="15" hidden="false" customHeight="false" outlineLevel="0" collapsed="false">
      <c r="A50" s="6" t="s">
        <v>275</v>
      </c>
      <c r="B50" s="6" t="s">
        <v>263</v>
      </c>
      <c r="C50" s="6" t="s">
        <v>81</v>
      </c>
      <c r="D50" s="7" t="s">
        <v>276</v>
      </c>
      <c r="E50" s="6" t="s">
        <v>277</v>
      </c>
      <c r="F50" s="7" t="s">
        <v>278</v>
      </c>
      <c r="G50" s="7" t="s">
        <v>85</v>
      </c>
      <c r="H50" s="6" t="n">
        <v>0.0909</v>
      </c>
      <c r="I50" s="8" t="n">
        <v>8</v>
      </c>
      <c r="J50" s="6"/>
      <c r="K50" s="6" t="s">
        <v>86</v>
      </c>
      <c r="L50" s="6" t="s">
        <v>87</v>
      </c>
      <c r="M50" s="6" t="s">
        <v>279</v>
      </c>
      <c r="N50" s="6" t="s">
        <v>89</v>
      </c>
    </row>
    <row r="51" customFormat="false" ht="15" hidden="false" customHeight="false" outlineLevel="0" collapsed="false">
      <c r="A51" s="6" t="s">
        <v>280</v>
      </c>
      <c r="B51" s="6" t="s">
        <v>263</v>
      </c>
      <c r="C51" s="6" t="s">
        <v>81</v>
      </c>
      <c r="D51" s="7" t="s">
        <v>281</v>
      </c>
      <c r="E51" s="6" t="s">
        <v>282</v>
      </c>
      <c r="F51" s="7" t="s">
        <v>283</v>
      </c>
      <c r="G51" s="6" t="s">
        <v>167</v>
      </c>
      <c r="H51" s="6" t="n">
        <v>0.0727</v>
      </c>
      <c r="I51" s="8" t="n">
        <v>9</v>
      </c>
      <c r="J51" s="6"/>
      <c r="K51" s="6" t="s">
        <v>86</v>
      </c>
      <c r="L51" s="6" t="s">
        <v>87</v>
      </c>
      <c r="M51" s="6" t="s">
        <v>168</v>
      </c>
      <c r="N51" s="6" t="s">
        <v>89</v>
      </c>
    </row>
    <row r="52" customFormat="false" ht="15" hidden="false" customHeight="false" outlineLevel="0" collapsed="false">
      <c r="A52" s="6" t="s">
        <v>284</v>
      </c>
      <c r="B52" s="6" t="s">
        <v>263</v>
      </c>
      <c r="C52" s="6" t="s">
        <v>108</v>
      </c>
      <c r="D52" s="7" t="s">
        <v>285</v>
      </c>
      <c r="E52" s="6" t="s">
        <v>286</v>
      </c>
      <c r="F52" s="7" t="s">
        <v>287</v>
      </c>
      <c r="G52" s="7" t="s">
        <v>129</v>
      </c>
      <c r="H52" s="6" t="n">
        <v>0.1105</v>
      </c>
      <c r="I52" s="8" t="n">
        <v>8</v>
      </c>
      <c r="J52" s="6"/>
      <c r="K52" s="6" t="s">
        <v>86</v>
      </c>
      <c r="L52" s="6" t="s">
        <v>112</v>
      </c>
      <c r="M52" s="6" t="s">
        <v>131</v>
      </c>
      <c r="N52" s="6" t="s">
        <v>89</v>
      </c>
    </row>
    <row r="53" customFormat="false" ht="15" hidden="false" customHeight="false" outlineLevel="0" collapsed="false">
      <c r="A53" s="6" t="s">
        <v>288</v>
      </c>
      <c r="B53" s="6" t="s">
        <v>263</v>
      </c>
      <c r="C53" s="6" t="s">
        <v>108</v>
      </c>
      <c r="D53" s="7" t="s">
        <v>289</v>
      </c>
      <c r="E53" s="7" t="s">
        <v>290</v>
      </c>
      <c r="F53" s="7" t="s">
        <v>177</v>
      </c>
      <c r="G53" s="7" t="s">
        <v>85</v>
      </c>
      <c r="H53" s="6" t="n">
        <v>0.0921</v>
      </c>
      <c r="I53" s="8" t="n">
        <v>8</v>
      </c>
      <c r="J53" s="6"/>
      <c r="K53" s="6" t="s">
        <v>86</v>
      </c>
      <c r="L53" s="6" t="s">
        <v>112</v>
      </c>
      <c r="M53" s="6" t="s">
        <v>213</v>
      </c>
      <c r="N53" s="6" t="s">
        <v>89</v>
      </c>
    </row>
    <row r="54" customFormat="false" ht="15" hidden="false" customHeight="false" outlineLevel="0" collapsed="false">
      <c r="A54" s="6" t="s">
        <v>291</v>
      </c>
      <c r="B54" s="6" t="s">
        <v>263</v>
      </c>
      <c r="C54" s="6" t="s">
        <v>108</v>
      </c>
      <c r="D54" s="7" t="s">
        <v>292</v>
      </c>
      <c r="E54" s="7" t="s">
        <v>293</v>
      </c>
      <c r="F54" s="7" t="s">
        <v>294</v>
      </c>
      <c r="G54" s="7" t="s">
        <v>85</v>
      </c>
      <c r="H54" s="6" t="n">
        <v>0.0737</v>
      </c>
      <c r="I54" s="8" t="n">
        <v>6</v>
      </c>
      <c r="J54" s="6"/>
      <c r="K54" s="6" t="s">
        <v>86</v>
      </c>
      <c r="L54" s="6" t="s">
        <v>112</v>
      </c>
      <c r="M54" s="6" t="s">
        <v>213</v>
      </c>
      <c r="N54" s="6" t="s">
        <v>89</v>
      </c>
    </row>
    <row r="55" customFormat="false" ht="15" hidden="false" customHeight="false" outlineLevel="0" collapsed="false">
      <c r="A55" s="6" t="s">
        <v>295</v>
      </c>
      <c r="B55" s="6" t="s">
        <v>263</v>
      </c>
      <c r="C55" s="6" t="s">
        <v>108</v>
      </c>
      <c r="D55" s="7" t="s">
        <v>296</v>
      </c>
      <c r="E55" s="6" t="s">
        <v>297</v>
      </c>
      <c r="F55" s="7" t="s">
        <v>298</v>
      </c>
      <c r="G55" s="6" t="s">
        <v>299</v>
      </c>
      <c r="H55" s="6" t="n">
        <v>0.0737</v>
      </c>
      <c r="I55" s="8" t="n">
        <v>6</v>
      </c>
      <c r="J55" s="6"/>
      <c r="K55" s="6" t="s">
        <v>86</v>
      </c>
      <c r="L55" s="6" t="s">
        <v>112</v>
      </c>
      <c r="M55" s="6" t="s">
        <v>213</v>
      </c>
      <c r="N55" s="6" t="s">
        <v>89</v>
      </c>
    </row>
    <row r="56" customFormat="false" ht="26.85" hidden="false" customHeight="false" outlineLevel="0" collapsed="false">
      <c r="A56" s="6" t="s">
        <v>300</v>
      </c>
      <c r="B56" s="6" t="s">
        <v>263</v>
      </c>
      <c r="C56" s="6" t="s">
        <v>125</v>
      </c>
      <c r="D56" s="7" t="s">
        <v>301</v>
      </c>
      <c r="E56" s="6" t="s">
        <v>127</v>
      </c>
      <c r="F56" s="7" t="s">
        <v>302</v>
      </c>
      <c r="G56" s="7" t="s">
        <v>129</v>
      </c>
      <c r="H56" s="6" t="n">
        <v>0.0625</v>
      </c>
      <c r="I56" s="8" t="n">
        <v>8</v>
      </c>
      <c r="J56" s="6"/>
      <c r="K56" s="6" t="s">
        <v>86</v>
      </c>
      <c r="L56" s="6" t="s">
        <v>130</v>
      </c>
      <c r="M56" s="6" t="s">
        <v>94</v>
      </c>
      <c r="N56" s="6" t="s">
        <v>89</v>
      </c>
    </row>
    <row r="57" customFormat="false" ht="15" hidden="false" customHeight="false" outlineLevel="0" collapsed="false">
      <c r="A57" s="6" t="s">
        <v>303</v>
      </c>
      <c r="B57" s="6" t="s">
        <v>263</v>
      </c>
      <c r="C57" s="6" t="s">
        <v>125</v>
      </c>
      <c r="D57" s="7" t="s">
        <v>304</v>
      </c>
      <c r="E57" s="6" t="s">
        <v>105</v>
      </c>
      <c r="F57" s="7" t="s">
        <v>305</v>
      </c>
      <c r="G57" s="7" t="s">
        <v>85</v>
      </c>
      <c r="H57" s="6" t="n">
        <v>0.0437</v>
      </c>
      <c r="I57" s="8" t="n">
        <v>8</v>
      </c>
      <c r="J57" s="6"/>
      <c r="K57" s="6" t="s">
        <v>86</v>
      </c>
      <c r="L57" s="6" t="s">
        <v>130</v>
      </c>
      <c r="M57" s="6" t="s">
        <v>88</v>
      </c>
      <c r="N57" s="6" t="s">
        <v>89</v>
      </c>
    </row>
    <row r="58" customFormat="false" ht="15" hidden="false" customHeight="false" outlineLevel="0" collapsed="false">
      <c r="A58" s="6" t="s">
        <v>306</v>
      </c>
      <c r="B58" s="6" t="s">
        <v>263</v>
      </c>
      <c r="C58" s="6" t="s">
        <v>125</v>
      </c>
      <c r="D58" s="7" t="s">
        <v>307</v>
      </c>
      <c r="E58" s="6" t="s">
        <v>101</v>
      </c>
      <c r="F58" s="7" t="s">
        <v>308</v>
      </c>
      <c r="G58" s="7" t="s">
        <v>85</v>
      </c>
      <c r="H58" s="6" t="n">
        <v>0.0437</v>
      </c>
      <c r="I58" s="8" t="n">
        <v>8</v>
      </c>
      <c r="J58" s="6"/>
      <c r="K58" s="6" t="s">
        <v>86</v>
      </c>
      <c r="L58" s="6" t="s">
        <v>130</v>
      </c>
      <c r="M58" s="6" t="s">
        <v>88</v>
      </c>
      <c r="N58" s="6" t="s">
        <v>89</v>
      </c>
    </row>
    <row r="59" customFormat="false" ht="15" hidden="false" customHeight="false" outlineLevel="0" collapsed="false">
      <c r="A59" s="6" t="s">
        <v>309</v>
      </c>
      <c r="B59" s="6" t="s">
        <v>310</v>
      </c>
      <c r="C59" s="6" t="s">
        <v>81</v>
      </c>
      <c r="D59" s="7" t="s">
        <v>311</v>
      </c>
      <c r="E59" s="6" t="s">
        <v>105</v>
      </c>
      <c r="F59" s="7" t="s">
        <v>312</v>
      </c>
      <c r="G59" s="7" t="s">
        <v>85</v>
      </c>
      <c r="H59" s="6" t="n">
        <v>0.1277</v>
      </c>
      <c r="I59" s="8" t="n">
        <v>4</v>
      </c>
      <c r="J59" s="6"/>
      <c r="K59" s="6" t="s">
        <v>86</v>
      </c>
      <c r="L59" s="6" t="s">
        <v>87</v>
      </c>
      <c r="M59" s="6" t="s">
        <v>88</v>
      </c>
      <c r="N59" s="6" t="s">
        <v>89</v>
      </c>
    </row>
    <row r="60" customFormat="false" ht="15" hidden="false" customHeight="false" outlineLevel="0" collapsed="false">
      <c r="A60" s="6" t="s">
        <v>313</v>
      </c>
      <c r="B60" s="6" t="s">
        <v>310</v>
      </c>
      <c r="C60" s="6" t="s">
        <v>81</v>
      </c>
      <c r="D60" s="7" t="s">
        <v>314</v>
      </c>
      <c r="E60" s="6" t="s">
        <v>105</v>
      </c>
      <c r="F60" s="7" t="s">
        <v>315</v>
      </c>
      <c r="G60" s="7" t="s">
        <v>85</v>
      </c>
      <c r="H60" s="6" t="n">
        <v>0.1021</v>
      </c>
      <c r="I60" s="8" t="n">
        <v>4</v>
      </c>
      <c r="J60" s="6"/>
      <c r="K60" s="6" t="s">
        <v>86</v>
      </c>
      <c r="L60" s="6" t="s">
        <v>87</v>
      </c>
      <c r="M60" s="6" t="s">
        <v>88</v>
      </c>
      <c r="N60" s="6" t="s">
        <v>89</v>
      </c>
    </row>
    <row r="61" customFormat="false" ht="26.85" hidden="false" customHeight="false" outlineLevel="0" collapsed="false">
      <c r="A61" s="6" t="s">
        <v>316</v>
      </c>
      <c r="B61" s="6" t="s">
        <v>310</v>
      </c>
      <c r="C61" s="6" t="s">
        <v>81</v>
      </c>
      <c r="D61" s="7" t="s">
        <v>317</v>
      </c>
      <c r="E61" s="7" t="s">
        <v>318</v>
      </c>
      <c r="F61" s="7" t="s">
        <v>319</v>
      </c>
      <c r="G61" s="7" t="s">
        <v>85</v>
      </c>
      <c r="H61" s="6" t="n">
        <v>0.0851</v>
      </c>
      <c r="I61" s="8" t="n">
        <v>8</v>
      </c>
      <c r="J61" s="6"/>
      <c r="K61" s="6" t="s">
        <v>86</v>
      </c>
      <c r="L61" s="6" t="s">
        <v>87</v>
      </c>
      <c r="M61" s="6" t="s">
        <v>94</v>
      </c>
      <c r="N61" s="6" t="s">
        <v>89</v>
      </c>
    </row>
    <row r="62" customFormat="false" ht="15" hidden="false" customHeight="false" outlineLevel="0" collapsed="false">
      <c r="A62" s="6" t="s">
        <v>320</v>
      </c>
      <c r="B62" s="6" t="s">
        <v>310</v>
      </c>
      <c r="C62" s="6" t="s">
        <v>81</v>
      </c>
      <c r="D62" s="7" t="s">
        <v>321</v>
      </c>
      <c r="E62" s="6" t="s">
        <v>322</v>
      </c>
      <c r="F62" s="7" t="s">
        <v>249</v>
      </c>
      <c r="G62" s="7" t="s">
        <v>85</v>
      </c>
      <c r="H62" s="6" t="n">
        <v>0.0851</v>
      </c>
      <c r="I62" s="8" t="n">
        <v>6</v>
      </c>
      <c r="J62" s="6"/>
      <c r="K62" s="6" t="s">
        <v>86</v>
      </c>
      <c r="L62" s="6" t="s">
        <v>87</v>
      </c>
      <c r="M62" s="6" t="s">
        <v>88</v>
      </c>
      <c r="N62" s="6" t="s">
        <v>89</v>
      </c>
    </row>
    <row r="63" customFormat="false" ht="15" hidden="false" customHeight="false" outlineLevel="0" collapsed="false">
      <c r="A63" s="6" t="s">
        <v>323</v>
      </c>
      <c r="B63" s="6" t="s">
        <v>310</v>
      </c>
      <c r="C63" s="6" t="s">
        <v>108</v>
      </c>
      <c r="D63" s="7" t="s">
        <v>324</v>
      </c>
      <c r="E63" s="6" t="s">
        <v>322</v>
      </c>
      <c r="F63" s="7" t="s">
        <v>305</v>
      </c>
      <c r="G63" s="7" t="s">
        <v>85</v>
      </c>
      <c r="H63" s="6" t="n">
        <v>0.1395</v>
      </c>
      <c r="I63" s="8" t="n">
        <v>8</v>
      </c>
      <c r="J63" s="6"/>
      <c r="K63" s="6" t="s">
        <v>86</v>
      </c>
      <c r="L63" s="6" t="s">
        <v>112</v>
      </c>
      <c r="M63" s="6" t="s">
        <v>213</v>
      </c>
      <c r="N63" s="6" t="s">
        <v>89</v>
      </c>
    </row>
    <row r="64" customFormat="false" ht="15" hidden="false" customHeight="false" outlineLevel="0" collapsed="false">
      <c r="A64" s="6" t="s">
        <v>325</v>
      </c>
      <c r="B64" s="6" t="s">
        <v>310</v>
      </c>
      <c r="C64" s="6" t="s">
        <v>108</v>
      </c>
      <c r="D64" s="7" t="s">
        <v>326</v>
      </c>
      <c r="E64" s="6" t="s">
        <v>322</v>
      </c>
      <c r="F64" s="7" t="s">
        <v>327</v>
      </c>
      <c r="G64" s="7" t="s">
        <v>85</v>
      </c>
      <c r="H64" s="6" t="n">
        <v>0.093</v>
      </c>
      <c r="I64" s="8" t="n">
        <v>6</v>
      </c>
      <c r="J64" s="6"/>
      <c r="K64" s="6" t="s">
        <v>86</v>
      </c>
      <c r="L64" s="6" t="s">
        <v>112</v>
      </c>
      <c r="M64" s="6" t="s">
        <v>213</v>
      </c>
      <c r="N64" s="6" t="s">
        <v>89</v>
      </c>
    </row>
    <row r="65" customFormat="false" ht="15" hidden="false" customHeight="false" outlineLevel="0" collapsed="false">
      <c r="A65" s="6" t="s">
        <v>328</v>
      </c>
      <c r="B65" s="6" t="s">
        <v>310</v>
      </c>
      <c r="C65" s="6" t="s">
        <v>108</v>
      </c>
      <c r="D65" s="7" t="s">
        <v>329</v>
      </c>
      <c r="E65" s="6" t="s">
        <v>322</v>
      </c>
      <c r="F65" s="7" t="s">
        <v>330</v>
      </c>
      <c r="G65" s="7" t="s">
        <v>85</v>
      </c>
      <c r="H65" s="6" t="n">
        <v>0.0744</v>
      </c>
      <c r="I65" s="8" t="n">
        <v>6</v>
      </c>
      <c r="J65" s="6"/>
      <c r="K65" s="6" t="s">
        <v>86</v>
      </c>
      <c r="L65" s="6" t="s">
        <v>112</v>
      </c>
      <c r="M65" s="6" t="s">
        <v>213</v>
      </c>
      <c r="N65" s="6" t="s">
        <v>89</v>
      </c>
    </row>
    <row r="66" customFormat="false" ht="15" hidden="false" customHeight="false" outlineLevel="0" collapsed="false">
      <c r="A66" s="6" t="s">
        <v>331</v>
      </c>
      <c r="B66" s="6" t="s">
        <v>310</v>
      </c>
      <c r="C66" s="6" t="s">
        <v>108</v>
      </c>
      <c r="D66" s="7" t="s">
        <v>332</v>
      </c>
      <c r="E66" s="6" t="s">
        <v>101</v>
      </c>
      <c r="F66" s="7" t="s">
        <v>266</v>
      </c>
      <c r="G66" s="7" t="s">
        <v>85</v>
      </c>
      <c r="H66" s="6" t="n">
        <v>0.093</v>
      </c>
      <c r="I66" s="8" t="n">
        <v>8</v>
      </c>
      <c r="J66" s="6"/>
      <c r="K66" s="6" t="s">
        <v>86</v>
      </c>
      <c r="L66" s="6" t="s">
        <v>112</v>
      </c>
      <c r="M66" s="6" t="s">
        <v>88</v>
      </c>
      <c r="N66" s="6" t="s">
        <v>89</v>
      </c>
    </row>
    <row r="67" customFormat="false" ht="15" hidden="false" customHeight="false" outlineLevel="0" collapsed="false">
      <c r="A67" s="6" t="s">
        <v>333</v>
      </c>
      <c r="B67" s="6" t="s">
        <v>310</v>
      </c>
      <c r="C67" s="6" t="s">
        <v>125</v>
      </c>
      <c r="D67" s="7" t="s">
        <v>334</v>
      </c>
      <c r="E67" s="6" t="s">
        <v>127</v>
      </c>
      <c r="F67" s="7" t="s">
        <v>335</v>
      </c>
      <c r="G67" s="7" t="s">
        <v>129</v>
      </c>
      <c r="H67" s="6" t="n">
        <v>0.08</v>
      </c>
      <c r="I67" s="8" t="n">
        <v>8</v>
      </c>
      <c r="J67" s="6"/>
      <c r="K67" s="6" t="s">
        <v>86</v>
      </c>
      <c r="L67" s="6" t="s">
        <v>130</v>
      </c>
      <c r="M67" s="6" t="s">
        <v>131</v>
      </c>
      <c r="N67" s="6" t="s">
        <v>89</v>
      </c>
    </row>
    <row r="68" customFormat="false" ht="15" hidden="false" customHeight="false" outlineLevel="0" collapsed="false">
      <c r="A68" s="6" t="s">
        <v>336</v>
      </c>
      <c r="B68" s="6" t="s">
        <v>310</v>
      </c>
      <c r="C68" s="6" t="s">
        <v>125</v>
      </c>
      <c r="D68" s="7" t="s">
        <v>337</v>
      </c>
      <c r="E68" s="6" t="s">
        <v>127</v>
      </c>
      <c r="F68" s="7" t="s">
        <v>338</v>
      </c>
      <c r="G68" s="6" t="s">
        <v>167</v>
      </c>
      <c r="H68" s="6" t="n">
        <v>0.064</v>
      </c>
      <c r="I68" s="8" t="n">
        <v>8</v>
      </c>
      <c r="J68" s="6"/>
      <c r="K68" s="6" t="s">
        <v>86</v>
      </c>
      <c r="L68" s="6" t="s">
        <v>130</v>
      </c>
      <c r="M68" s="6" t="s">
        <v>168</v>
      </c>
      <c r="N68" s="6" t="s">
        <v>89</v>
      </c>
    </row>
    <row r="69" customFormat="false" ht="26.85" hidden="false" customHeight="false" outlineLevel="0" collapsed="false">
      <c r="A69" s="6" t="s">
        <v>339</v>
      </c>
      <c r="B69" s="6" t="s">
        <v>310</v>
      </c>
      <c r="C69" s="6" t="s">
        <v>125</v>
      </c>
      <c r="D69" s="7" t="s">
        <v>340</v>
      </c>
      <c r="E69" s="6" t="s">
        <v>341</v>
      </c>
      <c r="F69" s="7" t="s">
        <v>180</v>
      </c>
      <c r="G69" s="7" t="s">
        <v>85</v>
      </c>
      <c r="H69" s="6" t="n">
        <v>0.056</v>
      </c>
      <c r="I69" s="8" t="n">
        <v>6</v>
      </c>
      <c r="J69" s="6"/>
      <c r="K69" s="6" t="s">
        <v>86</v>
      </c>
      <c r="L69" s="6" t="s">
        <v>130</v>
      </c>
      <c r="M69" s="6" t="s">
        <v>94</v>
      </c>
      <c r="N69" s="6" t="s">
        <v>89</v>
      </c>
    </row>
    <row r="70" customFormat="false" ht="26.85" hidden="false" customHeight="false" outlineLevel="0" collapsed="false">
      <c r="A70" s="6" t="s">
        <v>342</v>
      </c>
      <c r="B70" s="6" t="s">
        <v>343</v>
      </c>
      <c r="C70" s="6" t="s">
        <v>81</v>
      </c>
      <c r="D70" s="7" t="s">
        <v>344</v>
      </c>
      <c r="E70" s="6" t="s">
        <v>83</v>
      </c>
      <c r="F70" s="7" t="s">
        <v>345</v>
      </c>
      <c r="G70" s="7" t="s">
        <v>85</v>
      </c>
      <c r="H70" s="6" t="n">
        <v>0.08</v>
      </c>
      <c r="I70" s="8" t="n">
        <v>6</v>
      </c>
      <c r="J70" s="6"/>
      <c r="K70" s="6" t="s">
        <v>86</v>
      </c>
      <c r="L70" s="6" t="s">
        <v>87</v>
      </c>
      <c r="M70" s="6" t="s">
        <v>94</v>
      </c>
      <c r="N70" s="6" t="s">
        <v>89</v>
      </c>
    </row>
    <row r="71" customFormat="false" ht="26.85" hidden="false" customHeight="false" outlineLevel="0" collapsed="false">
      <c r="A71" s="6" t="s">
        <v>346</v>
      </c>
      <c r="B71" s="6" t="s">
        <v>343</v>
      </c>
      <c r="C71" s="6" t="s">
        <v>81</v>
      </c>
      <c r="D71" s="7" t="s">
        <v>347</v>
      </c>
      <c r="E71" s="6" t="s">
        <v>348</v>
      </c>
      <c r="F71" s="7" t="s">
        <v>349</v>
      </c>
      <c r="G71" s="7" t="s">
        <v>85</v>
      </c>
      <c r="H71" s="6" t="n">
        <v>0.0667</v>
      </c>
      <c r="I71" s="8" t="n">
        <v>8</v>
      </c>
      <c r="J71" s="6"/>
      <c r="K71" s="6" t="s">
        <v>86</v>
      </c>
      <c r="L71" s="6" t="s">
        <v>87</v>
      </c>
      <c r="M71" s="6" t="s">
        <v>94</v>
      </c>
      <c r="N71" s="6" t="s">
        <v>89</v>
      </c>
    </row>
    <row r="72" customFormat="false" ht="15" hidden="false" customHeight="false" outlineLevel="0" collapsed="false">
      <c r="A72" s="6" t="s">
        <v>350</v>
      </c>
      <c r="B72" s="6" t="s">
        <v>343</v>
      </c>
      <c r="C72" s="6" t="s">
        <v>81</v>
      </c>
      <c r="D72" s="7" t="s">
        <v>351</v>
      </c>
      <c r="E72" s="6" t="s">
        <v>105</v>
      </c>
      <c r="F72" s="7" t="s">
        <v>287</v>
      </c>
      <c r="G72" s="6" t="s">
        <v>120</v>
      </c>
      <c r="H72" s="6" t="n">
        <v>0.0867</v>
      </c>
      <c r="I72" s="8" t="n">
        <v>4</v>
      </c>
      <c r="J72" s="6"/>
      <c r="K72" s="6" t="s">
        <v>86</v>
      </c>
      <c r="L72" s="6" t="s">
        <v>87</v>
      </c>
      <c r="M72" s="6" t="s">
        <v>88</v>
      </c>
      <c r="N72" s="6" t="s">
        <v>89</v>
      </c>
    </row>
    <row r="73" customFormat="false" ht="15" hidden="false" customHeight="false" outlineLevel="0" collapsed="false">
      <c r="A73" s="6" t="s">
        <v>352</v>
      </c>
      <c r="B73" s="6" t="s">
        <v>343</v>
      </c>
      <c r="C73" s="6" t="s">
        <v>81</v>
      </c>
      <c r="D73" s="7" t="s">
        <v>353</v>
      </c>
      <c r="E73" s="6" t="s">
        <v>105</v>
      </c>
      <c r="F73" s="7" t="s">
        <v>354</v>
      </c>
      <c r="G73" s="7" t="s">
        <v>85</v>
      </c>
      <c r="H73" s="6" t="n">
        <v>0.0667</v>
      </c>
      <c r="I73" s="8" t="n">
        <v>6</v>
      </c>
      <c r="J73" s="6"/>
      <c r="K73" s="6" t="s">
        <v>86</v>
      </c>
      <c r="L73" s="6" t="s">
        <v>87</v>
      </c>
      <c r="M73" s="6" t="s">
        <v>213</v>
      </c>
      <c r="N73" s="6" t="s">
        <v>89</v>
      </c>
    </row>
    <row r="74" customFormat="false" ht="26.85" hidden="false" customHeight="false" outlineLevel="0" collapsed="false">
      <c r="A74" s="6" t="s">
        <v>355</v>
      </c>
      <c r="B74" s="6" t="s">
        <v>343</v>
      </c>
      <c r="C74" s="6" t="s">
        <v>108</v>
      </c>
      <c r="D74" s="7" t="s">
        <v>356</v>
      </c>
      <c r="E74" s="6" t="s">
        <v>357</v>
      </c>
      <c r="F74" s="7" t="s">
        <v>358</v>
      </c>
      <c r="G74" s="6" t="s">
        <v>359</v>
      </c>
      <c r="H74" s="6" t="n">
        <v>0.1776</v>
      </c>
      <c r="I74" s="8" t="n">
        <v>8</v>
      </c>
      <c r="J74" s="6"/>
      <c r="K74" s="6" t="s">
        <v>86</v>
      </c>
      <c r="L74" s="6" t="s">
        <v>112</v>
      </c>
      <c r="M74" s="6" t="s">
        <v>94</v>
      </c>
      <c r="N74" s="6" t="s">
        <v>89</v>
      </c>
    </row>
    <row r="75" customFormat="false" ht="15" hidden="false" customHeight="false" outlineLevel="0" collapsed="false">
      <c r="A75" s="6" t="s">
        <v>360</v>
      </c>
      <c r="B75" s="6" t="s">
        <v>343</v>
      </c>
      <c r="C75" s="6" t="s">
        <v>108</v>
      </c>
      <c r="D75" s="7" t="s">
        <v>361</v>
      </c>
      <c r="E75" s="6" t="s">
        <v>105</v>
      </c>
      <c r="F75" s="7" t="s">
        <v>155</v>
      </c>
      <c r="G75" s="7" t="s">
        <v>85</v>
      </c>
      <c r="H75" s="6" t="n">
        <v>0.0947</v>
      </c>
      <c r="I75" s="8" t="n">
        <v>6</v>
      </c>
      <c r="J75" s="6"/>
      <c r="K75" s="6" t="s">
        <v>86</v>
      </c>
      <c r="L75" s="6" t="s">
        <v>112</v>
      </c>
      <c r="M75" s="6" t="s">
        <v>213</v>
      </c>
      <c r="N75" s="6" t="s">
        <v>89</v>
      </c>
    </row>
    <row r="76" customFormat="false" ht="15" hidden="false" customHeight="false" outlineLevel="0" collapsed="false">
      <c r="A76" s="6" t="s">
        <v>362</v>
      </c>
      <c r="B76" s="6" t="s">
        <v>343</v>
      </c>
      <c r="C76" s="6" t="s">
        <v>108</v>
      </c>
      <c r="D76" s="7" t="s">
        <v>363</v>
      </c>
      <c r="E76" s="6" t="s">
        <v>105</v>
      </c>
      <c r="F76" s="7" t="s">
        <v>223</v>
      </c>
      <c r="G76" s="7" t="s">
        <v>85</v>
      </c>
      <c r="H76" s="6" t="n">
        <v>0.0947</v>
      </c>
      <c r="I76" s="8" t="n">
        <v>6</v>
      </c>
      <c r="J76" s="6"/>
      <c r="K76" s="6" t="s">
        <v>86</v>
      </c>
      <c r="L76" s="6" t="s">
        <v>112</v>
      </c>
      <c r="M76" s="6" t="s">
        <v>213</v>
      </c>
      <c r="N76" s="6" t="s">
        <v>89</v>
      </c>
    </row>
    <row r="77" customFormat="false" ht="15" hidden="false" customHeight="false" outlineLevel="0" collapsed="false">
      <c r="A77" s="6" t="s">
        <v>364</v>
      </c>
      <c r="B77" s="6" t="s">
        <v>343</v>
      </c>
      <c r="C77" s="6" t="s">
        <v>108</v>
      </c>
      <c r="D77" s="7" t="s">
        <v>365</v>
      </c>
      <c r="E77" s="6" t="s">
        <v>366</v>
      </c>
      <c r="F77" s="7" t="s">
        <v>180</v>
      </c>
      <c r="G77" s="7" t="s">
        <v>85</v>
      </c>
      <c r="H77" s="6" t="n">
        <v>0.0829</v>
      </c>
      <c r="I77" s="8" t="n">
        <v>6</v>
      </c>
      <c r="J77" s="6"/>
      <c r="K77" s="6" t="s">
        <v>86</v>
      </c>
      <c r="L77" s="6" t="s">
        <v>112</v>
      </c>
      <c r="M77" s="6" t="s">
        <v>213</v>
      </c>
      <c r="N77" s="6" t="s">
        <v>89</v>
      </c>
    </row>
    <row r="78" customFormat="false" ht="15" hidden="false" customHeight="false" outlineLevel="0" collapsed="false">
      <c r="A78" s="6" t="s">
        <v>367</v>
      </c>
      <c r="B78" s="6" t="s">
        <v>343</v>
      </c>
      <c r="C78" s="6" t="s">
        <v>125</v>
      </c>
      <c r="D78" s="7" t="s">
        <v>368</v>
      </c>
      <c r="E78" s="6" t="s">
        <v>127</v>
      </c>
      <c r="F78" s="7" t="s">
        <v>369</v>
      </c>
      <c r="G78" s="7" t="s">
        <v>129</v>
      </c>
      <c r="H78" s="6" t="n">
        <v>0.1</v>
      </c>
      <c r="I78" s="8" t="n">
        <v>8</v>
      </c>
      <c r="J78" s="6"/>
      <c r="K78" s="6" t="s">
        <v>86</v>
      </c>
      <c r="L78" s="6" t="s">
        <v>130</v>
      </c>
      <c r="M78" s="6" t="s">
        <v>131</v>
      </c>
      <c r="N78" s="6" t="s">
        <v>89</v>
      </c>
    </row>
    <row r="79" customFormat="false" ht="26.85" hidden="false" customHeight="false" outlineLevel="0" collapsed="false">
      <c r="A79" s="6" t="s">
        <v>370</v>
      </c>
      <c r="B79" s="6" t="s">
        <v>343</v>
      </c>
      <c r="C79" s="6" t="s">
        <v>125</v>
      </c>
      <c r="D79" s="7" t="s">
        <v>371</v>
      </c>
      <c r="E79" s="6" t="s">
        <v>127</v>
      </c>
      <c r="F79" s="7" t="s">
        <v>372</v>
      </c>
      <c r="G79" s="7" t="s">
        <v>129</v>
      </c>
      <c r="H79" s="6" t="n">
        <v>0.08</v>
      </c>
      <c r="I79" s="8" t="n">
        <v>8</v>
      </c>
      <c r="J79" s="6"/>
      <c r="K79" s="6" t="s">
        <v>86</v>
      </c>
      <c r="L79" s="6" t="s">
        <v>130</v>
      </c>
      <c r="M79" s="6" t="s">
        <v>94</v>
      </c>
      <c r="N79" s="6" t="s">
        <v>89</v>
      </c>
    </row>
    <row r="80" customFormat="false" ht="15" hidden="false" customHeight="false" outlineLevel="0" collapsed="false">
      <c r="A80" s="6" t="s">
        <v>373</v>
      </c>
      <c r="B80" s="6" t="s">
        <v>343</v>
      </c>
      <c r="C80" s="6" t="s">
        <v>125</v>
      </c>
      <c r="D80" s="7" t="s">
        <v>374</v>
      </c>
      <c r="E80" s="6" t="s">
        <v>105</v>
      </c>
      <c r="F80" s="7" t="s">
        <v>106</v>
      </c>
      <c r="G80" s="7" t="s">
        <v>129</v>
      </c>
      <c r="H80" s="6" t="n">
        <v>0.07</v>
      </c>
      <c r="I80" s="8" t="n">
        <v>6</v>
      </c>
      <c r="J80" s="6"/>
      <c r="K80" s="6" t="s">
        <v>86</v>
      </c>
      <c r="L80" s="6" t="s">
        <v>130</v>
      </c>
      <c r="M80" s="6" t="s">
        <v>88</v>
      </c>
      <c r="N80" s="6" t="s">
        <v>89</v>
      </c>
    </row>
    <row r="81" customFormat="false" ht="26.85" hidden="false" customHeight="false" outlineLevel="0" collapsed="false">
      <c r="A81" s="6" t="s">
        <v>375</v>
      </c>
      <c r="B81" s="6" t="s">
        <v>376</v>
      </c>
      <c r="C81" s="6" t="s">
        <v>81</v>
      </c>
      <c r="D81" s="7" t="s">
        <v>377</v>
      </c>
      <c r="E81" s="6" t="s">
        <v>378</v>
      </c>
      <c r="F81" s="7" t="s">
        <v>315</v>
      </c>
      <c r="G81" s="7" t="s">
        <v>85</v>
      </c>
      <c r="H81" s="6" t="n">
        <v>0.1333</v>
      </c>
      <c r="I81" s="8" t="n">
        <v>8</v>
      </c>
      <c r="J81" s="6"/>
      <c r="K81" s="6" t="s">
        <v>86</v>
      </c>
      <c r="L81" s="6" t="s">
        <v>87</v>
      </c>
      <c r="M81" s="6" t="s">
        <v>94</v>
      </c>
      <c r="N81" s="6" t="s">
        <v>89</v>
      </c>
    </row>
    <row r="82" customFormat="false" ht="26.85" hidden="false" customHeight="false" outlineLevel="0" collapsed="false">
      <c r="A82" s="6" t="s">
        <v>379</v>
      </c>
      <c r="B82" s="6" t="s">
        <v>376</v>
      </c>
      <c r="C82" s="6" t="s">
        <v>81</v>
      </c>
      <c r="D82" s="7" t="s">
        <v>380</v>
      </c>
      <c r="E82" s="7" t="s">
        <v>381</v>
      </c>
      <c r="F82" s="7" t="s">
        <v>382</v>
      </c>
      <c r="G82" s="7" t="s">
        <v>85</v>
      </c>
      <c r="H82" s="6" t="n">
        <v>0.1067</v>
      </c>
      <c r="I82" s="8" t="n">
        <v>8</v>
      </c>
      <c r="J82" s="6"/>
      <c r="K82" s="6" t="s">
        <v>86</v>
      </c>
      <c r="L82" s="6" t="s">
        <v>87</v>
      </c>
      <c r="M82" s="6" t="s">
        <v>94</v>
      </c>
      <c r="N82" s="6" t="s">
        <v>89</v>
      </c>
    </row>
    <row r="83" customFormat="false" ht="15" hidden="false" customHeight="false" outlineLevel="0" collapsed="false">
      <c r="A83" s="6" t="s">
        <v>383</v>
      </c>
      <c r="B83" s="6" t="s">
        <v>376</v>
      </c>
      <c r="C83" s="6" t="s">
        <v>81</v>
      </c>
      <c r="D83" s="7" t="s">
        <v>384</v>
      </c>
      <c r="E83" s="6" t="s">
        <v>385</v>
      </c>
      <c r="F83" s="7" t="s">
        <v>98</v>
      </c>
      <c r="G83" s="7" t="s">
        <v>85</v>
      </c>
      <c r="H83" s="6" t="n">
        <v>0.0889</v>
      </c>
      <c r="I83" s="8" t="n">
        <v>8</v>
      </c>
      <c r="J83" s="6"/>
      <c r="K83" s="6" t="s">
        <v>86</v>
      </c>
      <c r="L83" s="6" t="s">
        <v>87</v>
      </c>
      <c r="M83" s="6" t="s">
        <v>168</v>
      </c>
      <c r="N83" s="6" t="s">
        <v>89</v>
      </c>
    </row>
    <row r="84" customFormat="false" ht="15" hidden="false" customHeight="false" outlineLevel="0" collapsed="false">
      <c r="A84" s="6" t="s">
        <v>386</v>
      </c>
      <c r="B84" s="6" t="s">
        <v>376</v>
      </c>
      <c r="C84" s="6" t="s">
        <v>81</v>
      </c>
      <c r="D84" s="7" t="s">
        <v>387</v>
      </c>
      <c r="E84" s="6" t="s">
        <v>388</v>
      </c>
      <c r="F84" s="7" t="s">
        <v>389</v>
      </c>
      <c r="G84" s="6"/>
      <c r="H84" s="6" t="n">
        <v>0.0711</v>
      </c>
      <c r="I84" s="8" t="n">
        <v>6</v>
      </c>
      <c r="J84" s="6"/>
      <c r="K84" s="6" t="s">
        <v>86</v>
      </c>
      <c r="L84" s="6" t="s">
        <v>87</v>
      </c>
      <c r="M84" s="6" t="s">
        <v>88</v>
      </c>
      <c r="N84" s="6" t="s">
        <v>89</v>
      </c>
    </row>
    <row r="85" customFormat="false" ht="15" hidden="false" customHeight="false" outlineLevel="0" collapsed="false">
      <c r="A85" s="6" t="s">
        <v>390</v>
      </c>
      <c r="B85" s="6" t="s">
        <v>376</v>
      </c>
      <c r="C85" s="6" t="s">
        <v>108</v>
      </c>
      <c r="D85" s="7" t="s">
        <v>391</v>
      </c>
      <c r="E85" s="6" t="s">
        <v>101</v>
      </c>
      <c r="F85" s="7" t="s">
        <v>177</v>
      </c>
      <c r="G85" s="7" t="s">
        <v>85</v>
      </c>
      <c r="H85" s="6" t="n">
        <v>0.1333</v>
      </c>
      <c r="I85" s="8" t="n">
        <v>8</v>
      </c>
      <c r="J85" s="6"/>
      <c r="K85" s="6" t="s">
        <v>86</v>
      </c>
      <c r="L85" s="6" t="s">
        <v>112</v>
      </c>
      <c r="M85" s="6" t="s">
        <v>88</v>
      </c>
      <c r="N85" s="6" t="s">
        <v>89</v>
      </c>
    </row>
    <row r="86" customFormat="false" ht="15" hidden="false" customHeight="false" outlineLevel="0" collapsed="false">
      <c r="A86" s="6" t="s">
        <v>392</v>
      </c>
      <c r="B86" s="6" t="s">
        <v>376</v>
      </c>
      <c r="C86" s="6" t="s">
        <v>108</v>
      </c>
      <c r="D86" s="7" t="s">
        <v>393</v>
      </c>
      <c r="E86" s="6" t="s">
        <v>101</v>
      </c>
      <c r="F86" s="7" t="s">
        <v>394</v>
      </c>
      <c r="G86" s="7" t="s">
        <v>85</v>
      </c>
      <c r="H86" s="6" t="n">
        <v>0.1067</v>
      </c>
      <c r="I86" s="8" t="n">
        <v>6</v>
      </c>
      <c r="J86" s="6"/>
      <c r="K86" s="6" t="s">
        <v>86</v>
      </c>
      <c r="L86" s="6" t="s">
        <v>112</v>
      </c>
      <c r="M86" s="6" t="s">
        <v>88</v>
      </c>
      <c r="N86" s="6" t="s">
        <v>89</v>
      </c>
    </row>
    <row r="87" customFormat="false" ht="26.85" hidden="false" customHeight="false" outlineLevel="0" collapsed="false">
      <c r="A87" s="6" t="s">
        <v>395</v>
      </c>
      <c r="B87" s="6" t="s">
        <v>376</v>
      </c>
      <c r="C87" s="6" t="s">
        <v>108</v>
      </c>
      <c r="D87" s="7" t="s">
        <v>396</v>
      </c>
      <c r="E87" s="6" t="s">
        <v>397</v>
      </c>
      <c r="F87" s="7" t="s">
        <v>398</v>
      </c>
      <c r="G87" s="6" t="s">
        <v>120</v>
      </c>
      <c r="H87" s="6" t="n">
        <v>0.0889</v>
      </c>
      <c r="I87" s="8" t="n">
        <v>6</v>
      </c>
      <c r="J87" s="6"/>
      <c r="K87" s="6" t="s">
        <v>86</v>
      </c>
      <c r="L87" s="6" t="s">
        <v>112</v>
      </c>
      <c r="M87" s="6" t="s">
        <v>94</v>
      </c>
      <c r="N87" s="6" t="s">
        <v>89</v>
      </c>
    </row>
    <row r="88" customFormat="false" ht="15" hidden="false" customHeight="false" outlineLevel="0" collapsed="false">
      <c r="A88" s="6" t="s">
        <v>399</v>
      </c>
      <c r="B88" s="6" t="s">
        <v>376</v>
      </c>
      <c r="C88" s="6" t="s">
        <v>108</v>
      </c>
      <c r="D88" s="7" t="s">
        <v>400</v>
      </c>
      <c r="E88" s="6" t="s">
        <v>401</v>
      </c>
      <c r="F88" s="7" t="s">
        <v>402</v>
      </c>
      <c r="G88" s="7" t="s">
        <v>129</v>
      </c>
      <c r="H88" s="6" t="n">
        <v>0.0711</v>
      </c>
      <c r="I88" s="8" t="n">
        <v>6</v>
      </c>
      <c r="J88" s="6"/>
      <c r="K88" s="6" t="s">
        <v>86</v>
      </c>
      <c r="L88" s="6" t="s">
        <v>112</v>
      </c>
      <c r="M88" s="6" t="s">
        <v>88</v>
      </c>
      <c r="N88" s="6" t="s">
        <v>89</v>
      </c>
    </row>
    <row r="89" customFormat="false" ht="15" hidden="false" customHeight="false" outlineLevel="0" collapsed="false">
      <c r="A89" s="6" t="s">
        <v>403</v>
      </c>
      <c r="B89" s="6" t="s">
        <v>376</v>
      </c>
      <c r="C89" s="6" t="s">
        <v>125</v>
      </c>
      <c r="D89" s="7" t="s">
        <v>404</v>
      </c>
      <c r="E89" s="6" t="s">
        <v>127</v>
      </c>
      <c r="F89" s="7" t="s">
        <v>405</v>
      </c>
      <c r="G89" s="7" t="s">
        <v>129</v>
      </c>
      <c r="H89" s="6" t="n">
        <v>0.08</v>
      </c>
      <c r="I89" s="8" t="n">
        <v>6</v>
      </c>
      <c r="J89" s="6"/>
      <c r="K89" s="6" t="s">
        <v>86</v>
      </c>
      <c r="L89" s="6" t="s">
        <v>130</v>
      </c>
      <c r="M89" s="6" t="s">
        <v>131</v>
      </c>
      <c r="N89" s="6" t="s">
        <v>89</v>
      </c>
    </row>
    <row r="90" customFormat="false" ht="15" hidden="false" customHeight="false" outlineLevel="0" collapsed="false">
      <c r="A90" s="6" t="s">
        <v>406</v>
      </c>
      <c r="B90" s="6" t="s">
        <v>376</v>
      </c>
      <c r="C90" s="6" t="s">
        <v>125</v>
      </c>
      <c r="D90" s="7" t="s">
        <v>407</v>
      </c>
      <c r="E90" s="6" t="s">
        <v>127</v>
      </c>
      <c r="F90" s="7" t="s">
        <v>408</v>
      </c>
      <c r="G90" s="6" t="s">
        <v>167</v>
      </c>
      <c r="H90" s="6" t="n">
        <v>0.064</v>
      </c>
      <c r="I90" s="8" t="n">
        <v>6</v>
      </c>
      <c r="J90" s="6"/>
      <c r="K90" s="6" t="s">
        <v>86</v>
      </c>
      <c r="L90" s="6" t="s">
        <v>130</v>
      </c>
      <c r="M90" s="6" t="s">
        <v>168</v>
      </c>
      <c r="N90" s="6" t="s">
        <v>89</v>
      </c>
    </row>
    <row r="91" customFormat="false" ht="15" hidden="false" customHeight="false" outlineLevel="0" collapsed="false">
      <c r="A91" s="6" t="s">
        <v>409</v>
      </c>
      <c r="B91" s="6" t="s">
        <v>376</v>
      </c>
      <c r="C91" s="6" t="s">
        <v>125</v>
      </c>
      <c r="D91" s="7" t="s">
        <v>410</v>
      </c>
      <c r="E91" s="6" t="s">
        <v>105</v>
      </c>
      <c r="F91" s="7" t="s">
        <v>411</v>
      </c>
      <c r="G91" s="7" t="s">
        <v>85</v>
      </c>
      <c r="H91" s="6" t="n">
        <v>0.056</v>
      </c>
      <c r="I91" s="8" t="n">
        <v>6</v>
      </c>
      <c r="J91" s="6"/>
      <c r="K91" s="6" t="s">
        <v>86</v>
      </c>
      <c r="L91" s="6" t="s">
        <v>130</v>
      </c>
      <c r="M91" s="6" t="s">
        <v>213</v>
      </c>
      <c r="N91" s="6" t="s">
        <v>89</v>
      </c>
    </row>
    <row r="92" customFormat="false" ht="26.85" hidden="false" customHeight="false" outlineLevel="0" collapsed="false">
      <c r="A92" s="6" t="s">
        <v>412</v>
      </c>
      <c r="B92" s="6" t="s">
        <v>413</v>
      </c>
      <c r="C92" s="6" t="s">
        <v>81</v>
      </c>
      <c r="D92" s="7" t="s">
        <v>414</v>
      </c>
      <c r="E92" s="6" t="s">
        <v>415</v>
      </c>
      <c r="F92" s="7" t="s">
        <v>312</v>
      </c>
      <c r="G92" s="7" t="s">
        <v>85</v>
      </c>
      <c r="H92" s="6" t="n">
        <v>0.1333</v>
      </c>
      <c r="I92" s="8" t="n">
        <v>8</v>
      </c>
      <c r="J92" s="6"/>
      <c r="K92" s="6" t="s">
        <v>86</v>
      </c>
      <c r="L92" s="6" t="s">
        <v>87</v>
      </c>
      <c r="M92" s="6" t="s">
        <v>94</v>
      </c>
      <c r="N92" s="6" t="s">
        <v>89</v>
      </c>
    </row>
    <row r="93" customFormat="false" ht="26.85" hidden="false" customHeight="false" outlineLevel="0" collapsed="false">
      <c r="A93" s="6" t="s">
        <v>416</v>
      </c>
      <c r="B93" s="6" t="s">
        <v>413</v>
      </c>
      <c r="C93" s="6" t="s">
        <v>81</v>
      </c>
      <c r="D93" s="7" t="s">
        <v>417</v>
      </c>
      <c r="E93" s="6" t="s">
        <v>418</v>
      </c>
      <c r="F93" s="7" t="s">
        <v>319</v>
      </c>
      <c r="G93" s="7" t="s">
        <v>85</v>
      </c>
      <c r="H93" s="6" t="n">
        <v>0.0889</v>
      </c>
      <c r="I93" s="8" t="n">
        <v>8</v>
      </c>
      <c r="J93" s="6"/>
      <c r="K93" s="6" t="s">
        <v>86</v>
      </c>
      <c r="L93" s="6" t="s">
        <v>87</v>
      </c>
      <c r="M93" s="6" t="s">
        <v>94</v>
      </c>
      <c r="N93" s="6" t="s">
        <v>89</v>
      </c>
    </row>
    <row r="94" customFormat="false" ht="15" hidden="false" customHeight="false" outlineLevel="0" collapsed="false">
      <c r="A94" s="6" t="s">
        <v>419</v>
      </c>
      <c r="B94" s="6" t="s">
        <v>413</v>
      </c>
      <c r="C94" s="6" t="s">
        <v>81</v>
      </c>
      <c r="D94" s="7" t="s">
        <v>420</v>
      </c>
      <c r="E94" s="6" t="s">
        <v>105</v>
      </c>
      <c r="F94" s="7" t="s">
        <v>312</v>
      </c>
      <c r="G94" s="7" t="s">
        <v>85</v>
      </c>
      <c r="H94" s="6" t="n">
        <v>0.1067</v>
      </c>
      <c r="I94" s="8" t="n">
        <v>4</v>
      </c>
      <c r="J94" s="6"/>
      <c r="K94" s="6" t="s">
        <v>86</v>
      </c>
      <c r="L94" s="6" t="s">
        <v>87</v>
      </c>
      <c r="M94" s="6" t="s">
        <v>88</v>
      </c>
      <c r="N94" s="6" t="s">
        <v>89</v>
      </c>
    </row>
    <row r="95" customFormat="false" ht="15" hidden="false" customHeight="false" outlineLevel="0" collapsed="false">
      <c r="A95" s="6" t="s">
        <v>421</v>
      </c>
      <c r="B95" s="6" t="s">
        <v>413</v>
      </c>
      <c r="C95" s="6" t="s">
        <v>81</v>
      </c>
      <c r="D95" s="7" t="s">
        <v>422</v>
      </c>
      <c r="E95" s="6" t="s">
        <v>385</v>
      </c>
      <c r="F95" s="7" t="s">
        <v>180</v>
      </c>
      <c r="G95" s="7" t="s">
        <v>85</v>
      </c>
      <c r="H95" s="6" t="n">
        <v>0.0711</v>
      </c>
      <c r="I95" s="8" t="n">
        <v>6</v>
      </c>
      <c r="J95" s="6"/>
      <c r="K95" s="6" t="s">
        <v>86</v>
      </c>
      <c r="L95" s="6" t="s">
        <v>87</v>
      </c>
      <c r="M95" s="6" t="s">
        <v>88</v>
      </c>
      <c r="N95" s="6" t="s">
        <v>89</v>
      </c>
    </row>
    <row r="96" customFormat="false" ht="26.85" hidden="false" customHeight="false" outlineLevel="0" collapsed="false">
      <c r="A96" s="6" t="s">
        <v>423</v>
      </c>
      <c r="B96" s="6" t="s">
        <v>413</v>
      </c>
      <c r="C96" s="6" t="s">
        <v>108</v>
      </c>
      <c r="D96" s="7" t="s">
        <v>424</v>
      </c>
      <c r="E96" s="6" t="s">
        <v>150</v>
      </c>
      <c r="F96" s="7" t="s">
        <v>425</v>
      </c>
      <c r="G96" s="6" t="s">
        <v>147</v>
      </c>
      <c r="H96" s="6" t="n">
        <v>0.1143</v>
      </c>
      <c r="I96" s="8" t="n">
        <v>4</v>
      </c>
      <c r="J96" s="6"/>
      <c r="K96" s="6" t="s">
        <v>86</v>
      </c>
      <c r="L96" s="6" t="s">
        <v>112</v>
      </c>
      <c r="M96" s="6" t="s">
        <v>94</v>
      </c>
      <c r="N96" s="6" t="s">
        <v>89</v>
      </c>
    </row>
    <row r="97" customFormat="false" ht="26.85" hidden="false" customHeight="false" outlineLevel="0" collapsed="false">
      <c r="A97" s="6" t="s">
        <v>426</v>
      </c>
      <c r="B97" s="6" t="s">
        <v>413</v>
      </c>
      <c r="C97" s="6" t="s">
        <v>108</v>
      </c>
      <c r="D97" s="7" t="s">
        <v>427</v>
      </c>
      <c r="E97" s="6" t="s">
        <v>150</v>
      </c>
      <c r="F97" s="7" t="s">
        <v>428</v>
      </c>
      <c r="G97" s="6" t="s">
        <v>147</v>
      </c>
      <c r="H97" s="6" t="n">
        <v>0.0952</v>
      </c>
      <c r="I97" s="8" t="n">
        <v>4</v>
      </c>
      <c r="J97" s="6"/>
      <c r="K97" s="6" t="s">
        <v>86</v>
      </c>
      <c r="L97" s="6" t="s">
        <v>112</v>
      </c>
      <c r="M97" s="6" t="s">
        <v>94</v>
      </c>
      <c r="N97" s="6" t="s">
        <v>89</v>
      </c>
    </row>
    <row r="98" customFormat="false" ht="15" hidden="false" customHeight="false" outlineLevel="0" collapsed="false">
      <c r="A98" s="6" t="s">
        <v>429</v>
      </c>
      <c r="B98" s="6" t="s">
        <v>413</v>
      </c>
      <c r="C98" s="6" t="s">
        <v>108</v>
      </c>
      <c r="D98" s="7" t="s">
        <v>430</v>
      </c>
      <c r="E98" s="6" t="s">
        <v>105</v>
      </c>
      <c r="F98" s="7" t="s">
        <v>431</v>
      </c>
      <c r="G98" s="7" t="s">
        <v>85</v>
      </c>
      <c r="H98" s="6" t="n">
        <v>0.1143</v>
      </c>
      <c r="I98" s="8" t="n">
        <v>6</v>
      </c>
      <c r="J98" s="6"/>
      <c r="K98" s="6" t="s">
        <v>86</v>
      </c>
      <c r="L98" s="6" t="s">
        <v>112</v>
      </c>
      <c r="M98" s="6" t="s">
        <v>213</v>
      </c>
      <c r="N98" s="6" t="s">
        <v>89</v>
      </c>
    </row>
    <row r="99" customFormat="false" ht="15" hidden="false" customHeight="false" outlineLevel="0" collapsed="false">
      <c r="A99" s="6" t="s">
        <v>432</v>
      </c>
      <c r="B99" s="6" t="s">
        <v>413</v>
      </c>
      <c r="C99" s="6" t="s">
        <v>108</v>
      </c>
      <c r="D99" s="7" t="s">
        <v>433</v>
      </c>
      <c r="E99" s="6" t="s">
        <v>150</v>
      </c>
      <c r="F99" s="7" t="s">
        <v>141</v>
      </c>
      <c r="G99" s="7" t="s">
        <v>129</v>
      </c>
      <c r="H99" s="6" t="n">
        <v>0.0762</v>
      </c>
      <c r="I99" s="8" t="n">
        <v>6</v>
      </c>
      <c r="J99" s="6"/>
      <c r="K99" s="6" t="s">
        <v>86</v>
      </c>
      <c r="L99" s="6" t="s">
        <v>112</v>
      </c>
      <c r="M99" s="6" t="s">
        <v>88</v>
      </c>
      <c r="N99" s="6" t="s">
        <v>89</v>
      </c>
    </row>
    <row r="100" customFormat="false" ht="15" hidden="false" customHeight="false" outlineLevel="0" collapsed="false">
      <c r="A100" s="6" t="s">
        <v>434</v>
      </c>
      <c r="B100" s="6" t="s">
        <v>413</v>
      </c>
      <c r="C100" s="6" t="s">
        <v>125</v>
      </c>
      <c r="D100" s="7" t="s">
        <v>435</v>
      </c>
      <c r="E100" s="6" t="s">
        <v>127</v>
      </c>
      <c r="F100" s="7" t="s">
        <v>174</v>
      </c>
      <c r="G100" s="7" t="s">
        <v>129</v>
      </c>
      <c r="H100" s="6" t="n">
        <v>0.08</v>
      </c>
      <c r="I100" s="8" t="n">
        <v>6</v>
      </c>
      <c r="J100" s="6"/>
      <c r="K100" s="6" t="s">
        <v>86</v>
      </c>
      <c r="L100" s="6" t="s">
        <v>130</v>
      </c>
      <c r="M100" s="6" t="s">
        <v>131</v>
      </c>
      <c r="N100" s="6" t="s">
        <v>89</v>
      </c>
    </row>
    <row r="101" customFormat="false" ht="15" hidden="false" customHeight="false" outlineLevel="0" collapsed="false">
      <c r="A101" s="6" t="s">
        <v>436</v>
      </c>
      <c r="B101" s="6" t="s">
        <v>413</v>
      </c>
      <c r="C101" s="6" t="s">
        <v>125</v>
      </c>
      <c r="D101" s="7" t="s">
        <v>437</v>
      </c>
      <c r="E101" s="6" t="s">
        <v>127</v>
      </c>
      <c r="F101" s="7" t="s">
        <v>283</v>
      </c>
      <c r="G101" s="6" t="s">
        <v>167</v>
      </c>
      <c r="H101" s="6" t="n">
        <v>0.064</v>
      </c>
      <c r="I101" s="8" t="n">
        <v>6</v>
      </c>
      <c r="J101" s="6"/>
      <c r="K101" s="6" t="s">
        <v>86</v>
      </c>
      <c r="L101" s="6" t="s">
        <v>130</v>
      </c>
      <c r="M101" s="6" t="s">
        <v>168</v>
      </c>
      <c r="N101" s="6" t="s">
        <v>89</v>
      </c>
    </row>
    <row r="102" customFormat="false" ht="15" hidden="false" customHeight="false" outlineLevel="0" collapsed="false">
      <c r="A102" s="6" t="s">
        <v>438</v>
      </c>
      <c r="B102" s="6" t="s">
        <v>413</v>
      </c>
      <c r="C102" s="6" t="s">
        <v>125</v>
      </c>
      <c r="D102" s="7" t="s">
        <v>439</v>
      </c>
      <c r="E102" s="6" t="s">
        <v>105</v>
      </c>
      <c r="F102" s="7" t="s">
        <v>327</v>
      </c>
      <c r="G102" s="7" t="s">
        <v>85</v>
      </c>
      <c r="H102" s="6" t="n">
        <v>0.056</v>
      </c>
      <c r="I102" s="8" t="n">
        <v>6</v>
      </c>
      <c r="J102" s="6"/>
      <c r="K102" s="6" t="s">
        <v>86</v>
      </c>
      <c r="L102" s="6" t="s">
        <v>130</v>
      </c>
      <c r="M102" s="6" t="s">
        <v>88</v>
      </c>
      <c r="N102" s="6" t="s">
        <v>89</v>
      </c>
    </row>
    <row r="103" customFormat="false" ht="15" hidden="false" customHeight="false" outlineLevel="0" collapsed="false">
      <c r="A103" s="6" t="s">
        <v>440</v>
      </c>
      <c r="B103" s="6" t="s">
        <v>441</v>
      </c>
      <c r="C103" s="6" t="s">
        <v>81</v>
      </c>
      <c r="D103" s="7" t="s">
        <v>442</v>
      </c>
      <c r="E103" s="7" t="s">
        <v>443</v>
      </c>
      <c r="F103" s="7" t="s">
        <v>444</v>
      </c>
      <c r="G103" s="6" t="s">
        <v>445</v>
      </c>
      <c r="H103" s="6" t="n">
        <v>0.1667</v>
      </c>
      <c r="I103" s="8" t="n">
        <v>8</v>
      </c>
      <c r="J103" s="6"/>
      <c r="K103" s="6" t="s">
        <v>86</v>
      </c>
      <c r="L103" s="6" t="s">
        <v>87</v>
      </c>
      <c r="M103" s="6" t="s">
        <v>88</v>
      </c>
      <c r="N103" s="6" t="s">
        <v>89</v>
      </c>
    </row>
    <row r="104" customFormat="false" ht="15" hidden="false" customHeight="false" outlineLevel="0" collapsed="false">
      <c r="A104" s="6" t="s">
        <v>446</v>
      </c>
      <c r="B104" s="6" t="s">
        <v>441</v>
      </c>
      <c r="C104" s="6" t="s">
        <v>81</v>
      </c>
      <c r="D104" s="7" t="s">
        <v>447</v>
      </c>
      <c r="E104" s="6" t="s">
        <v>448</v>
      </c>
      <c r="F104" s="7" t="s">
        <v>449</v>
      </c>
      <c r="G104" s="7" t="s">
        <v>129</v>
      </c>
      <c r="H104" s="6" t="n">
        <v>0.1111</v>
      </c>
      <c r="I104" s="8" t="n">
        <v>8</v>
      </c>
      <c r="J104" s="6"/>
      <c r="K104" s="6" t="s">
        <v>86</v>
      </c>
      <c r="L104" s="6" t="s">
        <v>87</v>
      </c>
      <c r="M104" s="6" t="s">
        <v>88</v>
      </c>
      <c r="N104" s="6" t="s">
        <v>89</v>
      </c>
    </row>
    <row r="105" customFormat="false" ht="26.85" hidden="false" customHeight="false" outlineLevel="0" collapsed="false">
      <c r="A105" s="6" t="s">
        <v>450</v>
      </c>
      <c r="B105" s="6" t="s">
        <v>441</v>
      </c>
      <c r="C105" s="6" t="s">
        <v>81</v>
      </c>
      <c r="D105" s="7" t="s">
        <v>451</v>
      </c>
      <c r="E105" s="6" t="s">
        <v>452</v>
      </c>
      <c r="F105" s="7" t="s">
        <v>319</v>
      </c>
      <c r="G105" s="7" t="s">
        <v>85</v>
      </c>
      <c r="H105" s="6" t="n">
        <v>0.1111</v>
      </c>
      <c r="I105" s="8" t="n">
        <v>8</v>
      </c>
      <c r="J105" s="6"/>
      <c r="K105" s="6" t="s">
        <v>86</v>
      </c>
      <c r="L105" s="6" t="s">
        <v>87</v>
      </c>
      <c r="M105" s="6" t="s">
        <v>94</v>
      </c>
      <c r="N105" s="6" t="s">
        <v>89</v>
      </c>
    </row>
    <row r="106" customFormat="false" ht="15" hidden="false" customHeight="false" outlineLevel="0" collapsed="false">
      <c r="A106" s="6" t="s">
        <v>453</v>
      </c>
      <c r="B106" s="6" t="s">
        <v>441</v>
      </c>
      <c r="C106" s="6" t="s">
        <v>81</v>
      </c>
      <c r="D106" s="7" t="s">
        <v>454</v>
      </c>
      <c r="E106" s="7" t="s">
        <v>455</v>
      </c>
      <c r="F106" s="7" t="s">
        <v>308</v>
      </c>
      <c r="G106" s="7" t="s">
        <v>85</v>
      </c>
      <c r="H106" s="6" t="n">
        <v>0.1111</v>
      </c>
      <c r="I106" s="8" t="n">
        <v>8</v>
      </c>
      <c r="J106" s="6"/>
      <c r="K106" s="6" t="s">
        <v>86</v>
      </c>
      <c r="L106" s="6" t="s">
        <v>87</v>
      </c>
      <c r="M106" s="6" t="s">
        <v>279</v>
      </c>
      <c r="N106" s="6" t="s">
        <v>89</v>
      </c>
    </row>
    <row r="107" customFormat="false" ht="15" hidden="false" customHeight="false" outlineLevel="0" collapsed="false">
      <c r="A107" s="6" t="s">
        <v>456</v>
      </c>
      <c r="B107" s="6" t="s">
        <v>441</v>
      </c>
      <c r="C107" s="6" t="s">
        <v>108</v>
      </c>
      <c r="D107" s="7" t="s">
        <v>457</v>
      </c>
      <c r="E107" s="6" t="s">
        <v>105</v>
      </c>
      <c r="F107" s="7" t="s">
        <v>177</v>
      </c>
      <c r="G107" s="7" t="s">
        <v>85</v>
      </c>
      <c r="H107" s="6" t="n">
        <v>0.1105</v>
      </c>
      <c r="I107" s="8" t="n">
        <v>8</v>
      </c>
      <c r="J107" s="6"/>
      <c r="K107" s="6" t="s">
        <v>86</v>
      </c>
      <c r="L107" s="6" t="s">
        <v>112</v>
      </c>
      <c r="M107" s="6" t="s">
        <v>213</v>
      </c>
      <c r="N107" s="6" t="s">
        <v>89</v>
      </c>
    </row>
    <row r="108" customFormat="false" ht="15" hidden="false" customHeight="false" outlineLevel="0" collapsed="false">
      <c r="A108" s="6" t="s">
        <v>458</v>
      </c>
      <c r="B108" s="6" t="s">
        <v>441</v>
      </c>
      <c r="C108" s="6" t="s">
        <v>108</v>
      </c>
      <c r="D108" s="7" t="s">
        <v>459</v>
      </c>
      <c r="E108" s="6" t="s">
        <v>105</v>
      </c>
      <c r="F108" s="7" t="s">
        <v>330</v>
      </c>
      <c r="G108" s="7" t="s">
        <v>85</v>
      </c>
      <c r="H108" s="6" t="n">
        <v>0.0737</v>
      </c>
      <c r="I108" s="8" t="n">
        <v>6</v>
      </c>
      <c r="J108" s="6"/>
      <c r="K108" s="6" t="s">
        <v>86</v>
      </c>
      <c r="L108" s="6" t="s">
        <v>112</v>
      </c>
      <c r="M108" s="6" t="s">
        <v>213</v>
      </c>
      <c r="N108" s="6" t="s">
        <v>89</v>
      </c>
    </row>
    <row r="109" customFormat="false" ht="15" hidden="false" customHeight="false" outlineLevel="0" collapsed="false">
      <c r="A109" s="6" t="s">
        <v>460</v>
      </c>
      <c r="B109" s="6" t="s">
        <v>441</v>
      </c>
      <c r="C109" s="6" t="s">
        <v>108</v>
      </c>
      <c r="D109" s="7" t="s">
        <v>461</v>
      </c>
      <c r="E109" s="6" t="s">
        <v>101</v>
      </c>
      <c r="F109" s="7" t="s">
        <v>266</v>
      </c>
      <c r="G109" s="7" t="s">
        <v>85</v>
      </c>
      <c r="H109" s="6" t="n">
        <v>0.0921</v>
      </c>
      <c r="I109" s="8" t="n">
        <v>8</v>
      </c>
      <c r="J109" s="6"/>
      <c r="K109" s="6" t="s">
        <v>86</v>
      </c>
      <c r="L109" s="6" t="s">
        <v>112</v>
      </c>
      <c r="M109" s="6" t="s">
        <v>88</v>
      </c>
      <c r="N109" s="6" t="s">
        <v>89</v>
      </c>
    </row>
    <row r="110" customFormat="false" ht="15" hidden="false" customHeight="false" outlineLevel="0" collapsed="false">
      <c r="A110" s="6" t="s">
        <v>462</v>
      </c>
      <c r="B110" s="6" t="s">
        <v>441</v>
      </c>
      <c r="C110" s="6" t="s">
        <v>108</v>
      </c>
      <c r="D110" s="7" t="s">
        <v>463</v>
      </c>
      <c r="E110" s="6" t="s">
        <v>464</v>
      </c>
      <c r="F110" s="7" t="s">
        <v>327</v>
      </c>
      <c r="G110" s="7" t="s">
        <v>85</v>
      </c>
      <c r="H110" s="6" t="n">
        <v>0.0737</v>
      </c>
      <c r="I110" s="8" t="n">
        <v>6</v>
      </c>
      <c r="J110" s="6"/>
      <c r="K110" s="6" t="s">
        <v>86</v>
      </c>
      <c r="L110" s="6" t="s">
        <v>112</v>
      </c>
      <c r="M110" s="6" t="s">
        <v>88</v>
      </c>
      <c r="N110" s="6" t="s">
        <v>89</v>
      </c>
    </row>
    <row r="111" customFormat="false" ht="26.85" hidden="false" customHeight="false" outlineLevel="0" collapsed="false">
      <c r="A111" s="6" t="s">
        <v>465</v>
      </c>
      <c r="B111" s="6" t="s">
        <v>441</v>
      </c>
      <c r="C111" s="6" t="s">
        <v>125</v>
      </c>
      <c r="D111" s="7" t="s">
        <v>466</v>
      </c>
      <c r="E111" s="6" t="s">
        <v>127</v>
      </c>
      <c r="F111" s="7" t="s">
        <v>208</v>
      </c>
      <c r="G111" s="7" t="s">
        <v>129</v>
      </c>
      <c r="H111" s="6" t="n">
        <v>0.06</v>
      </c>
      <c r="I111" s="8" t="n">
        <v>8</v>
      </c>
      <c r="J111" s="6"/>
      <c r="K111" s="6" t="s">
        <v>86</v>
      </c>
      <c r="L111" s="6" t="s">
        <v>130</v>
      </c>
      <c r="M111" s="6" t="s">
        <v>94</v>
      </c>
      <c r="N111" s="6" t="s">
        <v>89</v>
      </c>
    </row>
    <row r="112" customFormat="false" ht="15" hidden="false" customHeight="false" outlineLevel="0" collapsed="false">
      <c r="A112" s="6" t="s">
        <v>467</v>
      </c>
      <c r="B112" s="6" t="s">
        <v>441</v>
      </c>
      <c r="C112" s="6" t="s">
        <v>125</v>
      </c>
      <c r="D112" s="7" t="s">
        <v>468</v>
      </c>
      <c r="E112" s="6" t="s">
        <v>127</v>
      </c>
      <c r="F112" s="7" t="s">
        <v>469</v>
      </c>
      <c r="G112" s="7" t="s">
        <v>129</v>
      </c>
      <c r="H112" s="6" t="n">
        <v>0.048</v>
      </c>
      <c r="I112" s="8" t="n">
        <v>8</v>
      </c>
      <c r="J112" s="6"/>
      <c r="K112" s="6" t="s">
        <v>86</v>
      </c>
      <c r="L112" s="6" t="s">
        <v>130</v>
      </c>
      <c r="M112" s="6" t="s">
        <v>88</v>
      </c>
      <c r="N112" s="6" t="s">
        <v>89</v>
      </c>
    </row>
    <row r="113" customFormat="false" ht="15" hidden="false" customHeight="false" outlineLevel="0" collapsed="false">
      <c r="A113" s="6" t="s">
        <v>470</v>
      </c>
      <c r="B113" s="6" t="s">
        <v>441</v>
      </c>
      <c r="C113" s="6" t="s">
        <v>125</v>
      </c>
      <c r="D113" s="7" t="s">
        <v>471</v>
      </c>
      <c r="E113" s="6" t="s">
        <v>105</v>
      </c>
      <c r="F113" s="7" t="s">
        <v>305</v>
      </c>
      <c r="G113" s="7" t="s">
        <v>85</v>
      </c>
      <c r="H113" s="6" t="n">
        <v>0.042</v>
      </c>
      <c r="I113" s="8" t="n">
        <v>8</v>
      </c>
      <c r="J113" s="6"/>
      <c r="K113" s="6" t="s">
        <v>86</v>
      </c>
      <c r="L113" s="6" t="s">
        <v>130</v>
      </c>
      <c r="M113" s="6" t="s">
        <v>131</v>
      </c>
      <c r="N113" s="6" t="s">
        <v>89</v>
      </c>
    </row>
    <row r="114" customFormat="false" ht="26.85" hidden="false" customHeight="false" outlineLevel="0" collapsed="false">
      <c r="A114" s="6" t="s">
        <v>472</v>
      </c>
      <c r="B114" s="6" t="s">
        <v>473</v>
      </c>
      <c r="C114" s="6" t="s">
        <v>81</v>
      </c>
      <c r="D114" s="7" t="s">
        <v>474</v>
      </c>
      <c r="E114" s="6" t="s">
        <v>145</v>
      </c>
      <c r="F114" s="7" t="s">
        <v>228</v>
      </c>
      <c r="G114" s="7" t="s">
        <v>85</v>
      </c>
      <c r="H114" s="6" t="n">
        <v>0.1</v>
      </c>
      <c r="I114" s="8" t="n">
        <v>10</v>
      </c>
      <c r="J114" s="6"/>
      <c r="K114" s="6" t="s">
        <v>86</v>
      </c>
      <c r="L114" s="6" t="s">
        <v>87</v>
      </c>
      <c r="M114" s="6" t="s">
        <v>94</v>
      </c>
      <c r="N114" s="6" t="s">
        <v>89</v>
      </c>
    </row>
    <row r="115" customFormat="false" ht="26.85" hidden="false" customHeight="false" outlineLevel="0" collapsed="false">
      <c r="A115" s="6" t="s">
        <v>475</v>
      </c>
      <c r="B115" s="6" t="s">
        <v>473</v>
      </c>
      <c r="C115" s="6" t="s">
        <v>81</v>
      </c>
      <c r="D115" s="7" t="s">
        <v>476</v>
      </c>
      <c r="E115" s="6" t="s">
        <v>101</v>
      </c>
      <c r="F115" s="7" t="s">
        <v>477</v>
      </c>
      <c r="G115" s="7" t="s">
        <v>85</v>
      </c>
      <c r="H115" s="6" t="n">
        <v>0.08</v>
      </c>
      <c r="I115" s="8" t="n">
        <v>8</v>
      </c>
      <c r="J115" s="6"/>
      <c r="K115" s="6" t="s">
        <v>86</v>
      </c>
      <c r="L115" s="6" t="s">
        <v>87</v>
      </c>
      <c r="M115" s="6" t="s">
        <v>94</v>
      </c>
      <c r="N115" s="6" t="s">
        <v>89</v>
      </c>
    </row>
    <row r="116" customFormat="false" ht="15" hidden="false" customHeight="false" outlineLevel="0" collapsed="false">
      <c r="A116" s="6" t="s">
        <v>478</v>
      </c>
      <c r="B116" s="6" t="s">
        <v>473</v>
      </c>
      <c r="C116" s="6" t="s">
        <v>81</v>
      </c>
      <c r="D116" s="7" t="s">
        <v>479</v>
      </c>
      <c r="E116" s="6" t="s">
        <v>480</v>
      </c>
      <c r="F116" s="7" t="s">
        <v>481</v>
      </c>
      <c r="G116" s="7" t="s">
        <v>482</v>
      </c>
      <c r="H116" s="6" t="n">
        <v>0.0667</v>
      </c>
      <c r="I116" s="8" t="n">
        <v>8</v>
      </c>
      <c r="J116" s="6"/>
      <c r="K116" s="6" t="s">
        <v>86</v>
      </c>
      <c r="L116" s="6" t="s">
        <v>87</v>
      </c>
      <c r="M116" s="6" t="s">
        <v>88</v>
      </c>
      <c r="N116" s="6" t="s">
        <v>89</v>
      </c>
    </row>
    <row r="117" customFormat="false" ht="15" hidden="false" customHeight="false" outlineLevel="0" collapsed="false">
      <c r="A117" s="6" t="s">
        <v>483</v>
      </c>
      <c r="B117" s="6" t="s">
        <v>473</v>
      </c>
      <c r="C117" s="6" t="s">
        <v>81</v>
      </c>
      <c r="D117" s="7" t="s">
        <v>484</v>
      </c>
      <c r="E117" s="6" t="s">
        <v>485</v>
      </c>
      <c r="F117" s="7" t="s">
        <v>486</v>
      </c>
      <c r="G117" s="7" t="s">
        <v>487</v>
      </c>
      <c r="H117" s="6" t="n">
        <v>0.0533</v>
      </c>
      <c r="I117" s="8" t="n">
        <v>10</v>
      </c>
      <c r="J117" s="6"/>
      <c r="K117" s="6" t="s">
        <v>86</v>
      </c>
      <c r="L117" s="6" t="s">
        <v>87</v>
      </c>
      <c r="M117" s="6" t="s">
        <v>279</v>
      </c>
      <c r="N117" s="6" t="s">
        <v>89</v>
      </c>
    </row>
    <row r="118" customFormat="false" ht="15" hidden="false" customHeight="false" outlineLevel="0" collapsed="false">
      <c r="A118" s="6" t="s">
        <v>488</v>
      </c>
      <c r="B118" s="6" t="s">
        <v>473</v>
      </c>
      <c r="C118" s="6" t="s">
        <v>108</v>
      </c>
      <c r="D118" s="7" t="s">
        <v>489</v>
      </c>
      <c r="E118" s="6" t="s">
        <v>485</v>
      </c>
      <c r="F118" s="7" t="s">
        <v>253</v>
      </c>
      <c r="G118" s="7" t="s">
        <v>85</v>
      </c>
      <c r="H118" s="6" t="n">
        <v>0.1646</v>
      </c>
      <c r="I118" s="8" t="n">
        <v>8</v>
      </c>
      <c r="J118" s="6"/>
      <c r="K118" s="6" t="s">
        <v>86</v>
      </c>
      <c r="L118" s="6" t="s">
        <v>112</v>
      </c>
      <c r="M118" s="6" t="s">
        <v>88</v>
      </c>
      <c r="N118" s="6" t="s">
        <v>89</v>
      </c>
    </row>
    <row r="119" customFormat="false" ht="15" hidden="false" customHeight="false" outlineLevel="0" collapsed="false">
      <c r="A119" s="6" t="s">
        <v>490</v>
      </c>
      <c r="B119" s="6" t="s">
        <v>473</v>
      </c>
      <c r="C119" s="6" t="s">
        <v>108</v>
      </c>
      <c r="D119" s="7" t="s">
        <v>491</v>
      </c>
      <c r="E119" s="6" t="s">
        <v>485</v>
      </c>
      <c r="F119" s="7" t="s">
        <v>492</v>
      </c>
      <c r="G119" s="6" t="s">
        <v>493</v>
      </c>
      <c r="H119" s="6" t="n">
        <v>0.1098</v>
      </c>
      <c r="I119" s="8" t="n">
        <v>6</v>
      </c>
      <c r="J119" s="6"/>
      <c r="K119" s="6" t="s">
        <v>86</v>
      </c>
      <c r="L119" s="6" t="s">
        <v>112</v>
      </c>
      <c r="M119" s="6" t="s">
        <v>88</v>
      </c>
      <c r="N119" s="6" t="s">
        <v>89</v>
      </c>
    </row>
    <row r="120" customFormat="false" ht="15" hidden="false" customHeight="false" outlineLevel="0" collapsed="false">
      <c r="A120" s="6" t="s">
        <v>494</v>
      </c>
      <c r="B120" s="6" t="s">
        <v>473</v>
      </c>
      <c r="C120" s="6" t="s">
        <v>108</v>
      </c>
      <c r="D120" s="7" t="s">
        <v>495</v>
      </c>
      <c r="E120" s="6" t="s">
        <v>485</v>
      </c>
      <c r="F120" s="7" t="s">
        <v>496</v>
      </c>
      <c r="G120" s="6" t="s">
        <v>493</v>
      </c>
      <c r="H120" s="6" t="n">
        <v>0.0878</v>
      </c>
      <c r="I120" s="8" t="n">
        <v>8</v>
      </c>
      <c r="J120" s="6"/>
      <c r="K120" s="6" t="s">
        <v>86</v>
      </c>
      <c r="L120" s="6" t="s">
        <v>112</v>
      </c>
      <c r="M120" s="6" t="s">
        <v>88</v>
      </c>
      <c r="N120" s="6" t="s">
        <v>89</v>
      </c>
    </row>
    <row r="121" customFormat="false" ht="15" hidden="false" customHeight="false" outlineLevel="0" collapsed="false">
      <c r="A121" s="6" t="s">
        <v>497</v>
      </c>
      <c r="B121" s="6" t="s">
        <v>473</v>
      </c>
      <c r="C121" s="6" t="s">
        <v>108</v>
      </c>
      <c r="D121" s="7" t="s">
        <v>498</v>
      </c>
      <c r="E121" s="6" t="s">
        <v>485</v>
      </c>
      <c r="F121" s="7" t="s">
        <v>162</v>
      </c>
      <c r="G121" s="7" t="s">
        <v>163</v>
      </c>
      <c r="H121" s="6" t="n">
        <v>0.0878</v>
      </c>
      <c r="I121" s="8" t="n">
        <v>6</v>
      </c>
      <c r="J121" s="6"/>
      <c r="K121" s="6" t="s">
        <v>86</v>
      </c>
      <c r="L121" s="6" t="s">
        <v>112</v>
      </c>
      <c r="M121" s="6" t="s">
        <v>88</v>
      </c>
      <c r="N121" s="6" t="s">
        <v>89</v>
      </c>
    </row>
    <row r="122" customFormat="false" ht="15" hidden="false" customHeight="false" outlineLevel="0" collapsed="false">
      <c r="A122" s="6" t="s">
        <v>499</v>
      </c>
      <c r="B122" s="6" t="s">
        <v>473</v>
      </c>
      <c r="C122" s="6" t="s">
        <v>125</v>
      </c>
      <c r="D122" s="7" t="s">
        <v>500</v>
      </c>
      <c r="E122" s="6" t="s">
        <v>127</v>
      </c>
      <c r="F122" s="7" t="s">
        <v>335</v>
      </c>
      <c r="G122" s="7" t="s">
        <v>129</v>
      </c>
      <c r="H122" s="6" t="n">
        <v>0.1</v>
      </c>
      <c r="I122" s="8" t="n">
        <v>8</v>
      </c>
      <c r="J122" s="6"/>
      <c r="K122" s="6" t="s">
        <v>86</v>
      </c>
      <c r="L122" s="6" t="s">
        <v>130</v>
      </c>
      <c r="M122" s="6" t="s">
        <v>131</v>
      </c>
      <c r="N122" s="6" t="s">
        <v>89</v>
      </c>
    </row>
    <row r="123" customFormat="false" ht="15" hidden="false" customHeight="false" outlineLevel="0" collapsed="false">
      <c r="A123" s="6" t="s">
        <v>501</v>
      </c>
      <c r="B123" s="6" t="s">
        <v>473</v>
      </c>
      <c r="C123" s="6" t="s">
        <v>125</v>
      </c>
      <c r="D123" s="7" t="s">
        <v>502</v>
      </c>
      <c r="E123" s="6" t="s">
        <v>127</v>
      </c>
      <c r="F123" s="7" t="s">
        <v>503</v>
      </c>
      <c r="G123" s="7" t="s">
        <v>129</v>
      </c>
      <c r="H123" s="6" t="n">
        <v>0.08</v>
      </c>
      <c r="I123" s="8" t="n">
        <v>8</v>
      </c>
      <c r="J123" s="6"/>
      <c r="K123" s="6" t="s">
        <v>86</v>
      </c>
      <c r="L123" s="6" t="s">
        <v>130</v>
      </c>
      <c r="M123" s="6" t="s">
        <v>168</v>
      </c>
      <c r="N123" s="6" t="s">
        <v>89</v>
      </c>
    </row>
    <row r="124" customFormat="false" ht="15" hidden="false" customHeight="false" outlineLevel="0" collapsed="false">
      <c r="A124" s="6" t="s">
        <v>504</v>
      </c>
      <c r="B124" s="6" t="s">
        <v>473</v>
      </c>
      <c r="C124" s="6" t="s">
        <v>125</v>
      </c>
      <c r="D124" s="7" t="s">
        <v>505</v>
      </c>
      <c r="E124" s="6" t="s">
        <v>105</v>
      </c>
      <c r="F124" s="7" t="s">
        <v>240</v>
      </c>
      <c r="G124" s="7" t="s">
        <v>85</v>
      </c>
      <c r="H124" s="6" t="n">
        <v>0.07</v>
      </c>
      <c r="I124" s="8" t="n">
        <v>8</v>
      </c>
      <c r="J124" s="6"/>
      <c r="K124" s="6" t="s">
        <v>86</v>
      </c>
      <c r="L124" s="6" t="s">
        <v>130</v>
      </c>
      <c r="M124" s="6" t="s">
        <v>88</v>
      </c>
      <c r="N124" s="6" t="s">
        <v>89</v>
      </c>
    </row>
    <row r="125" customFormat="false" ht="15" hidden="false" customHeight="false" outlineLevel="0" collapsed="false">
      <c r="A125" s="6" t="s">
        <v>506</v>
      </c>
      <c r="B125" s="6" t="s">
        <v>507</v>
      </c>
      <c r="C125" s="6" t="s">
        <v>81</v>
      </c>
      <c r="D125" s="7" t="s">
        <v>508</v>
      </c>
      <c r="E125" s="6" t="s">
        <v>509</v>
      </c>
      <c r="F125" s="7" t="s">
        <v>510</v>
      </c>
      <c r="G125" s="6" t="s">
        <v>120</v>
      </c>
      <c r="H125" s="6" t="n">
        <v>0.1333</v>
      </c>
      <c r="I125" s="8" t="n">
        <v>8</v>
      </c>
      <c r="J125" s="6"/>
      <c r="K125" s="6" t="s">
        <v>86</v>
      </c>
      <c r="L125" s="6" t="s">
        <v>87</v>
      </c>
      <c r="M125" s="6" t="s">
        <v>88</v>
      </c>
      <c r="N125" s="6" t="s">
        <v>89</v>
      </c>
    </row>
    <row r="126" customFormat="false" ht="15" hidden="false" customHeight="false" outlineLevel="0" collapsed="false">
      <c r="A126" s="6" t="s">
        <v>511</v>
      </c>
      <c r="B126" s="6" t="s">
        <v>507</v>
      </c>
      <c r="C126" s="6" t="s">
        <v>81</v>
      </c>
      <c r="D126" s="7" t="s">
        <v>512</v>
      </c>
      <c r="E126" s="6" t="s">
        <v>509</v>
      </c>
      <c r="F126" s="7" t="s">
        <v>513</v>
      </c>
      <c r="G126" s="6" t="s">
        <v>120</v>
      </c>
      <c r="H126" s="6" t="n">
        <v>0.0889</v>
      </c>
      <c r="I126" s="8" t="n">
        <v>8</v>
      </c>
      <c r="J126" s="6"/>
      <c r="K126" s="6" t="s">
        <v>86</v>
      </c>
      <c r="L126" s="6" t="s">
        <v>87</v>
      </c>
      <c r="M126" s="6" t="s">
        <v>88</v>
      </c>
      <c r="N126" s="6" t="s">
        <v>89</v>
      </c>
    </row>
    <row r="127" customFormat="false" ht="15" hidden="false" customHeight="false" outlineLevel="0" collapsed="false">
      <c r="A127" s="6" t="s">
        <v>514</v>
      </c>
      <c r="B127" s="6" t="s">
        <v>507</v>
      </c>
      <c r="C127" s="6" t="s">
        <v>81</v>
      </c>
      <c r="D127" s="7" t="s">
        <v>515</v>
      </c>
      <c r="E127" s="6" t="s">
        <v>516</v>
      </c>
      <c r="F127" s="7" t="s">
        <v>517</v>
      </c>
      <c r="G127" s="6" t="s">
        <v>120</v>
      </c>
      <c r="H127" s="6" t="n">
        <v>0.1067</v>
      </c>
      <c r="I127" s="8" t="n">
        <v>8</v>
      </c>
      <c r="J127" s="6"/>
      <c r="K127" s="6" t="s">
        <v>86</v>
      </c>
      <c r="L127" s="6" t="s">
        <v>87</v>
      </c>
      <c r="M127" s="6" t="s">
        <v>88</v>
      </c>
      <c r="N127" s="6" t="s">
        <v>89</v>
      </c>
    </row>
    <row r="128" customFormat="false" ht="26.85" hidden="false" customHeight="false" outlineLevel="0" collapsed="false">
      <c r="A128" s="6" t="s">
        <v>518</v>
      </c>
      <c r="B128" s="6" t="s">
        <v>507</v>
      </c>
      <c r="C128" s="6" t="s">
        <v>81</v>
      </c>
      <c r="D128" s="7" t="s">
        <v>519</v>
      </c>
      <c r="E128" s="7" t="s">
        <v>520</v>
      </c>
      <c r="F128" s="7" t="s">
        <v>312</v>
      </c>
      <c r="G128" s="7" t="s">
        <v>85</v>
      </c>
      <c r="H128" s="6" t="n">
        <v>0.0711</v>
      </c>
      <c r="I128" s="8" t="n">
        <v>8</v>
      </c>
      <c r="J128" s="6"/>
      <c r="K128" s="6" t="s">
        <v>86</v>
      </c>
      <c r="L128" s="6" t="s">
        <v>87</v>
      </c>
      <c r="M128" s="6" t="s">
        <v>94</v>
      </c>
      <c r="N128" s="6" t="s">
        <v>89</v>
      </c>
    </row>
    <row r="129" customFormat="false" ht="15" hidden="false" customHeight="false" outlineLevel="0" collapsed="false">
      <c r="A129" s="6" t="s">
        <v>521</v>
      </c>
      <c r="B129" s="6" t="s">
        <v>507</v>
      </c>
      <c r="C129" s="6" t="s">
        <v>108</v>
      </c>
      <c r="D129" s="7" t="s">
        <v>522</v>
      </c>
      <c r="E129" s="6" t="s">
        <v>523</v>
      </c>
      <c r="F129" s="7" t="s">
        <v>524</v>
      </c>
      <c r="G129" s="7" t="s">
        <v>85</v>
      </c>
      <c r="H129" s="6" t="n">
        <v>0.12</v>
      </c>
      <c r="I129" s="8" t="n">
        <v>8</v>
      </c>
      <c r="J129" s="6"/>
      <c r="K129" s="6" t="s">
        <v>86</v>
      </c>
      <c r="L129" s="6" t="s">
        <v>112</v>
      </c>
      <c r="M129" s="6" t="s">
        <v>213</v>
      </c>
      <c r="N129" s="6" t="s">
        <v>89</v>
      </c>
    </row>
    <row r="130" customFormat="false" ht="15" hidden="false" customHeight="false" outlineLevel="0" collapsed="false">
      <c r="A130" s="6" t="s">
        <v>525</v>
      </c>
      <c r="B130" s="6" t="s">
        <v>507</v>
      </c>
      <c r="C130" s="6" t="s">
        <v>108</v>
      </c>
      <c r="D130" s="7" t="s">
        <v>526</v>
      </c>
      <c r="E130" s="6" t="s">
        <v>527</v>
      </c>
      <c r="F130" s="7" t="s">
        <v>528</v>
      </c>
      <c r="G130" s="7" t="s">
        <v>85</v>
      </c>
      <c r="H130" s="6" t="n">
        <v>0.12</v>
      </c>
      <c r="I130" s="8" t="n">
        <v>8</v>
      </c>
      <c r="J130" s="6"/>
      <c r="K130" s="6" t="s">
        <v>86</v>
      </c>
      <c r="L130" s="6" t="s">
        <v>112</v>
      </c>
      <c r="M130" s="6" t="s">
        <v>213</v>
      </c>
      <c r="N130" s="6" t="s">
        <v>89</v>
      </c>
    </row>
    <row r="131" customFormat="false" ht="15" hidden="false" customHeight="false" outlineLevel="0" collapsed="false">
      <c r="A131" s="6" t="s">
        <v>529</v>
      </c>
      <c r="B131" s="6" t="s">
        <v>507</v>
      </c>
      <c r="C131" s="6" t="s">
        <v>108</v>
      </c>
      <c r="D131" s="7" t="s">
        <v>530</v>
      </c>
      <c r="E131" s="6" t="s">
        <v>531</v>
      </c>
      <c r="F131" s="7" t="s">
        <v>532</v>
      </c>
      <c r="G131" s="7" t="s">
        <v>85</v>
      </c>
      <c r="H131" s="6" t="n">
        <v>0.08</v>
      </c>
      <c r="I131" s="8" t="n">
        <v>6</v>
      </c>
      <c r="J131" s="6"/>
      <c r="K131" s="6" t="s">
        <v>86</v>
      </c>
      <c r="L131" s="6" t="s">
        <v>112</v>
      </c>
      <c r="M131" s="6" t="s">
        <v>213</v>
      </c>
      <c r="N131" s="6" t="s">
        <v>89</v>
      </c>
    </row>
    <row r="132" customFormat="false" ht="15" hidden="false" customHeight="false" outlineLevel="0" collapsed="false">
      <c r="A132" s="6" t="s">
        <v>533</v>
      </c>
      <c r="B132" s="6" t="s">
        <v>507</v>
      </c>
      <c r="C132" s="6" t="s">
        <v>108</v>
      </c>
      <c r="D132" s="7" t="s">
        <v>534</v>
      </c>
      <c r="E132" s="6" t="s">
        <v>535</v>
      </c>
      <c r="F132" s="7" t="s">
        <v>270</v>
      </c>
      <c r="G132" s="7" t="s">
        <v>85</v>
      </c>
      <c r="H132" s="6" t="n">
        <v>0.08</v>
      </c>
      <c r="I132" s="8" t="n">
        <v>10</v>
      </c>
      <c r="J132" s="6"/>
      <c r="K132" s="6" t="s">
        <v>86</v>
      </c>
      <c r="L132" s="6" t="s">
        <v>112</v>
      </c>
      <c r="M132" s="6" t="s">
        <v>213</v>
      </c>
      <c r="N132" s="6" t="s">
        <v>89</v>
      </c>
    </row>
    <row r="133" customFormat="false" ht="15" hidden="false" customHeight="false" outlineLevel="0" collapsed="false">
      <c r="A133" s="6" t="s">
        <v>536</v>
      </c>
      <c r="B133" s="6" t="s">
        <v>507</v>
      </c>
      <c r="C133" s="6" t="s">
        <v>125</v>
      </c>
      <c r="D133" s="7" t="s">
        <v>537</v>
      </c>
      <c r="E133" s="6" t="s">
        <v>127</v>
      </c>
      <c r="F133" s="7" t="s">
        <v>538</v>
      </c>
      <c r="G133" s="6" t="s">
        <v>217</v>
      </c>
      <c r="H133" s="6" t="n">
        <v>0.08</v>
      </c>
      <c r="I133" s="8" t="n">
        <v>8</v>
      </c>
      <c r="J133" s="6"/>
      <c r="K133" s="6" t="s">
        <v>86</v>
      </c>
      <c r="L133" s="6" t="s">
        <v>130</v>
      </c>
      <c r="M133" s="6" t="s">
        <v>131</v>
      </c>
      <c r="N133" s="6" t="s">
        <v>89</v>
      </c>
    </row>
    <row r="134" customFormat="false" ht="15" hidden="false" customHeight="false" outlineLevel="0" collapsed="false">
      <c r="A134" s="6" t="s">
        <v>539</v>
      </c>
      <c r="B134" s="6" t="s">
        <v>507</v>
      </c>
      <c r="C134" s="6" t="s">
        <v>125</v>
      </c>
      <c r="D134" s="7" t="s">
        <v>540</v>
      </c>
      <c r="E134" s="6" t="s">
        <v>127</v>
      </c>
      <c r="F134" s="7" t="s">
        <v>283</v>
      </c>
      <c r="G134" s="7" t="s">
        <v>129</v>
      </c>
      <c r="H134" s="6" t="n">
        <v>0.064</v>
      </c>
      <c r="I134" s="8" t="n">
        <v>8</v>
      </c>
      <c r="J134" s="6"/>
      <c r="K134" s="6" t="s">
        <v>86</v>
      </c>
      <c r="L134" s="6" t="s">
        <v>130</v>
      </c>
      <c r="M134" s="6" t="s">
        <v>168</v>
      </c>
      <c r="N134" s="6" t="s">
        <v>89</v>
      </c>
    </row>
    <row r="135" customFormat="false" ht="15" hidden="false" customHeight="false" outlineLevel="0" collapsed="false">
      <c r="A135" s="6" t="s">
        <v>541</v>
      </c>
      <c r="B135" s="6" t="s">
        <v>507</v>
      </c>
      <c r="C135" s="6" t="s">
        <v>125</v>
      </c>
      <c r="D135" s="7" t="s">
        <v>542</v>
      </c>
      <c r="E135" s="6" t="s">
        <v>105</v>
      </c>
      <c r="F135" s="7" t="s">
        <v>177</v>
      </c>
      <c r="G135" s="7" t="s">
        <v>85</v>
      </c>
      <c r="H135" s="6" t="n">
        <v>0.056</v>
      </c>
      <c r="I135" s="8" t="n">
        <v>8</v>
      </c>
      <c r="J135" s="6"/>
      <c r="K135" s="6" t="s">
        <v>86</v>
      </c>
      <c r="L135" s="6" t="s">
        <v>130</v>
      </c>
      <c r="M135" s="6" t="s">
        <v>88</v>
      </c>
      <c r="N135" s="6" t="s">
        <v>89</v>
      </c>
    </row>
    <row r="136" customFormat="false" ht="15" hidden="false" customHeight="false" outlineLevel="0" collapsed="false">
      <c r="A136" s="6" t="s">
        <v>543</v>
      </c>
      <c r="B136" s="6" t="s">
        <v>544</v>
      </c>
      <c r="C136" s="6" t="s">
        <v>81</v>
      </c>
      <c r="D136" s="7" t="s">
        <v>545</v>
      </c>
      <c r="E136" s="6" t="s">
        <v>546</v>
      </c>
      <c r="F136" s="7" t="s">
        <v>547</v>
      </c>
      <c r="G136" s="7" t="s">
        <v>85</v>
      </c>
      <c r="H136" s="6" t="n">
        <v>0.1667</v>
      </c>
      <c r="I136" s="8" t="n">
        <v>4</v>
      </c>
      <c r="J136" s="6"/>
      <c r="K136" s="6" t="s">
        <v>86</v>
      </c>
      <c r="L136" s="6" t="s">
        <v>87</v>
      </c>
      <c r="M136" s="6" t="s">
        <v>88</v>
      </c>
      <c r="N136" s="6" t="s">
        <v>89</v>
      </c>
    </row>
    <row r="137" customFormat="false" ht="15" hidden="false" customHeight="false" outlineLevel="0" collapsed="false">
      <c r="A137" s="6" t="s">
        <v>548</v>
      </c>
      <c r="B137" s="6" t="s">
        <v>544</v>
      </c>
      <c r="C137" s="6" t="s">
        <v>81</v>
      </c>
      <c r="D137" s="7" t="s">
        <v>549</v>
      </c>
      <c r="E137" s="6" t="s">
        <v>546</v>
      </c>
      <c r="F137" s="7" t="s">
        <v>550</v>
      </c>
      <c r="G137" s="7" t="s">
        <v>85</v>
      </c>
      <c r="H137" s="6" t="n">
        <v>0.1333</v>
      </c>
      <c r="I137" s="8" t="n">
        <v>4</v>
      </c>
      <c r="J137" s="6"/>
      <c r="K137" s="6" t="s">
        <v>86</v>
      </c>
      <c r="L137" s="6" t="s">
        <v>87</v>
      </c>
      <c r="M137" s="6" t="s">
        <v>88</v>
      </c>
      <c r="N137" s="6" t="s">
        <v>89</v>
      </c>
    </row>
    <row r="138" customFormat="false" ht="26.85" hidden="false" customHeight="false" outlineLevel="0" collapsed="false">
      <c r="A138" s="6" t="s">
        <v>551</v>
      </c>
      <c r="B138" s="6" t="s">
        <v>544</v>
      </c>
      <c r="C138" s="6" t="s">
        <v>81</v>
      </c>
      <c r="D138" s="7" t="s">
        <v>552</v>
      </c>
      <c r="E138" s="6" t="s">
        <v>553</v>
      </c>
      <c r="F138" s="7" t="s">
        <v>554</v>
      </c>
      <c r="G138" s="7" t="s">
        <v>129</v>
      </c>
      <c r="H138" s="6" t="n">
        <v>0.1111</v>
      </c>
      <c r="I138" s="8" t="n">
        <v>8</v>
      </c>
      <c r="J138" s="6"/>
      <c r="K138" s="6" t="s">
        <v>86</v>
      </c>
      <c r="L138" s="6" t="s">
        <v>87</v>
      </c>
      <c r="M138" s="6" t="s">
        <v>94</v>
      </c>
      <c r="N138" s="6" t="s">
        <v>89</v>
      </c>
    </row>
    <row r="139" customFormat="false" ht="15" hidden="false" customHeight="false" outlineLevel="0" collapsed="false">
      <c r="A139" s="6" t="s">
        <v>555</v>
      </c>
      <c r="B139" s="6" t="s">
        <v>544</v>
      </c>
      <c r="C139" s="6" t="s">
        <v>81</v>
      </c>
      <c r="D139" s="7" t="s">
        <v>556</v>
      </c>
      <c r="E139" s="6" t="s">
        <v>557</v>
      </c>
      <c r="F139" s="7" t="s">
        <v>558</v>
      </c>
      <c r="G139" s="7" t="s">
        <v>85</v>
      </c>
      <c r="H139" s="6" t="n">
        <v>0.0889</v>
      </c>
      <c r="I139" s="8" t="n">
        <v>4</v>
      </c>
      <c r="J139" s="6"/>
      <c r="K139" s="6" t="s">
        <v>86</v>
      </c>
      <c r="L139" s="6" t="s">
        <v>87</v>
      </c>
      <c r="M139" s="6" t="s">
        <v>88</v>
      </c>
      <c r="N139" s="6" t="s">
        <v>89</v>
      </c>
    </row>
    <row r="140" customFormat="false" ht="15" hidden="false" customHeight="false" outlineLevel="0" collapsed="false">
      <c r="A140" s="6" t="s">
        <v>559</v>
      </c>
      <c r="B140" s="6" t="s">
        <v>544</v>
      </c>
      <c r="C140" s="6" t="s">
        <v>108</v>
      </c>
      <c r="D140" s="7" t="s">
        <v>560</v>
      </c>
      <c r="E140" s="6" t="s">
        <v>105</v>
      </c>
      <c r="F140" s="7" t="s">
        <v>312</v>
      </c>
      <c r="G140" s="7" t="s">
        <v>85</v>
      </c>
      <c r="H140" s="6" t="n">
        <v>0.1167</v>
      </c>
      <c r="I140" s="8" t="n">
        <v>4</v>
      </c>
      <c r="J140" s="6"/>
      <c r="K140" s="6" t="s">
        <v>86</v>
      </c>
      <c r="L140" s="6" t="s">
        <v>112</v>
      </c>
      <c r="M140" s="6" t="s">
        <v>88</v>
      </c>
      <c r="N140" s="6" t="s">
        <v>89</v>
      </c>
    </row>
    <row r="141" customFormat="false" ht="26.85" hidden="false" customHeight="false" outlineLevel="0" collapsed="false">
      <c r="A141" s="6" t="s">
        <v>561</v>
      </c>
      <c r="B141" s="6" t="s">
        <v>544</v>
      </c>
      <c r="C141" s="6" t="s">
        <v>108</v>
      </c>
      <c r="D141" s="7" t="s">
        <v>562</v>
      </c>
      <c r="E141" s="6" t="s">
        <v>105</v>
      </c>
      <c r="F141" s="7" t="s">
        <v>563</v>
      </c>
      <c r="G141" s="7" t="s">
        <v>198</v>
      </c>
      <c r="H141" s="6" t="n">
        <v>0.0933</v>
      </c>
      <c r="I141" s="8" t="n">
        <v>4</v>
      </c>
      <c r="J141" s="6"/>
      <c r="K141" s="6" t="s">
        <v>86</v>
      </c>
      <c r="L141" s="6" t="s">
        <v>112</v>
      </c>
      <c r="M141" s="6" t="s">
        <v>94</v>
      </c>
      <c r="N141" s="6" t="s">
        <v>89</v>
      </c>
    </row>
    <row r="142" customFormat="false" ht="15" hidden="false" customHeight="false" outlineLevel="0" collapsed="false">
      <c r="A142" s="6" t="s">
        <v>564</v>
      </c>
      <c r="B142" s="6" t="s">
        <v>544</v>
      </c>
      <c r="C142" s="6" t="s">
        <v>108</v>
      </c>
      <c r="D142" s="7" t="s">
        <v>565</v>
      </c>
      <c r="E142" s="6" t="s">
        <v>566</v>
      </c>
      <c r="F142" s="7" t="s">
        <v>177</v>
      </c>
      <c r="G142" s="7" t="s">
        <v>198</v>
      </c>
      <c r="H142" s="6" t="n">
        <v>0.0622</v>
      </c>
      <c r="I142" s="8" t="n">
        <v>4</v>
      </c>
      <c r="J142" s="6"/>
      <c r="K142" s="6" t="s">
        <v>86</v>
      </c>
      <c r="L142" s="6" t="s">
        <v>112</v>
      </c>
      <c r="M142" s="6" t="s">
        <v>168</v>
      </c>
      <c r="N142" s="6" t="s">
        <v>89</v>
      </c>
    </row>
    <row r="143" customFormat="false" ht="15" hidden="false" customHeight="false" outlineLevel="0" collapsed="false">
      <c r="A143" s="6" t="s">
        <v>567</v>
      </c>
      <c r="B143" s="6" t="s">
        <v>544</v>
      </c>
      <c r="C143" s="6" t="s">
        <v>108</v>
      </c>
      <c r="D143" s="7" t="s">
        <v>568</v>
      </c>
      <c r="E143" s="6" t="s">
        <v>105</v>
      </c>
      <c r="F143" s="7" t="s">
        <v>569</v>
      </c>
      <c r="G143" s="7" t="s">
        <v>85</v>
      </c>
      <c r="H143" s="6" t="n">
        <v>0.0778</v>
      </c>
      <c r="I143" s="8" t="n">
        <v>4</v>
      </c>
      <c r="J143" s="6"/>
      <c r="K143" s="6" t="s">
        <v>86</v>
      </c>
      <c r="L143" s="6" t="s">
        <v>112</v>
      </c>
      <c r="M143" s="6" t="s">
        <v>88</v>
      </c>
      <c r="N143" s="6" t="s">
        <v>89</v>
      </c>
    </row>
    <row r="144" customFormat="false" ht="15" hidden="false" customHeight="false" outlineLevel="0" collapsed="false">
      <c r="A144" s="6" t="s">
        <v>570</v>
      </c>
      <c r="B144" s="6" t="s">
        <v>544</v>
      </c>
      <c r="C144" s="6" t="s">
        <v>125</v>
      </c>
      <c r="D144" s="7" t="s">
        <v>571</v>
      </c>
      <c r="E144" s="6" t="s">
        <v>105</v>
      </c>
      <c r="F144" s="7" t="s">
        <v>228</v>
      </c>
      <c r="G144" s="7" t="s">
        <v>85</v>
      </c>
      <c r="H144" s="6" t="n">
        <v>0.06</v>
      </c>
      <c r="I144" s="8" t="n">
        <v>4</v>
      </c>
      <c r="J144" s="6"/>
      <c r="K144" s="6" t="s">
        <v>86</v>
      </c>
      <c r="L144" s="6" t="s">
        <v>130</v>
      </c>
      <c r="M144" s="6" t="s">
        <v>88</v>
      </c>
      <c r="N144" s="6" t="s">
        <v>89</v>
      </c>
    </row>
    <row r="145" customFormat="false" ht="15" hidden="false" customHeight="false" outlineLevel="0" collapsed="false">
      <c r="A145" s="6" t="s">
        <v>572</v>
      </c>
      <c r="B145" s="6" t="s">
        <v>544</v>
      </c>
      <c r="C145" s="6" t="s">
        <v>125</v>
      </c>
      <c r="D145" s="7" t="s">
        <v>573</v>
      </c>
      <c r="E145" s="6" t="s">
        <v>127</v>
      </c>
      <c r="F145" s="7" t="s">
        <v>574</v>
      </c>
      <c r="G145" s="6" t="s">
        <v>217</v>
      </c>
      <c r="H145" s="6" t="n">
        <v>0.048</v>
      </c>
      <c r="I145" s="8" t="n">
        <v>2</v>
      </c>
      <c r="J145" s="6"/>
      <c r="K145" s="6" t="s">
        <v>86</v>
      </c>
      <c r="L145" s="6" t="s">
        <v>130</v>
      </c>
      <c r="M145" s="6" t="s">
        <v>131</v>
      </c>
      <c r="N145" s="6" t="s">
        <v>89</v>
      </c>
    </row>
    <row r="146" customFormat="false" ht="15" hidden="false" customHeight="false" outlineLevel="0" collapsed="false">
      <c r="A146" s="6" t="s">
        <v>575</v>
      </c>
      <c r="B146" s="6" t="s">
        <v>544</v>
      </c>
      <c r="C146" s="6" t="s">
        <v>125</v>
      </c>
      <c r="D146" s="7" t="s">
        <v>576</v>
      </c>
      <c r="E146" s="6" t="s">
        <v>105</v>
      </c>
      <c r="F146" s="7" t="s">
        <v>577</v>
      </c>
      <c r="G146" s="7" t="s">
        <v>85</v>
      </c>
      <c r="H146" s="6" t="n">
        <v>0.042</v>
      </c>
      <c r="I146" s="8" t="n">
        <v>4</v>
      </c>
      <c r="J146" s="6"/>
      <c r="K146" s="6" t="s">
        <v>86</v>
      </c>
      <c r="L146" s="6" t="s">
        <v>130</v>
      </c>
      <c r="M146" s="6" t="s">
        <v>88</v>
      </c>
      <c r="N146" s="6" t="s">
        <v>89</v>
      </c>
    </row>
    <row r="147" customFormat="false" ht="15" hidden="false" customHeight="false" outlineLevel="0" collapsed="false">
      <c r="A147" s="6" t="s">
        <v>578</v>
      </c>
      <c r="B147" s="6" t="s">
        <v>579</v>
      </c>
      <c r="C147" s="6" t="s">
        <v>81</v>
      </c>
      <c r="D147" s="7" t="s">
        <v>580</v>
      </c>
      <c r="E147" s="6" t="s">
        <v>105</v>
      </c>
      <c r="F147" s="7" t="s">
        <v>354</v>
      </c>
      <c r="G147" s="7" t="s">
        <v>85</v>
      </c>
      <c r="H147" s="6" t="n">
        <v>0.1333</v>
      </c>
      <c r="I147" s="8" t="n">
        <v>6</v>
      </c>
      <c r="J147" s="6"/>
      <c r="K147" s="6" t="s">
        <v>86</v>
      </c>
      <c r="L147" s="6" t="s">
        <v>87</v>
      </c>
      <c r="M147" s="6" t="s">
        <v>213</v>
      </c>
      <c r="N147" s="6" t="s">
        <v>89</v>
      </c>
    </row>
    <row r="148" customFormat="false" ht="15" hidden="false" customHeight="false" outlineLevel="0" collapsed="false">
      <c r="A148" s="6" t="s">
        <v>581</v>
      </c>
      <c r="B148" s="6" t="s">
        <v>579</v>
      </c>
      <c r="C148" s="6" t="s">
        <v>81</v>
      </c>
      <c r="D148" s="7" t="s">
        <v>582</v>
      </c>
      <c r="E148" s="6" t="s">
        <v>105</v>
      </c>
      <c r="F148" s="7" t="s">
        <v>287</v>
      </c>
      <c r="G148" s="6" t="s">
        <v>120</v>
      </c>
      <c r="H148" s="6" t="n">
        <v>0.1067</v>
      </c>
      <c r="I148" s="8" t="n">
        <v>4</v>
      </c>
      <c r="J148" s="6"/>
      <c r="K148" s="6" t="s">
        <v>86</v>
      </c>
      <c r="L148" s="6" t="s">
        <v>87</v>
      </c>
      <c r="M148" s="6" t="s">
        <v>88</v>
      </c>
      <c r="N148" s="6" t="s">
        <v>89</v>
      </c>
    </row>
    <row r="149" customFormat="false" ht="15" hidden="false" customHeight="false" outlineLevel="0" collapsed="false">
      <c r="A149" s="6" t="s">
        <v>583</v>
      </c>
      <c r="B149" s="6" t="s">
        <v>579</v>
      </c>
      <c r="C149" s="6" t="s">
        <v>81</v>
      </c>
      <c r="D149" s="7" t="s">
        <v>584</v>
      </c>
      <c r="E149" s="6" t="s">
        <v>105</v>
      </c>
      <c r="F149" s="7" t="s">
        <v>585</v>
      </c>
      <c r="G149" s="7" t="s">
        <v>85</v>
      </c>
      <c r="H149" s="6" t="n">
        <v>0.0889</v>
      </c>
      <c r="I149" s="8" t="n">
        <v>6</v>
      </c>
      <c r="J149" s="6"/>
      <c r="K149" s="6" t="s">
        <v>86</v>
      </c>
      <c r="L149" s="6" t="s">
        <v>87</v>
      </c>
      <c r="M149" s="6" t="s">
        <v>213</v>
      </c>
      <c r="N149" s="6" t="s">
        <v>89</v>
      </c>
    </row>
    <row r="150" customFormat="false" ht="15" hidden="false" customHeight="false" outlineLevel="0" collapsed="false">
      <c r="A150" s="6" t="s">
        <v>586</v>
      </c>
      <c r="B150" s="6" t="s">
        <v>579</v>
      </c>
      <c r="C150" s="6" t="s">
        <v>81</v>
      </c>
      <c r="D150" s="7" t="s">
        <v>587</v>
      </c>
      <c r="E150" s="6" t="s">
        <v>588</v>
      </c>
      <c r="F150" s="7" t="s">
        <v>589</v>
      </c>
      <c r="G150" s="7" t="s">
        <v>129</v>
      </c>
      <c r="H150" s="6" t="n">
        <v>0.0711</v>
      </c>
      <c r="I150" s="8" t="n">
        <v>6</v>
      </c>
      <c r="J150" s="6"/>
      <c r="K150" s="6" t="s">
        <v>86</v>
      </c>
      <c r="L150" s="6" t="s">
        <v>87</v>
      </c>
      <c r="M150" s="6" t="s">
        <v>88</v>
      </c>
      <c r="N150" s="6" t="s">
        <v>89</v>
      </c>
    </row>
    <row r="151" customFormat="false" ht="15" hidden="false" customHeight="false" outlineLevel="0" collapsed="false">
      <c r="A151" s="6" t="s">
        <v>590</v>
      </c>
      <c r="B151" s="6" t="s">
        <v>579</v>
      </c>
      <c r="C151" s="6" t="s">
        <v>108</v>
      </c>
      <c r="D151" s="7" t="s">
        <v>591</v>
      </c>
      <c r="E151" s="6" t="s">
        <v>105</v>
      </c>
      <c r="F151" s="7" t="s">
        <v>171</v>
      </c>
      <c r="G151" s="7" t="s">
        <v>85</v>
      </c>
      <c r="H151" s="6" t="n">
        <v>0.12</v>
      </c>
      <c r="I151" s="8" t="n">
        <v>8</v>
      </c>
      <c r="J151" s="6"/>
      <c r="K151" s="6" t="s">
        <v>86</v>
      </c>
      <c r="L151" s="6" t="s">
        <v>112</v>
      </c>
      <c r="M151" s="6" t="s">
        <v>213</v>
      </c>
      <c r="N151" s="6" t="s">
        <v>89</v>
      </c>
    </row>
    <row r="152" customFormat="false" ht="15" hidden="false" customHeight="false" outlineLevel="0" collapsed="false">
      <c r="A152" s="6" t="s">
        <v>592</v>
      </c>
      <c r="B152" s="6" t="s">
        <v>579</v>
      </c>
      <c r="C152" s="6" t="s">
        <v>108</v>
      </c>
      <c r="D152" s="7" t="s">
        <v>593</v>
      </c>
      <c r="E152" s="6" t="s">
        <v>105</v>
      </c>
      <c r="F152" s="7" t="s">
        <v>594</v>
      </c>
      <c r="G152" s="7" t="s">
        <v>85</v>
      </c>
      <c r="H152" s="6" t="n">
        <v>0.1</v>
      </c>
      <c r="I152" s="8" t="n">
        <v>6</v>
      </c>
      <c r="J152" s="6"/>
      <c r="K152" s="6" t="s">
        <v>86</v>
      </c>
      <c r="L152" s="6" t="s">
        <v>112</v>
      </c>
      <c r="M152" s="6" t="s">
        <v>213</v>
      </c>
      <c r="N152" s="6" t="s">
        <v>89</v>
      </c>
    </row>
    <row r="153" customFormat="false" ht="15" hidden="false" customHeight="false" outlineLevel="0" collapsed="false">
      <c r="A153" s="6" t="s">
        <v>595</v>
      </c>
      <c r="B153" s="6" t="s">
        <v>579</v>
      </c>
      <c r="C153" s="6" t="s">
        <v>108</v>
      </c>
      <c r="D153" s="7" t="s">
        <v>596</v>
      </c>
      <c r="E153" s="6" t="s">
        <v>588</v>
      </c>
      <c r="F153" s="7" t="s">
        <v>180</v>
      </c>
      <c r="G153" s="7" t="s">
        <v>85</v>
      </c>
      <c r="H153" s="6" t="n">
        <v>0.1</v>
      </c>
      <c r="I153" s="8" t="n">
        <v>6</v>
      </c>
      <c r="J153" s="6"/>
      <c r="K153" s="6" t="s">
        <v>86</v>
      </c>
      <c r="L153" s="6" t="s">
        <v>112</v>
      </c>
      <c r="M153" s="6" t="s">
        <v>88</v>
      </c>
      <c r="N153" s="6" t="s">
        <v>89</v>
      </c>
    </row>
    <row r="154" customFormat="false" ht="15" hidden="false" customHeight="false" outlineLevel="0" collapsed="false">
      <c r="A154" s="6" t="s">
        <v>597</v>
      </c>
      <c r="B154" s="6" t="s">
        <v>579</v>
      </c>
      <c r="C154" s="6" t="s">
        <v>108</v>
      </c>
      <c r="D154" s="7" t="s">
        <v>534</v>
      </c>
      <c r="E154" s="6" t="s">
        <v>535</v>
      </c>
      <c r="F154" s="7" t="s">
        <v>270</v>
      </c>
      <c r="G154" s="7" t="s">
        <v>85</v>
      </c>
      <c r="H154" s="6" t="n">
        <v>0.08</v>
      </c>
      <c r="I154" s="8" t="n">
        <v>10</v>
      </c>
      <c r="J154" s="6"/>
      <c r="K154" s="6" t="s">
        <v>86</v>
      </c>
      <c r="L154" s="6" t="s">
        <v>112</v>
      </c>
      <c r="M154" s="6" t="s">
        <v>213</v>
      </c>
      <c r="N154" s="6" t="s">
        <v>89</v>
      </c>
    </row>
    <row r="155" customFormat="false" ht="15" hidden="false" customHeight="false" outlineLevel="0" collapsed="false">
      <c r="A155" s="6" t="s">
        <v>598</v>
      </c>
      <c r="B155" s="6" t="s">
        <v>579</v>
      </c>
      <c r="C155" s="6" t="s">
        <v>125</v>
      </c>
      <c r="D155" s="7" t="s">
        <v>599</v>
      </c>
      <c r="E155" s="6" t="s">
        <v>127</v>
      </c>
      <c r="F155" s="7" t="s">
        <v>600</v>
      </c>
      <c r="G155" s="7" t="s">
        <v>129</v>
      </c>
      <c r="H155" s="6" t="n">
        <v>0.08</v>
      </c>
      <c r="I155" s="8" t="n">
        <v>6</v>
      </c>
      <c r="J155" s="6"/>
      <c r="K155" s="6" t="s">
        <v>86</v>
      </c>
      <c r="L155" s="6" t="s">
        <v>130</v>
      </c>
      <c r="M155" s="6" t="s">
        <v>131</v>
      </c>
      <c r="N155" s="6" t="s">
        <v>89</v>
      </c>
    </row>
    <row r="156" customFormat="false" ht="15" hidden="false" customHeight="false" outlineLevel="0" collapsed="false">
      <c r="A156" s="6" t="s">
        <v>601</v>
      </c>
      <c r="B156" s="6" t="s">
        <v>579</v>
      </c>
      <c r="C156" s="6" t="s">
        <v>125</v>
      </c>
      <c r="D156" s="7" t="s">
        <v>602</v>
      </c>
      <c r="E156" s="6" t="s">
        <v>127</v>
      </c>
      <c r="F156" s="7" t="s">
        <v>449</v>
      </c>
      <c r="G156" s="6" t="s">
        <v>167</v>
      </c>
      <c r="H156" s="6" t="n">
        <v>0.064</v>
      </c>
      <c r="I156" s="8" t="n">
        <v>8</v>
      </c>
      <c r="J156" s="6"/>
      <c r="K156" s="6" t="s">
        <v>86</v>
      </c>
      <c r="L156" s="6" t="s">
        <v>130</v>
      </c>
      <c r="M156" s="6" t="s">
        <v>168</v>
      </c>
      <c r="N156" s="6" t="s">
        <v>89</v>
      </c>
    </row>
    <row r="157" customFormat="false" ht="15" hidden="false" customHeight="false" outlineLevel="0" collapsed="false">
      <c r="A157" s="6" t="s">
        <v>603</v>
      </c>
      <c r="B157" s="6" t="s">
        <v>579</v>
      </c>
      <c r="C157" s="6" t="s">
        <v>125</v>
      </c>
      <c r="D157" s="7" t="s">
        <v>604</v>
      </c>
      <c r="E157" s="6" t="s">
        <v>105</v>
      </c>
      <c r="F157" s="7" t="s">
        <v>605</v>
      </c>
      <c r="G157" s="7" t="s">
        <v>129</v>
      </c>
      <c r="H157" s="6" t="n">
        <v>0.056</v>
      </c>
      <c r="I157" s="8" t="n">
        <v>6</v>
      </c>
      <c r="J157" s="6"/>
      <c r="K157" s="6" t="s">
        <v>86</v>
      </c>
      <c r="L157" s="6" t="s">
        <v>130</v>
      </c>
      <c r="M157" s="6" t="s">
        <v>88</v>
      </c>
      <c r="N157" s="6" t="s">
        <v>89</v>
      </c>
    </row>
    <row r="158" customFormat="false" ht="15" hidden="false" customHeight="false" outlineLevel="0" collapsed="false">
      <c r="A158" s="6" t="s">
        <v>606</v>
      </c>
      <c r="B158" s="6" t="s">
        <v>607</v>
      </c>
      <c r="C158" s="6" t="s">
        <v>81</v>
      </c>
      <c r="D158" s="7" t="s">
        <v>608</v>
      </c>
      <c r="E158" s="6" t="s">
        <v>105</v>
      </c>
      <c r="F158" s="7" t="s">
        <v>585</v>
      </c>
      <c r="G158" s="7" t="s">
        <v>85</v>
      </c>
      <c r="H158" s="6" t="n">
        <v>0.1333</v>
      </c>
      <c r="I158" s="8" t="n">
        <v>6</v>
      </c>
      <c r="J158" s="6"/>
      <c r="K158" s="6" t="s">
        <v>86</v>
      </c>
      <c r="L158" s="6" t="s">
        <v>87</v>
      </c>
      <c r="M158" s="6" t="s">
        <v>213</v>
      </c>
      <c r="N158" s="6" t="s">
        <v>89</v>
      </c>
    </row>
    <row r="159" customFormat="false" ht="15" hidden="false" customHeight="false" outlineLevel="0" collapsed="false">
      <c r="A159" s="6" t="s">
        <v>609</v>
      </c>
      <c r="B159" s="6" t="s">
        <v>607</v>
      </c>
      <c r="C159" s="6" t="s">
        <v>81</v>
      </c>
      <c r="D159" s="7" t="s">
        <v>610</v>
      </c>
      <c r="E159" s="6" t="s">
        <v>611</v>
      </c>
      <c r="F159" s="7" t="s">
        <v>93</v>
      </c>
      <c r="G159" s="7" t="s">
        <v>85</v>
      </c>
      <c r="H159" s="6" t="n">
        <v>0.1067</v>
      </c>
      <c r="I159" s="8" t="n">
        <v>9</v>
      </c>
      <c r="J159" s="6"/>
      <c r="K159" s="6" t="s">
        <v>86</v>
      </c>
      <c r="L159" s="6" t="s">
        <v>87</v>
      </c>
      <c r="M159" s="6" t="s">
        <v>88</v>
      </c>
      <c r="N159" s="6" t="s">
        <v>89</v>
      </c>
    </row>
    <row r="160" customFormat="false" ht="15" hidden="false" customHeight="false" outlineLevel="0" collapsed="false">
      <c r="A160" s="6" t="s">
        <v>612</v>
      </c>
      <c r="B160" s="6" t="s">
        <v>607</v>
      </c>
      <c r="C160" s="6" t="s">
        <v>81</v>
      </c>
      <c r="D160" s="7" t="s">
        <v>613</v>
      </c>
      <c r="E160" s="6" t="s">
        <v>527</v>
      </c>
      <c r="F160" s="7" t="s">
        <v>194</v>
      </c>
      <c r="G160" s="7" t="s">
        <v>129</v>
      </c>
      <c r="H160" s="6" t="n">
        <v>0.0889</v>
      </c>
      <c r="I160" s="8" t="n">
        <v>6</v>
      </c>
      <c r="J160" s="6"/>
      <c r="K160" s="6" t="s">
        <v>86</v>
      </c>
      <c r="L160" s="6" t="s">
        <v>87</v>
      </c>
      <c r="M160" s="6" t="s">
        <v>88</v>
      </c>
      <c r="N160" s="6" t="s">
        <v>89</v>
      </c>
    </row>
    <row r="161" customFormat="false" ht="15" hidden="false" customHeight="false" outlineLevel="0" collapsed="false">
      <c r="A161" s="6" t="s">
        <v>614</v>
      </c>
      <c r="B161" s="6" t="s">
        <v>607</v>
      </c>
      <c r="C161" s="6" t="s">
        <v>81</v>
      </c>
      <c r="D161" s="7" t="s">
        <v>615</v>
      </c>
      <c r="E161" s="7" t="s">
        <v>616</v>
      </c>
      <c r="F161" s="7" t="s">
        <v>617</v>
      </c>
      <c r="G161" s="6" t="s">
        <v>618</v>
      </c>
      <c r="H161" s="6" t="n">
        <v>0.0711</v>
      </c>
      <c r="I161" s="8" t="n">
        <v>8</v>
      </c>
      <c r="J161" s="6"/>
      <c r="K161" s="6" t="s">
        <v>86</v>
      </c>
      <c r="L161" s="6" t="s">
        <v>87</v>
      </c>
      <c r="M161" s="6" t="s">
        <v>88</v>
      </c>
      <c r="N161" s="6" t="s">
        <v>89</v>
      </c>
    </row>
    <row r="162" customFormat="false" ht="15" hidden="false" customHeight="false" outlineLevel="0" collapsed="false">
      <c r="A162" s="6" t="s">
        <v>619</v>
      </c>
      <c r="B162" s="6" t="s">
        <v>607</v>
      </c>
      <c r="C162" s="6" t="s">
        <v>108</v>
      </c>
      <c r="D162" s="7" t="s">
        <v>620</v>
      </c>
      <c r="E162" s="6" t="s">
        <v>621</v>
      </c>
      <c r="F162" s="7" t="s">
        <v>270</v>
      </c>
      <c r="G162" s="7" t="s">
        <v>85</v>
      </c>
      <c r="H162" s="6" t="n">
        <v>0.1395</v>
      </c>
      <c r="I162" s="8" t="n">
        <v>8</v>
      </c>
      <c r="J162" s="6"/>
      <c r="K162" s="6" t="s">
        <v>86</v>
      </c>
      <c r="L162" s="6" t="s">
        <v>112</v>
      </c>
      <c r="M162" s="6" t="s">
        <v>88</v>
      </c>
      <c r="N162" s="6" t="s">
        <v>89</v>
      </c>
    </row>
    <row r="163" customFormat="false" ht="15" hidden="false" customHeight="false" outlineLevel="0" collapsed="false">
      <c r="A163" s="6" t="s">
        <v>622</v>
      </c>
      <c r="B163" s="6" t="s">
        <v>607</v>
      </c>
      <c r="C163" s="6" t="s">
        <v>108</v>
      </c>
      <c r="D163" s="7" t="s">
        <v>623</v>
      </c>
      <c r="E163" s="6" t="s">
        <v>621</v>
      </c>
      <c r="F163" s="7" t="s">
        <v>624</v>
      </c>
      <c r="G163" s="7" t="s">
        <v>85</v>
      </c>
      <c r="H163" s="6" t="n">
        <v>0.093</v>
      </c>
      <c r="I163" s="8" t="n">
        <v>8</v>
      </c>
      <c r="J163" s="6"/>
      <c r="K163" s="6" t="s">
        <v>86</v>
      </c>
      <c r="L163" s="6" t="s">
        <v>112</v>
      </c>
      <c r="M163" s="6" t="s">
        <v>213</v>
      </c>
      <c r="N163" s="6" t="s">
        <v>89</v>
      </c>
    </row>
    <row r="164" customFormat="false" ht="15" hidden="false" customHeight="false" outlineLevel="0" collapsed="false">
      <c r="A164" s="6" t="s">
        <v>625</v>
      </c>
      <c r="B164" s="6" t="s">
        <v>607</v>
      </c>
      <c r="C164" s="6" t="s">
        <v>108</v>
      </c>
      <c r="D164" s="7" t="s">
        <v>626</v>
      </c>
      <c r="E164" s="6" t="s">
        <v>105</v>
      </c>
      <c r="F164" s="7" t="s">
        <v>177</v>
      </c>
      <c r="G164" s="7" t="s">
        <v>85</v>
      </c>
      <c r="H164" s="6" t="n">
        <v>0.093</v>
      </c>
      <c r="I164" s="8" t="n">
        <v>8</v>
      </c>
      <c r="J164" s="6"/>
      <c r="K164" s="6" t="s">
        <v>86</v>
      </c>
      <c r="L164" s="6" t="s">
        <v>112</v>
      </c>
      <c r="M164" s="6" t="s">
        <v>213</v>
      </c>
      <c r="N164" s="6" t="s">
        <v>89</v>
      </c>
    </row>
    <row r="165" customFormat="false" ht="15" hidden="false" customHeight="false" outlineLevel="0" collapsed="false">
      <c r="A165" s="6" t="s">
        <v>627</v>
      </c>
      <c r="B165" s="6" t="s">
        <v>607</v>
      </c>
      <c r="C165" s="6" t="s">
        <v>108</v>
      </c>
      <c r="D165" s="7" t="s">
        <v>628</v>
      </c>
      <c r="E165" s="6" t="s">
        <v>629</v>
      </c>
      <c r="F165" s="7" t="s">
        <v>338</v>
      </c>
      <c r="G165" s="6" t="s">
        <v>630</v>
      </c>
      <c r="H165" s="6" t="n">
        <v>0.0744</v>
      </c>
      <c r="I165" s="8" t="n">
        <v>6</v>
      </c>
      <c r="J165" s="6"/>
      <c r="K165" s="6" t="s">
        <v>86</v>
      </c>
      <c r="L165" s="6" t="s">
        <v>112</v>
      </c>
      <c r="M165" s="6" t="s">
        <v>213</v>
      </c>
      <c r="N165" s="6" t="s">
        <v>89</v>
      </c>
    </row>
    <row r="166" customFormat="false" ht="15" hidden="false" customHeight="false" outlineLevel="0" collapsed="false">
      <c r="A166" s="6" t="s">
        <v>631</v>
      </c>
      <c r="B166" s="6" t="s">
        <v>607</v>
      </c>
      <c r="C166" s="6" t="s">
        <v>125</v>
      </c>
      <c r="D166" s="7" t="s">
        <v>632</v>
      </c>
      <c r="E166" s="6" t="s">
        <v>127</v>
      </c>
      <c r="F166" s="7" t="s">
        <v>633</v>
      </c>
      <c r="G166" s="6" t="s">
        <v>217</v>
      </c>
      <c r="H166" s="6" t="n">
        <v>0.08</v>
      </c>
      <c r="I166" s="8" t="n">
        <v>6</v>
      </c>
      <c r="J166" s="6"/>
      <c r="K166" s="6" t="s">
        <v>86</v>
      </c>
      <c r="L166" s="6" t="s">
        <v>130</v>
      </c>
      <c r="M166" s="6" t="s">
        <v>131</v>
      </c>
      <c r="N166" s="6" t="s">
        <v>89</v>
      </c>
    </row>
    <row r="167" customFormat="false" ht="26.85" hidden="false" customHeight="false" outlineLevel="0" collapsed="false">
      <c r="A167" s="6" t="s">
        <v>634</v>
      </c>
      <c r="B167" s="6" t="s">
        <v>607</v>
      </c>
      <c r="C167" s="6" t="s">
        <v>125</v>
      </c>
      <c r="D167" s="7" t="s">
        <v>635</v>
      </c>
      <c r="E167" s="6" t="s">
        <v>127</v>
      </c>
      <c r="F167" s="7" t="s">
        <v>259</v>
      </c>
      <c r="G167" s="7" t="s">
        <v>129</v>
      </c>
      <c r="H167" s="6" t="n">
        <v>0.064</v>
      </c>
      <c r="I167" s="8" t="n">
        <v>6</v>
      </c>
      <c r="J167" s="6"/>
      <c r="K167" s="6" t="s">
        <v>86</v>
      </c>
      <c r="L167" s="6" t="s">
        <v>130</v>
      </c>
      <c r="M167" s="6" t="s">
        <v>94</v>
      </c>
      <c r="N167" s="6" t="s">
        <v>89</v>
      </c>
    </row>
    <row r="168" customFormat="false" ht="15" hidden="false" customHeight="false" outlineLevel="0" collapsed="false">
      <c r="A168" s="6" t="s">
        <v>636</v>
      </c>
      <c r="B168" s="6" t="s">
        <v>607</v>
      </c>
      <c r="C168" s="6" t="s">
        <v>125</v>
      </c>
      <c r="D168" s="7" t="s">
        <v>637</v>
      </c>
      <c r="E168" s="6" t="s">
        <v>105</v>
      </c>
      <c r="F168" s="7" t="s">
        <v>638</v>
      </c>
      <c r="G168" s="6" t="s">
        <v>120</v>
      </c>
      <c r="H168" s="6" t="n">
        <v>0.056</v>
      </c>
      <c r="I168" s="8" t="n">
        <v>4</v>
      </c>
      <c r="J168" s="6"/>
      <c r="K168" s="6" t="s">
        <v>86</v>
      </c>
      <c r="L168" s="6" t="s">
        <v>130</v>
      </c>
      <c r="M168" s="6" t="s">
        <v>88</v>
      </c>
      <c r="N168" s="6" t="s">
        <v>89</v>
      </c>
    </row>
    <row r="169" customFormat="false" ht="15" hidden="false" customHeight="false" outlineLevel="0" collapsed="false">
      <c r="A169" s="6" t="s">
        <v>639</v>
      </c>
      <c r="B169" s="6" t="s">
        <v>640</v>
      </c>
      <c r="C169" s="6" t="s">
        <v>81</v>
      </c>
      <c r="D169" s="7" t="s">
        <v>641</v>
      </c>
      <c r="E169" s="6" t="s">
        <v>105</v>
      </c>
      <c r="F169" s="7" t="s">
        <v>642</v>
      </c>
      <c r="G169" s="6" t="s">
        <v>120</v>
      </c>
      <c r="H169" s="6" t="n">
        <v>0.2</v>
      </c>
      <c r="I169" s="8" t="n">
        <v>6</v>
      </c>
      <c r="J169" s="6"/>
      <c r="K169" s="6" t="s">
        <v>86</v>
      </c>
      <c r="L169" s="6" t="s">
        <v>87</v>
      </c>
      <c r="M169" s="6" t="s">
        <v>88</v>
      </c>
      <c r="N169" s="6" t="s">
        <v>89</v>
      </c>
    </row>
    <row r="170" customFormat="false" ht="15" hidden="false" customHeight="false" outlineLevel="0" collapsed="false">
      <c r="A170" s="6" t="s">
        <v>643</v>
      </c>
      <c r="B170" s="6" t="s">
        <v>640</v>
      </c>
      <c r="C170" s="6" t="s">
        <v>81</v>
      </c>
      <c r="D170" s="7" t="s">
        <v>644</v>
      </c>
      <c r="E170" s="6" t="s">
        <v>105</v>
      </c>
      <c r="F170" s="7" t="s">
        <v>645</v>
      </c>
      <c r="G170" s="6" t="s">
        <v>120</v>
      </c>
      <c r="H170" s="6" t="n">
        <v>0.15</v>
      </c>
      <c r="I170" s="8" t="n">
        <v>6</v>
      </c>
      <c r="J170" s="6"/>
      <c r="K170" s="6" t="s">
        <v>86</v>
      </c>
      <c r="L170" s="6" t="s">
        <v>87</v>
      </c>
      <c r="M170" s="6" t="s">
        <v>88</v>
      </c>
      <c r="N170" s="6" t="s">
        <v>89</v>
      </c>
    </row>
    <row r="171" customFormat="false" ht="15" hidden="false" customHeight="false" outlineLevel="0" collapsed="false">
      <c r="A171" s="6" t="s">
        <v>646</v>
      </c>
      <c r="B171" s="6" t="s">
        <v>640</v>
      </c>
      <c r="C171" s="6" t="s">
        <v>81</v>
      </c>
      <c r="D171" s="7" t="s">
        <v>647</v>
      </c>
      <c r="E171" s="6" t="s">
        <v>553</v>
      </c>
      <c r="F171" s="7" t="s">
        <v>648</v>
      </c>
      <c r="G171" s="6" t="s">
        <v>649</v>
      </c>
      <c r="H171" s="6" t="n">
        <v>0.1</v>
      </c>
      <c r="I171" s="8" t="n">
        <v>8</v>
      </c>
      <c r="J171" s="6"/>
      <c r="K171" s="6" t="s">
        <v>86</v>
      </c>
      <c r="L171" s="6" t="s">
        <v>87</v>
      </c>
      <c r="M171" s="6" t="s">
        <v>88</v>
      </c>
      <c r="N171" s="6" t="s">
        <v>89</v>
      </c>
    </row>
    <row r="172" customFormat="false" ht="15" hidden="false" customHeight="false" outlineLevel="0" collapsed="false">
      <c r="A172" s="6" t="s">
        <v>650</v>
      </c>
      <c r="B172" s="6" t="s">
        <v>640</v>
      </c>
      <c r="C172" s="6" t="s">
        <v>108</v>
      </c>
      <c r="D172" s="7" t="s">
        <v>651</v>
      </c>
      <c r="E172" s="6" t="s">
        <v>105</v>
      </c>
      <c r="F172" s="7" t="s">
        <v>354</v>
      </c>
      <c r="G172" s="7" t="s">
        <v>85</v>
      </c>
      <c r="H172" s="6" t="n">
        <v>0.1778</v>
      </c>
      <c r="I172" s="8" t="n">
        <v>6</v>
      </c>
      <c r="J172" s="6"/>
      <c r="K172" s="6" t="s">
        <v>86</v>
      </c>
      <c r="L172" s="6" t="s">
        <v>112</v>
      </c>
      <c r="M172" s="6" t="s">
        <v>88</v>
      </c>
      <c r="N172" s="6" t="s">
        <v>89</v>
      </c>
    </row>
    <row r="173" customFormat="false" ht="15" hidden="false" customHeight="false" outlineLevel="0" collapsed="false">
      <c r="A173" s="6" t="s">
        <v>652</v>
      </c>
      <c r="B173" s="6" t="s">
        <v>640</v>
      </c>
      <c r="C173" s="6" t="s">
        <v>108</v>
      </c>
      <c r="D173" s="7" t="s">
        <v>653</v>
      </c>
      <c r="E173" s="6" t="s">
        <v>105</v>
      </c>
      <c r="F173" s="7" t="s">
        <v>327</v>
      </c>
      <c r="G173" s="7" t="s">
        <v>85</v>
      </c>
      <c r="H173" s="6" t="n">
        <v>0.1333</v>
      </c>
      <c r="I173" s="8" t="n">
        <v>8</v>
      </c>
      <c r="J173" s="6"/>
      <c r="K173" s="6" t="s">
        <v>86</v>
      </c>
      <c r="L173" s="6" t="s">
        <v>112</v>
      </c>
      <c r="M173" s="6" t="s">
        <v>88</v>
      </c>
      <c r="N173" s="6" t="s">
        <v>89</v>
      </c>
    </row>
    <row r="174" customFormat="false" ht="15" hidden="false" customHeight="false" outlineLevel="0" collapsed="false">
      <c r="A174" s="6" t="s">
        <v>654</v>
      </c>
      <c r="B174" s="6" t="s">
        <v>640</v>
      </c>
      <c r="C174" s="6" t="s">
        <v>108</v>
      </c>
      <c r="D174" s="7" t="s">
        <v>655</v>
      </c>
      <c r="E174" s="6" t="s">
        <v>105</v>
      </c>
      <c r="F174" s="7" t="s">
        <v>594</v>
      </c>
      <c r="G174" s="7" t="s">
        <v>85</v>
      </c>
      <c r="H174" s="6" t="n">
        <v>0.0889</v>
      </c>
      <c r="I174" s="8" t="n">
        <v>6</v>
      </c>
      <c r="J174" s="6"/>
      <c r="K174" s="6" t="s">
        <v>86</v>
      </c>
      <c r="L174" s="6" t="s">
        <v>112</v>
      </c>
      <c r="M174" s="6" t="s">
        <v>88</v>
      </c>
      <c r="N174" s="6" t="s">
        <v>89</v>
      </c>
    </row>
    <row r="175" customFormat="false" ht="15" hidden="false" customHeight="false" outlineLevel="0" collapsed="false">
      <c r="A175" s="6" t="s">
        <v>656</v>
      </c>
      <c r="B175" s="6" t="s">
        <v>640</v>
      </c>
      <c r="C175" s="6" t="s">
        <v>125</v>
      </c>
      <c r="D175" s="7" t="s">
        <v>657</v>
      </c>
      <c r="E175" s="6" t="s">
        <v>105</v>
      </c>
      <c r="F175" s="7" t="s">
        <v>177</v>
      </c>
      <c r="G175" s="7" t="s">
        <v>85</v>
      </c>
      <c r="H175" s="6" t="n">
        <v>0.09</v>
      </c>
      <c r="I175" s="8" t="n">
        <v>8</v>
      </c>
      <c r="J175" s="6"/>
      <c r="K175" s="6" t="s">
        <v>86</v>
      </c>
      <c r="L175" s="6" t="s">
        <v>130</v>
      </c>
      <c r="M175" s="6" t="s">
        <v>88</v>
      </c>
      <c r="N175" s="6" t="s">
        <v>89</v>
      </c>
    </row>
    <row r="176" customFormat="false" ht="15" hidden="false" customHeight="false" outlineLevel="0" collapsed="false">
      <c r="A176" s="6" t="s">
        <v>658</v>
      </c>
      <c r="B176" s="6" t="s">
        <v>640</v>
      </c>
      <c r="C176" s="6" t="s">
        <v>125</v>
      </c>
      <c r="D176" s="7" t="s">
        <v>659</v>
      </c>
      <c r="E176" s="6" t="s">
        <v>105</v>
      </c>
      <c r="F176" s="7" t="s">
        <v>660</v>
      </c>
      <c r="G176" s="7" t="s">
        <v>129</v>
      </c>
      <c r="H176" s="6" t="n">
        <v>0.06</v>
      </c>
      <c r="I176" s="8" t="n">
        <v>6</v>
      </c>
      <c r="J176" s="6"/>
      <c r="K176" s="6" t="s">
        <v>86</v>
      </c>
      <c r="L176" s="6" t="s">
        <v>130</v>
      </c>
      <c r="M176" s="6" t="s">
        <v>88</v>
      </c>
      <c r="N176" s="6" t="s">
        <v>89</v>
      </c>
    </row>
    <row r="177" customFormat="false" ht="26.85" hidden="false" customHeight="false" outlineLevel="0" collapsed="false">
      <c r="A177" s="6" t="s">
        <v>661</v>
      </c>
      <c r="B177" s="6" t="s">
        <v>662</v>
      </c>
      <c r="C177" s="6" t="s">
        <v>81</v>
      </c>
      <c r="D177" s="7" t="s">
        <v>663</v>
      </c>
      <c r="E177" s="6" t="s">
        <v>664</v>
      </c>
      <c r="F177" s="7" t="s">
        <v>665</v>
      </c>
      <c r="G177" s="6" t="s">
        <v>147</v>
      </c>
      <c r="H177" s="6" t="n">
        <v>0.15</v>
      </c>
      <c r="I177" s="8" t="n">
        <v>4</v>
      </c>
      <c r="J177" s="6"/>
      <c r="K177" s="6" t="s">
        <v>86</v>
      </c>
      <c r="L177" s="6" t="s">
        <v>87</v>
      </c>
      <c r="M177" s="6" t="s">
        <v>94</v>
      </c>
      <c r="N177" s="6" t="s">
        <v>89</v>
      </c>
    </row>
    <row r="178" customFormat="false" ht="26.85" hidden="false" customHeight="false" outlineLevel="0" collapsed="false">
      <c r="A178" s="6" t="s">
        <v>666</v>
      </c>
      <c r="B178" s="6" t="s">
        <v>662</v>
      </c>
      <c r="C178" s="6" t="s">
        <v>81</v>
      </c>
      <c r="D178" s="7" t="s">
        <v>667</v>
      </c>
      <c r="E178" s="6" t="s">
        <v>150</v>
      </c>
      <c r="F178" s="7" t="s">
        <v>668</v>
      </c>
      <c r="G178" s="6" t="s">
        <v>147</v>
      </c>
      <c r="H178" s="6" t="n">
        <v>0.12</v>
      </c>
      <c r="I178" s="8" t="n">
        <v>4</v>
      </c>
      <c r="J178" s="6"/>
      <c r="K178" s="6" t="s">
        <v>86</v>
      </c>
      <c r="L178" s="6" t="s">
        <v>87</v>
      </c>
      <c r="M178" s="6" t="s">
        <v>94</v>
      </c>
      <c r="N178" s="6" t="s">
        <v>89</v>
      </c>
    </row>
    <row r="179" customFormat="false" ht="15" hidden="false" customHeight="false" outlineLevel="0" collapsed="false">
      <c r="A179" s="6" t="s">
        <v>669</v>
      </c>
      <c r="B179" s="6" t="s">
        <v>662</v>
      </c>
      <c r="C179" s="6" t="s">
        <v>81</v>
      </c>
      <c r="D179" s="7" t="s">
        <v>670</v>
      </c>
      <c r="E179" s="6" t="s">
        <v>105</v>
      </c>
      <c r="F179" s="7" t="s">
        <v>569</v>
      </c>
      <c r="G179" s="7" t="s">
        <v>85</v>
      </c>
      <c r="H179" s="6" t="n">
        <v>0.13</v>
      </c>
      <c r="I179" s="8" t="n">
        <v>4</v>
      </c>
      <c r="J179" s="6"/>
      <c r="K179" s="6" t="s">
        <v>86</v>
      </c>
      <c r="L179" s="6" t="s">
        <v>87</v>
      </c>
      <c r="M179" s="6" t="s">
        <v>88</v>
      </c>
      <c r="N179" s="6" t="s">
        <v>89</v>
      </c>
    </row>
    <row r="180" customFormat="false" ht="15" hidden="false" customHeight="false" outlineLevel="0" collapsed="false">
      <c r="A180" s="6" t="s">
        <v>671</v>
      </c>
      <c r="B180" s="6" t="s">
        <v>662</v>
      </c>
      <c r="C180" s="6" t="s">
        <v>81</v>
      </c>
      <c r="D180" s="7" t="s">
        <v>672</v>
      </c>
      <c r="E180" s="6" t="s">
        <v>105</v>
      </c>
      <c r="F180" s="7" t="s">
        <v>177</v>
      </c>
      <c r="G180" s="7" t="s">
        <v>85</v>
      </c>
      <c r="H180" s="6" t="n">
        <v>0.1</v>
      </c>
      <c r="I180" s="8" t="n">
        <v>8</v>
      </c>
      <c r="J180" s="6"/>
      <c r="K180" s="6" t="s">
        <v>86</v>
      </c>
      <c r="L180" s="6" t="s">
        <v>87</v>
      </c>
      <c r="M180" s="6" t="s">
        <v>88</v>
      </c>
      <c r="N180" s="6" t="s">
        <v>89</v>
      </c>
    </row>
    <row r="181" customFormat="false" ht="15" hidden="false" customHeight="false" outlineLevel="0" collapsed="false">
      <c r="A181" s="6" t="s">
        <v>673</v>
      </c>
      <c r="B181" s="6" t="s">
        <v>662</v>
      </c>
      <c r="C181" s="6" t="s">
        <v>108</v>
      </c>
      <c r="D181" s="7" t="s">
        <v>674</v>
      </c>
      <c r="E181" s="6" t="s">
        <v>664</v>
      </c>
      <c r="F181" s="7" t="s">
        <v>477</v>
      </c>
      <c r="G181" s="7" t="s">
        <v>85</v>
      </c>
      <c r="H181" s="6" t="n">
        <v>0.105</v>
      </c>
      <c r="I181" s="8" t="n">
        <v>4</v>
      </c>
      <c r="J181" s="6"/>
      <c r="K181" s="6" t="s">
        <v>86</v>
      </c>
      <c r="L181" s="6" t="s">
        <v>112</v>
      </c>
      <c r="M181" s="6" t="s">
        <v>213</v>
      </c>
      <c r="N181" s="6" t="s">
        <v>89</v>
      </c>
    </row>
    <row r="182" customFormat="false" ht="15" hidden="false" customHeight="false" outlineLevel="0" collapsed="false">
      <c r="A182" s="6" t="s">
        <v>675</v>
      </c>
      <c r="B182" s="6" t="s">
        <v>662</v>
      </c>
      <c r="C182" s="6" t="s">
        <v>108</v>
      </c>
      <c r="D182" s="7" t="s">
        <v>676</v>
      </c>
      <c r="E182" s="6" t="s">
        <v>150</v>
      </c>
      <c r="F182" s="7" t="s">
        <v>677</v>
      </c>
      <c r="G182" s="6" t="s">
        <v>167</v>
      </c>
      <c r="H182" s="6" t="n">
        <v>0.0875</v>
      </c>
      <c r="I182" s="8" t="n">
        <v>6</v>
      </c>
      <c r="J182" s="6"/>
      <c r="K182" s="6" t="s">
        <v>86</v>
      </c>
      <c r="L182" s="6" t="s">
        <v>112</v>
      </c>
      <c r="M182" s="6" t="s">
        <v>168</v>
      </c>
      <c r="N182" s="6" t="s">
        <v>89</v>
      </c>
    </row>
    <row r="183" customFormat="false" ht="15" hidden="false" customHeight="false" outlineLevel="0" collapsed="false">
      <c r="A183" s="6" t="s">
        <v>678</v>
      </c>
      <c r="B183" s="6" t="s">
        <v>662</v>
      </c>
      <c r="C183" s="6" t="s">
        <v>108</v>
      </c>
      <c r="D183" s="7" t="s">
        <v>679</v>
      </c>
      <c r="E183" s="6" t="s">
        <v>664</v>
      </c>
      <c r="F183" s="7" t="s">
        <v>680</v>
      </c>
      <c r="G183" s="7" t="s">
        <v>129</v>
      </c>
      <c r="H183" s="6" t="n">
        <v>0.0875</v>
      </c>
      <c r="I183" s="8" t="n">
        <v>4</v>
      </c>
      <c r="J183" s="6"/>
      <c r="K183" s="6" t="s">
        <v>86</v>
      </c>
      <c r="L183" s="6" t="s">
        <v>112</v>
      </c>
      <c r="M183" s="6" t="s">
        <v>88</v>
      </c>
      <c r="N183" s="6" t="s">
        <v>89</v>
      </c>
    </row>
    <row r="184" customFormat="false" ht="15" hidden="false" customHeight="false" outlineLevel="0" collapsed="false">
      <c r="A184" s="6" t="s">
        <v>681</v>
      </c>
      <c r="B184" s="6" t="s">
        <v>662</v>
      </c>
      <c r="C184" s="6" t="s">
        <v>108</v>
      </c>
      <c r="D184" s="7" t="s">
        <v>682</v>
      </c>
      <c r="E184" s="6" t="s">
        <v>101</v>
      </c>
      <c r="F184" s="7" t="s">
        <v>524</v>
      </c>
      <c r="G184" s="7" t="s">
        <v>85</v>
      </c>
      <c r="H184" s="6" t="n">
        <v>0.07</v>
      </c>
      <c r="I184" s="8" t="n">
        <v>6</v>
      </c>
      <c r="J184" s="6"/>
      <c r="K184" s="6" t="s">
        <v>86</v>
      </c>
      <c r="L184" s="6" t="s">
        <v>112</v>
      </c>
      <c r="M184" s="6" t="s">
        <v>88</v>
      </c>
      <c r="N184" s="6" t="s">
        <v>89</v>
      </c>
    </row>
    <row r="185" customFormat="false" ht="15" hidden="false" customHeight="false" outlineLevel="0" collapsed="false">
      <c r="A185" s="6" t="s">
        <v>683</v>
      </c>
      <c r="B185" s="6" t="s">
        <v>662</v>
      </c>
      <c r="C185" s="6" t="s">
        <v>125</v>
      </c>
      <c r="D185" s="7" t="s">
        <v>684</v>
      </c>
      <c r="E185" s="6" t="s">
        <v>127</v>
      </c>
      <c r="F185" s="7" t="s">
        <v>685</v>
      </c>
      <c r="G185" s="6" t="s">
        <v>217</v>
      </c>
      <c r="H185" s="6" t="n">
        <v>0.06</v>
      </c>
      <c r="I185" s="8" t="n">
        <v>4</v>
      </c>
      <c r="J185" s="6"/>
      <c r="K185" s="6" t="s">
        <v>86</v>
      </c>
      <c r="L185" s="6" t="s">
        <v>130</v>
      </c>
      <c r="M185" s="6" t="s">
        <v>131</v>
      </c>
      <c r="N185" s="6" t="s">
        <v>89</v>
      </c>
    </row>
    <row r="186" customFormat="false" ht="15" hidden="false" customHeight="false" outlineLevel="0" collapsed="false">
      <c r="A186" s="6" t="s">
        <v>686</v>
      </c>
      <c r="B186" s="6" t="s">
        <v>662</v>
      </c>
      <c r="C186" s="6" t="s">
        <v>125</v>
      </c>
      <c r="D186" s="7" t="s">
        <v>687</v>
      </c>
      <c r="E186" s="6" t="s">
        <v>105</v>
      </c>
      <c r="F186" s="7" t="s">
        <v>408</v>
      </c>
      <c r="G186" s="7" t="s">
        <v>129</v>
      </c>
      <c r="H186" s="6" t="n">
        <v>0.048</v>
      </c>
      <c r="I186" s="8" t="n">
        <v>4</v>
      </c>
      <c r="J186" s="6"/>
      <c r="K186" s="6" t="s">
        <v>86</v>
      </c>
      <c r="L186" s="6" t="s">
        <v>130</v>
      </c>
      <c r="M186" s="6" t="s">
        <v>131</v>
      </c>
      <c r="N186" s="6" t="s">
        <v>89</v>
      </c>
    </row>
    <row r="187" customFormat="false" ht="15" hidden="false" customHeight="false" outlineLevel="0" collapsed="false">
      <c r="A187" s="6" t="s">
        <v>688</v>
      </c>
      <c r="B187" s="6" t="s">
        <v>662</v>
      </c>
      <c r="C187" s="6" t="s">
        <v>125</v>
      </c>
      <c r="D187" s="7" t="s">
        <v>689</v>
      </c>
      <c r="E187" s="6" t="s">
        <v>105</v>
      </c>
      <c r="F187" s="7" t="s">
        <v>690</v>
      </c>
      <c r="G187" s="7" t="s">
        <v>129</v>
      </c>
      <c r="H187" s="6" t="n">
        <v>0.042</v>
      </c>
      <c r="I187" s="8" t="n">
        <v>4</v>
      </c>
      <c r="J187" s="6"/>
      <c r="K187" s="6" t="s">
        <v>86</v>
      </c>
      <c r="L187" s="6" t="s">
        <v>130</v>
      </c>
      <c r="M187" s="6" t="s">
        <v>88</v>
      </c>
      <c r="N187" s="6" t="s">
        <v>89</v>
      </c>
    </row>
    <row r="188" customFormat="false" ht="15" hidden="false" customHeight="false" outlineLevel="0" collapsed="false">
      <c r="A188" s="6" t="s">
        <v>691</v>
      </c>
      <c r="B188" s="6" t="s">
        <v>692</v>
      </c>
      <c r="C188" s="6" t="s">
        <v>81</v>
      </c>
      <c r="D188" s="7" t="s">
        <v>693</v>
      </c>
      <c r="E188" s="6" t="s">
        <v>694</v>
      </c>
      <c r="F188" s="7" t="s">
        <v>677</v>
      </c>
      <c r="G188" s="6" t="s">
        <v>695</v>
      </c>
      <c r="H188" s="6" t="n">
        <v>0.15</v>
      </c>
      <c r="I188" s="8" t="n">
        <v>8</v>
      </c>
      <c r="J188" s="6"/>
      <c r="K188" s="6" t="s">
        <v>86</v>
      </c>
      <c r="L188" s="6" t="s">
        <v>87</v>
      </c>
      <c r="M188" s="6" t="s">
        <v>88</v>
      </c>
      <c r="N188" s="6" t="s">
        <v>89</v>
      </c>
    </row>
    <row r="189" customFormat="false" ht="15" hidden="false" customHeight="false" outlineLevel="0" collapsed="false">
      <c r="A189" s="6" t="s">
        <v>696</v>
      </c>
      <c r="B189" s="6" t="s">
        <v>692</v>
      </c>
      <c r="C189" s="6" t="s">
        <v>81</v>
      </c>
      <c r="D189" s="7" t="s">
        <v>697</v>
      </c>
      <c r="E189" s="6" t="s">
        <v>698</v>
      </c>
      <c r="F189" s="7" t="s">
        <v>699</v>
      </c>
      <c r="G189" s="6" t="s">
        <v>649</v>
      </c>
      <c r="H189" s="6" t="n">
        <v>0.12</v>
      </c>
      <c r="I189" s="8" t="n">
        <v>8</v>
      </c>
      <c r="J189" s="6"/>
      <c r="K189" s="6" t="s">
        <v>86</v>
      </c>
      <c r="L189" s="6" t="s">
        <v>87</v>
      </c>
      <c r="M189" s="6" t="s">
        <v>88</v>
      </c>
      <c r="N189" s="6" t="s">
        <v>89</v>
      </c>
    </row>
    <row r="190" customFormat="false" ht="15" hidden="false" customHeight="false" outlineLevel="0" collapsed="false">
      <c r="A190" s="6" t="s">
        <v>700</v>
      </c>
      <c r="B190" s="6" t="s">
        <v>692</v>
      </c>
      <c r="C190" s="6" t="s">
        <v>81</v>
      </c>
      <c r="D190" s="7" t="s">
        <v>670</v>
      </c>
      <c r="E190" s="6" t="s">
        <v>105</v>
      </c>
      <c r="F190" s="7" t="s">
        <v>569</v>
      </c>
      <c r="G190" s="7" t="s">
        <v>85</v>
      </c>
      <c r="H190" s="6" t="n">
        <v>0.1</v>
      </c>
      <c r="I190" s="8" t="n">
        <v>4</v>
      </c>
      <c r="J190" s="6"/>
      <c r="K190" s="6" t="s">
        <v>86</v>
      </c>
      <c r="L190" s="6" t="s">
        <v>87</v>
      </c>
      <c r="M190" s="6" t="s">
        <v>88</v>
      </c>
      <c r="N190" s="6" t="s">
        <v>89</v>
      </c>
    </row>
    <row r="191" customFormat="false" ht="26.85" hidden="false" customHeight="false" outlineLevel="0" collapsed="false">
      <c r="A191" s="6" t="s">
        <v>701</v>
      </c>
      <c r="B191" s="6" t="s">
        <v>692</v>
      </c>
      <c r="C191" s="6" t="s">
        <v>81</v>
      </c>
      <c r="D191" s="7" t="s">
        <v>702</v>
      </c>
      <c r="E191" s="6" t="s">
        <v>201</v>
      </c>
      <c r="F191" s="7" t="s">
        <v>98</v>
      </c>
      <c r="G191" s="7" t="s">
        <v>85</v>
      </c>
      <c r="H191" s="6" t="n">
        <v>0.08</v>
      </c>
      <c r="I191" s="8" t="n">
        <v>8</v>
      </c>
      <c r="J191" s="6"/>
      <c r="K191" s="6" t="s">
        <v>86</v>
      </c>
      <c r="L191" s="6" t="s">
        <v>87</v>
      </c>
      <c r="M191" s="6" t="s">
        <v>94</v>
      </c>
      <c r="N191" s="6" t="s">
        <v>89</v>
      </c>
    </row>
    <row r="192" customFormat="false" ht="15" hidden="false" customHeight="false" outlineLevel="0" collapsed="false">
      <c r="A192" s="6" t="s">
        <v>703</v>
      </c>
      <c r="B192" s="6" t="s">
        <v>692</v>
      </c>
      <c r="C192" s="6" t="s">
        <v>108</v>
      </c>
      <c r="D192" s="7" t="s">
        <v>704</v>
      </c>
      <c r="E192" s="6" t="s">
        <v>105</v>
      </c>
      <c r="F192" s="7" t="s">
        <v>705</v>
      </c>
      <c r="G192" s="6" t="s">
        <v>120</v>
      </c>
      <c r="H192" s="6" t="n">
        <v>0.1167</v>
      </c>
      <c r="I192" s="8" t="n">
        <v>4</v>
      </c>
      <c r="J192" s="6"/>
      <c r="K192" s="6" t="s">
        <v>86</v>
      </c>
      <c r="L192" s="6" t="s">
        <v>112</v>
      </c>
      <c r="M192" s="6" t="s">
        <v>88</v>
      </c>
      <c r="N192" s="6" t="s">
        <v>89</v>
      </c>
    </row>
    <row r="193" customFormat="false" ht="15" hidden="false" customHeight="false" outlineLevel="0" collapsed="false">
      <c r="A193" s="6" t="s">
        <v>706</v>
      </c>
      <c r="B193" s="6" t="s">
        <v>692</v>
      </c>
      <c r="C193" s="6" t="s">
        <v>108</v>
      </c>
      <c r="D193" s="7" t="s">
        <v>707</v>
      </c>
      <c r="E193" s="6" t="s">
        <v>105</v>
      </c>
      <c r="F193" s="7" t="s">
        <v>155</v>
      </c>
      <c r="G193" s="7" t="s">
        <v>85</v>
      </c>
      <c r="H193" s="6" t="n">
        <v>0.0933</v>
      </c>
      <c r="I193" s="8" t="n">
        <v>6</v>
      </c>
      <c r="J193" s="6"/>
      <c r="K193" s="6" t="s">
        <v>86</v>
      </c>
      <c r="L193" s="6" t="s">
        <v>112</v>
      </c>
      <c r="M193" s="6" t="s">
        <v>88</v>
      </c>
      <c r="N193" s="6" t="s">
        <v>89</v>
      </c>
    </row>
    <row r="194" customFormat="false" ht="15" hidden="false" customHeight="false" outlineLevel="0" collapsed="false">
      <c r="A194" s="6" t="s">
        <v>708</v>
      </c>
      <c r="B194" s="6" t="s">
        <v>692</v>
      </c>
      <c r="C194" s="6" t="s">
        <v>108</v>
      </c>
      <c r="D194" s="7" t="s">
        <v>709</v>
      </c>
      <c r="E194" s="6" t="s">
        <v>105</v>
      </c>
      <c r="F194" s="7" t="s">
        <v>330</v>
      </c>
      <c r="G194" s="7" t="s">
        <v>85</v>
      </c>
      <c r="H194" s="6" t="n">
        <v>0.0778</v>
      </c>
      <c r="I194" s="8" t="n">
        <v>6</v>
      </c>
      <c r="J194" s="6"/>
      <c r="K194" s="6" t="s">
        <v>86</v>
      </c>
      <c r="L194" s="6" t="s">
        <v>112</v>
      </c>
      <c r="M194" s="6" t="s">
        <v>88</v>
      </c>
      <c r="N194" s="6" t="s">
        <v>89</v>
      </c>
    </row>
    <row r="195" customFormat="false" ht="15" hidden="false" customHeight="false" outlineLevel="0" collapsed="false">
      <c r="A195" s="6" t="s">
        <v>710</v>
      </c>
      <c r="B195" s="6" t="s">
        <v>692</v>
      </c>
      <c r="C195" s="6" t="s">
        <v>108</v>
      </c>
      <c r="D195" s="7" t="s">
        <v>711</v>
      </c>
      <c r="E195" s="6" t="s">
        <v>127</v>
      </c>
      <c r="F195" s="7" t="s">
        <v>712</v>
      </c>
      <c r="G195" s="6" t="s">
        <v>713</v>
      </c>
      <c r="H195" s="6" t="n">
        <v>0.0622</v>
      </c>
      <c r="I195" s="8" t="n">
        <v>6</v>
      </c>
      <c r="J195" s="6"/>
      <c r="K195" s="6" t="s">
        <v>86</v>
      </c>
      <c r="L195" s="6" t="s">
        <v>112</v>
      </c>
      <c r="M195" s="6" t="s">
        <v>279</v>
      </c>
      <c r="N195" s="6" t="s">
        <v>89</v>
      </c>
    </row>
    <row r="196" customFormat="false" ht="15" hidden="false" customHeight="false" outlineLevel="0" collapsed="false">
      <c r="A196" s="6" t="s">
        <v>714</v>
      </c>
      <c r="B196" s="6" t="s">
        <v>692</v>
      </c>
      <c r="C196" s="6" t="s">
        <v>125</v>
      </c>
      <c r="D196" s="7" t="s">
        <v>715</v>
      </c>
      <c r="E196" s="6" t="s">
        <v>127</v>
      </c>
      <c r="F196" s="7" t="s">
        <v>449</v>
      </c>
      <c r="G196" s="6" t="s">
        <v>217</v>
      </c>
      <c r="H196" s="6" t="n">
        <v>0.08</v>
      </c>
      <c r="I196" s="8" t="n">
        <v>6</v>
      </c>
      <c r="J196" s="6"/>
      <c r="K196" s="6" t="s">
        <v>86</v>
      </c>
      <c r="L196" s="6" t="s">
        <v>130</v>
      </c>
      <c r="M196" s="6" t="s">
        <v>131</v>
      </c>
      <c r="N196" s="6" t="s">
        <v>89</v>
      </c>
    </row>
    <row r="197" customFormat="false" ht="15" hidden="false" customHeight="false" outlineLevel="0" collapsed="false">
      <c r="A197" s="6" t="s">
        <v>716</v>
      </c>
      <c r="B197" s="6" t="s">
        <v>692</v>
      </c>
      <c r="C197" s="6" t="s">
        <v>125</v>
      </c>
      <c r="D197" s="7" t="s">
        <v>717</v>
      </c>
      <c r="E197" s="6" t="s">
        <v>127</v>
      </c>
      <c r="F197" s="7" t="s">
        <v>402</v>
      </c>
      <c r="G197" s="7" t="s">
        <v>129</v>
      </c>
      <c r="H197" s="6" t="n">
        <v>0.064</v>
      </c>
      <c r="I197" s="8" t="n">
        <v>6</v>
      </c>
      <c r="J197" s="6"/>
      <c r="K197" s="6" t="s">
        <v>86</v>
      </c>
      <c r="L197" s="6" t="s">
        <v>130</v>
      </c>
      <c r="M197" s="6" t="s">
        <v>168</v>
      </c>
      <c r="N197" s="6" t="s">
        <v>89</v>
      </c>
    </row>
    <row r="198" customFormat="false" ht="15" hidden="false" customHeight="false" outlineLevel="0" collapsed="false">
      <c r="A198" s="6" t="s">
        <v>718</v>
      </c>
      <c r="B198" s="6" t="s">
        <v>692</v>
      </c>
      <c r="C198" s="6" t="s">
        <v>125</v>
      </c>
      <c r="D198" s="7" t="s">
        <v>719</v>
      </c>
      <c r="E198" s="6" t="s">
        <v>127</v>
      </c>
      <c r="F198" s="7" t="s">
        <v>720</v>
      </c>
      <c r="G198" s="6" t="s">
        <v>167</v>
      </c>
      <c r="H198" s="6" t="n">
        <v>0.056</v>
      </c>
      <c r="I198" s="8" t="n">
        <v>6</v>
      </c>
      <c r="J198" s="6"/>
      <c r="K198" s="6" t="s">
        <v>86</v>
      </c>
      <c r="L198" s="6" t="s">
        <v>130</v>
      </c>
      <c r="M198" s="6" t="s">
        <v>168</v>
      </c>
      <c r="N198" s="6" t="s">
        <v>89</v>
      </c>
    </row>
    <row r="199" customFormat="false" ht="26.85" hidden="false" customHeight="false" outlineLevel="0" collapsed="false">
      <c r="A199" s="6" t="s">
        <v>721</v>
      </c>
      <c r="B199" s="6" t="s">
        <v>722</v>
      </c>
      <c r="C199" s="6" t="s">
        <v>81</v>
      </c>
      <c r="D199" s="7" t="s">
        <v>723</v>
      </c>
      <c r="E199" s="7" t="s">
        <v>724</v>
      </c>
      <c r="F199" s="7" t="s">
        <v>725</v>
      </c>
      <c r="G199" s="6" t="s">
        <v>726</v>
      </c>
      <c r="H199" s="6" t="n">
        <v>0.0947</v>
      </c>
      <c r="I199" s="8" t="n">
        <v>8</v>
      </c>
      <c r="J199" s="6"/>
      <c r="K199" s="6" t="s">
        <v>86</v>
      </c>
      <c r="L199" s="6" t="s">
        <v>87</v>
      </c>
      <c r="M199" s="6" t="s">
        <v>94</v>
      </c>
      <c r="N199" s="6" t="s">
        <v>89</v>
      </c>
    </row>
    <row r="200" customFormat="false" ht="26.85" hidden="false" customHeight="false" outlineLevel="0" collapsed="false">
      <c r="A200" s="6" t="s">
        <v>727</v>
      </c>
      <c r="B200" s="6" t="s">
        <v>722</v>
      </c>
      <c r="C200" s="6" t="s">
        <v>81</v>
      </c>
      <c r="D200" s="7" t="s">
        <v>728</v>
      </c>
      <c r="E200" s="6" t="s">
        <v>729</v>
      </c>
      <c r="F200" s="7" t="s">
        <v>338</v>
      </c>
      <c r="G200" s="6" t="s">
        <v>730</v>
      </c>
      <c r="H200" s="6" t="n">
        <v>0.0789</v>
      </c>
      <c r="I200" s="8" t="n">
        <v>8</v>
      </c>
      <c r="J200" s="6"/>
      <c r="K200" s="6" t="s">
        <v>86</v>
      </c>
      <c r="L200" s="6" t="s">
        <v>87</v>
      </c>
      <c r="M200" s="6" t="s">
        <v>94</v>
      </c>
      <c r="N200" s="6" t="s">
        <v>89</v>
      </c>
    </row>
    <row r="201" customFormat="false" ht="26.85" hidden="false" customHeight="false" outlineLevel="0" collapsed="false">
      <c r="A201" s="6" t="s">
        <v>731</v>
      </c>
      <c r="B201" s="6" t="s">
        <v>722</v>
      </c>
      <c r="C201" s="6" t="s">
        <v>81</v>
      </c>
      <c r="D201" s="7" t="s">
        <v>732</v>
      </c>
      <c r="E201" s="7" t="s">
        <v>231</v>
      </c>
      <c r="F201" s="7" t="s">
        <v>733</v>
      </c>
      <c r="G201" s="6" t="s">
        <v>734</v>
      </c>
      <c r="H201" s="6" t="n">
        <v>0.0947</v>
      </c>
      <c r="I201" s="8" t="n">
        <v>8</v>
      </c>
      <c r="J201" s="6"/>
      <c r="K201" s="6" t="s">
        <v>86</v>
      </c>
      <c r="L201" s="6" t="s">
        <v>87</v>
      </c>
      <c r="M201" s="6" t="s">
        <v>94</v>
      </c>
      <c r="N201" s="6" t="s">
        <v>89</v>
      </c>
    </row>
    <row r="202" customFormat="false" ht="15" hidden="false" customHeight="false" outlineLevel="0" collapsed="false">
      <c r="A202" s="6" t="s">
        <v>735</v>
      </c>
      <c r="B202" s="6" t="s">
        <v>722</v>
      </c>
      <c r="C202" s="6" t="s">
        <v>81</v>
      </c>
      <c r="D202" s="7" t="s">
        <v>736</v>
      </c>
      <c r="E202" s="6" t="s">
        <v>737</v>
      </c>
      <c r="F202" s="7" t="s">
        <v>538</v>
      </c>
      <c r="G202" s="7" t="s">
        <v>487</v>
      </c>
      <c r="H202" s="6" t="n">
        <v>0.1026</v>
      </c>
      <c r="I202" s="8" t="n">
        <v>10</v>
      </c>
      <c r="J202" s="6"/>
      <c r="K202" s="6" t="s">
        <v>86</v>
      </c>
      <c r="L202" s="6" t="s">
        <v>87</v>
      </c>
      <c r="M202" s="6" t="s">
        <v>279</v>
      </c>
      <c r="N202" s="6" t="s">
        <v>89</v>
      </c>
    </row>
    <row r="203" customFormat="false" ht="15" hidden="false" customHeight="false" outlineLevel="0" collapsed="false">
      <c r="A203" s="6" t="s">
        <v>738</v>
      </c>
      <c r="B203" s="6" t="s">
        <v>722</v>
      </c>
      <c r="C203" s="6" t="s">
        <v>81</v>
      </c>
      <c r="D203" s="7" t="s">
        <v>739</v>
      </c>
      <c r="E203" s="6" t="s">
        <v>740</v>
      </c>
      <c r="F203" s="7" t="s">
        <v>741</v>
      </c>
      <c r="G203" s="6" t="s">
        <v>217</v>
      </c>
      <c r="H203" s="6" t="n">
        <v>0.0789</v>
      </c>
      <c r="I203" s="8" t="n">
        <v>10</v>
      </c>
      <c r="J203" s="6"/>
      <c r="K203" s="6" t="s">
        <v>86</v>
      </c>
      <c r="L203" s="6" t="s">
        <v>87</v>
      </c>
      <c r="M203" s="6" t="s">
        <v>88</v>
      </c>
      <c r="N203" s="6" t="s">
        <v>89</v>
      </c>
    </row>
    <row r="204" customFormat="false" ht="15" hidden="false" customHeight="false" outlineLevel="0" collapsed="false">
      <c r="A204" s="6" t="s">
        <v>742</v>
      </c>
      <c r="B204" s="6" t="s">
        <v>722</v>
      </c>
      <c r="C204" s="6" t="s">
        <v>108</v>
      </c>
      <c r="D204" s="7" t="s">
        <v>743</v>
      </c>
      <c r="E204" s="6" t="s">
        <v>485</v>
      </c>
      <c r="F204" s="7" t="s">
        <v>744</v>
      </c>
      <c r="G204" s="7" t="s">
        <v>745</v>
      </c>
      <c r="H204" s="6" t="n">
        <v>0.1105</v>
      </c>
      <c r="I204" s="8" t="n">
        <v>6</v>
      </c>
      <c r="J204" s="6"/>
      <c r="K204" s="6" t="s">
        <v>86</v>
      </c>
      <c r="L204" s="6" t="s">
        <v>112</v>
      </c>
      <c r="M204" s="6" t="s">
        <v>213</v>
      </c>
      <c r="N204" s="6" t="s">
        <v>89</v>
      </c>
    </row>
    <row r="205" customFormat="false" ht="15" hidden="false" customHeight="false" outlineLevel="0" collapsed="false">
      <c r="A205" s="6" t="s">
        <v>746</v>
      </c>
      <c r="B205" s="6" t="s">
        <v>722</v>
      </c>
      <c r="C205" s="6" t="s">
        <v>108</v>
      </c>
      <c r="D205" s="7" t="s">
        <v>747</v>
      </c>
      <c r="E205" s="6" t="s">
        <v>485</v>
      </c>
      <c r="F205" s="7" t="s">
        <v>302</v>
      </c>
      <c r="G205" s="7" t="s">
        <v>745</v>
      </c>
      <c r="H205" s="6" t="n">
        <v>0.0921</v>
      </c>
      <c r="I205" s="8" t="n">
        <v>6</v>
      </c>
      <c r="J205" s="6"/>
      <c r="K205" s="6" t="s">
        <v>86</v>
      </c>
      <c r="L205" s="6" t="s">
        <v>112</v>
      </c>
      <c r="M205" s="6" t="s">
        <v>213</v>
      </c>
      <c r="N205" s="6" t="s">
        <v>89</v>
      </c>
    </row>
    <row r="206" customFormat="false" ht="15" hidden="false" customHeight="false" outlineLevel="0" collapsed="false">
      <c r="A206" s="6" t="s">
        <v>748</v>
      </c>
      <c r="B206" s="6" t="s">
        <v>722</v>
      </c>
      <c r="C206" s="6" t="s">
        <v>108</v>
      </c>
      <c r="D206" s="7" t="s">
        <v>749</v>
      </c>
      <c r="E206" s="7" t="s">
        <v>750</v>
      </c>
      <c r="F206" s="7" t="s">
        <v>166</v>
      </c>
      <c r="G206" s="7" t="s">
        <v>751</v>
      </c>
      <c r="H206" s="6" t="n">
        <v>0.0737</v>
      </c>
      <c r="I206" s="8" t="n">
        <v>6</v>
      </c>
      <c r="J206" s="6"/>
      <c r="K206" s="6" t="s">
        <v>86</v>
      </c>
      <c r="L206" s="6" t="s">
        <v>112</v>
      </c>
      <c r="M206" s="6" t="s">
        <v>213</v>
      </c>
      <c r="N206" s="6" t="s">
        <v>89</v>
      </c>
    </row>
    <row r="207" customFormat="false" ht="15" hidden="false" customHeight="false" outlineLevel="0" collapsed="false">
      <c r="A207" s="6" t="s">
        <v>752</v>
      </c>
      <c r="B207" s="6" t="s">
        <v>722</v>
      </c>
      <c r="C207" s="6" t="s">
        <v>108</v>
      </c>
      <c r="D207" s="7" t="s">
        <v>753</v>
      </c>
      <c r="E207" s="6" t="s">
        <v>754</v>
      </c>
      <c r="F207" s="7" t="s">
        <v>624</v>
      </c>
      <c r="G207" s="7" t="s">
        <v>85</v>
      </c>
      <c r="H207" s="6" t="n">
        <v>0.0737</v>
      </c>
      <c r="I207" s="8" t="n">
        <v>8</v>
      </c>
      <c r="J207" s="6"/>
      <c r="K207" s="6" t="s">
        <v>86</v>
      </c>
      <c r="L207" s="6" t="s">
        <v>112</v>
      </c>
      <c r="M207" s="6" t="s">
        <v>279</v>
      </c>
      <c r="N207" s="6" t="s">
        <v>89</v>
      </c>
    </row>
    <row r="208" customFormat="false" ht="15" hidden="false" customHeight="false" outlineLevel="0" collapsed="false">
      <c r="A208" s="6" t="s">
        <v>755</v>
      </c>
      <c r="B208" s="6" t="s">
        <v>722</v>
      </c>
      <c r="C208" s="6" t="s">
        <v>125</v>
      </c>
      <c r="D208" s="7" t="s">
        <v>756</v>
      </c>
      <c r="E208" s="6" t="s">
        <v>127</v>
      </c>
      <c r="F208" s="7" t="s">
        <v>744</v>
      </c>
      <c r="G208" s="6" t="s">
        <v>217</v>
      </c>
      <c r="H208" s="6" t="n">
        <v>0.08</v>
      </c>
      <c r="I208" s="8" t="n">
        <v>6</v>
      </c>
      <c r="J208" s="6"/>
      <c r="K208" s="6" t="s">
        <v>86</v>
      </c>
      <c r="L208" s="6" t="s">
        <v>130</v>
      </c>
      <c r="M208" s="6" t="s">
        <v>131</v>
      </c>
      <c r="N208" s="6" t="s">
        <v>89</v>
      </c>
    </row>
    <row r="209" customFormat="false" ht="26.85" hidden="false" customHeight="false" outlineLevel="0" collapsed="false">
      <c r="A209" s="6" t="s">
        <v>757</v>
      </c>
      <c r="B209" s="6" t="s">
        <v>722</v>
      </c>
      <c r="C209" s="6" t="s">
        <v>125</v>
      </c>
      <c r="D209" s="7" t="s">
        <v>758</v>
      </c>
      <c r="E209" s="6" t="s">
        <v>127</v>
      </c>
      <c r="F209" s="7" t="s">
        <v>166</v>
      </c>
      <c r="G209" s="7" t="s">
        <v>129</v>
      </c>
      <c r="H209" s="6" t="n">
        <v>0.064</v>
      </c>
      <c r="I209" s="8" t="n">
        <v>4</v>
      </c>
      <c r="J209" s="6"/>
      <c r="K209" s="6" t="s">
        <v>86</v>
      </c>
      <c r="L209" s="6" t="s">
        <v>130</v>
      </c>
      <c r="M209" s="6" t="s">
        <v>94</v>
      </c>
      <c r="N209" s="6" t="s">
        <v>89</v>
      </c>
    </row>
    <row r="210" customFormat="false" ht="15" hidden="false" customHeight="false" outlineLevel="0" collapsed="false">
      <c r="A210" s="6" t="s">
        <v>759</v>
      </c>
      <c r="B210" s="6" t="s">
        <v>722</v>
      </c>
      <c r="C210" s="6" t="s">
        <v>125</v>
      </c>
      <c r="D210" s="7" t="s">
        <v>760</v>
      </c>
      <c r="E210" s="6" t="s">
        <v>101</v>
      </c>
      <c r="F210" s="7" t="s">
        <v>270</v>
      </c>
      <c r="G210" s="7" t="s">
        <v>85</v>
      </c>
      <c r="H210" s="6" t="n">
        <v>0.056</v>
      </c>
      <c r="I210" s="8" t="n">
        <v>8</v>
      </c>
      <c r="J210" s="6"/>
      <c r="K210" s="6" t="s">
        <v>86</v>
      </c>
      <c r="L210" s="6" t="s">
        <v>130</v>
      </c>
      <c r="M210" s="6" t="s">
        <v>88</v>
      </c>
      <c r="N210" s="6" t="s">
        <v>89</v>
      </c>
    </row>
    <row r="211" customFormat="false" ht="15" hidden="false" customHeight="false" outlineLevel="0" collapsed="false">
      <c r="A211" s="6" t="s">
        <v>761</v>
      </c>
      <c r="B211" s="6" t="s">
        <v>762</v>
      </c>
      <c r="C211" s="6" t="s">
        <v>81</v>
      </c>
      <c r="D211" s="7" t="s">
        <v>763</v>
      </c>
      <c r="E211" s="6" t="s">
        <v>764</v>
      </c>
      <c r="F211" s="7" t="s">
        <v>765</v>
      </c>
      <c r="G211" s="7" t="s">
        <v>85</v>
      </c>
      <c r="H211" s="6" t="n">
        <v>0.1698</v>
      </c>
      <c r="I211" s="8" t="n">
        <v>6</v>
      </c>
      <c r="J211" s="6"/>
      <c r="K211" s="6" t="s">
        <v>86</v>
      </c>
      <c r="L211" s="6" t="s">
        <v>87</v>
      </c>
      <c r="M211" s="6" t="s">
        <v>279</v>
      </c>
      <c r="N211" s="6" t="s">
        <v>89</v>
      </c>
    </row>
    <row r="212" customFormat="false" ht="15" hidden="false" customHeight="false" outlineLevel="0" collapsed="false">
      <c r="A212" s="6" t="s">
        <v>766</v>
      </c>
      <c r="B212" s="6" t="s">
        <v>762</v>
      </c>
      <c r="C212" s="6" t="s">
        <v>81</v>
      </c>
      <c r="D212" s="7" t="s">
        <v>767</v>
      </c>
      <c r="E212" s="6" t="s">
        <v>768</v>
      </c>
      <c r="F212" s="7" t="s">
        <v>769</v>
      </c>
      <c r="G212" s="6" t="s">
        <v>217</v>
      </c>
      <c r="H212" s="6" t="n">
        <v>0.1274</v>
      </c>
      <c r="I212" s="8" t="n">
        <v>8</v>
      </c>
      <c r="J212" s="6"/>
      <c r="K212" s="6" t="s">
        <v>86</v>
      </c>
      <c r="L212" s="6" t="s">
        <v>87</v>
      </c>
      <c r="M212" s="6" t="s">
        <v>279</v>
      </c>
      <c r="N212" s="6" t="s">
        <v>89</v>
      </c>
    </row>
    <row r="213" customFormat="false" ht="15" hidden="false" customHeight="false" outlineLevel="0" collapsed="false">
      <c r="A213" s="6" t="s">
        <v>770</v>
      </c>
      <c r="B213" s="6" t="s">
        <v>762</v>
      </c>
      <c r="C213" s="6" t="s">
        <v>81</v>
      </c>
      <c r="D213" s="7" t="s">
        <v>771</v>
      </c>
      <c r="E213" s="6" t="s">
        <v>772</v>
      </c>
      <c r="F213" s="7" t="s">
        <v>773</v>
      </c>
      <c r="G213" s="6" t="s">
        <v>774</v>
      </c>
      <c r="H213" s="6" t="n">
        <v>0.0849</v>
      </c>
      <c r="I213" s="8" t="n">
        <v>8</v>
      </c>
      <c r="J213" s="6"/>
      <c r="K213" s="6" t="s">
        <v>86</v>
      </c>
      <c r="L213" s="6" t="s">
        <v>87</v>
      </c>
      <c r="M213" s="6" t="s">
        <v>88</v>
      </c>
      <c r="N213" s="6" t="s">
        <v>89</v>
      </c>
    </row>
    <row r="214" customFormat="false" ht="15" hidden="false" customHeight="false" outlineLevel="0" collapsed="false">
      <c r="A214" s="6" t="s">
        <v>775</v>
      </c>
      <c r="B214" s="6" t="s">
        <v>762</v>
      </c>
      <c r="C214" s="6" t="s">
        <v>81</v>
      </c>
      <c r="D214" s="7" t="s">
        <v>776</v>
      </c>
      <c r="E214" s="6" t="s">
        <v>777</v>
      </c>
      <c r="F214" s="7" t="s">
        <v>778</v>
      </c>
      <c r="G214" s="6" t="s">
        <v>120</v>
      </c>
      <c r="H214" s="6" t="n">
        <v>0.0679</v>
      </c>
      <c r="I214" s="8" t="n">
        <v>8</v>
      </c>
      <c r="J214" s="6"/>
      <c r="K214" s="6" t="s">
        <v>86</v>
      </c>
      <c r="L214" s="6" t="s">
        <v>87</v>
      </c>
      <c r="M214" s="6" t="s">
        <v>88</v>
      </c>
      <c r="N214" s="6" t="s">
        <v>89</v>
      </c>
    </row>
    <row r="215" customFormat="false" ht="15" hidden="false" customHeight="false" outlineLevel="0" collapsed="false">
      <c r="A215" s="6" t="s">
        <v>779</v>
      </c>
      <c r="B215" s="6" t="s">
        <v>762</v>
      </c>
      <c r="C215" s="6" t="s">
        <v>108</v>
      </c>
      <c r="D215" s="7" t="s">
        <v>780</v>
      </c>
      <c r="E215" s="6" t="s">
        <v>127</v>
      </c>
      <c r="F215" s="7" t="s">
        <v>266</v>
      </c>
      <c r="G215" s="7" t="s">
        <v>85</v>
      </c>
      <c r="H215" s="6" t="n">
        <v>0.125</v>
      </c>
      <c r="I215" s="8" t="n">
        <v>8</v>
      </c>
      <c r="J215" s="6"/>
      <c r="K215" s="6" t="s">
        <v>86</v>
      </c>
      <c r="L215" s="6" t="s">
        <v>112</v>
      </c>
      <c r="M215" s="6" t="s">
        <v>213</v>
      </c>
      <c r="N215" s="6" t="s">
        <v>89</v>
      </c>
    </row>
    <row r="216" customFormat="false" ht="15" hidden="false" customHeight="false" outlineLevel="0" collapsed="false">
      <c r="A216" s="6" t="s">
        <v>781</v>
      </c>
      <c r="B216" s="6" t="s">
        <v>762</v>
      </c>
      <c r="C216" s="6" t="s">
        <v>108</v>
      </c>
      <c r="D216" s="7" t="s">
        <v>782</v>
      </c>
      <c r="E216" s="6" t="s">
        <v>127</v>
      </c>
      <c r="F216" s="7" t="s">
        <v>93</v>
      </c>
      <c r="G216" s="7" t="s">
        <v>85</v>
      </c>
      <c r="H216" s="6" t="n">
        <v>0.1</v>
      </c>
      <c r="I216" s="8" t="n">
        <v>8</v>
      </c>
      <c r="J216" s="6"/>
      <c r="K216" s="6" t="s">
        <v>86</v>
      </c>
      <c r="L216" s="6" t="s">
        <v>112</v>
      </c>
      <c r="M216" s="6" t="s">
        <v>279</v>
      </c>
      <c r="N216" s="6" t="s">
        <v>89</v>
      </c>
    </row>
    <row r="217" customFormat="false" ht="15" hidden="false" customHeight="false" outlineLevel="0" collapsed="false">
      <c r="A217" s="6" t="s">
        <v>783</v>
      </c>
      <c r="B217" s="6" t="s">
        <v>762</v>
      </c>
      <c r="C217" s="6" t="s">
        <v>108</v>
      </c>
      <c r="D217" s="7" t="s">
        <v>784</v>
      </c>
      <c r="E217" s="6" t="s">
        <v>785</v>
      </c>
      <c r="F217" s="7" t="s">
        <v>308</v>
      </c>
      <c r="G217" s="7" t="s">
        <v>85</v>
      </c>
      <c r="H217" s="6" t="n">
        <v>0.0667</v>
      </c>
      <c r="I217" s="8" t="n">
        <v>8</v>
      </c>
      <c r="J217" s="6"/>
      <c r="K217" s="6" t="s">
        <v>86</v>
      </c>
      <c r="L217" s="6" t="s">
        <v>112</v>
      </c>
      <c r="M217" s="6" t="s">
        <v>213</v>
      </c>
      <c r="N217" s="6" t="s">
        <v>89</v>
      </c>
    </row>
    <row r="218" customFormat="false" ht="15" hidden="false" customHeight="false" outlineLevel="0" collapsed="false">
      <c r="A218" s="6" t="s">
        <v>786</v>
      </c>
      <c r="B218" s="6" t="s">
        <v>762</v>
      </c>
      <c r="C218" s="6" t="s">
        <v>108</v>
      </c>
      <c r="D218" s="7" t="s">
        <v>787</v>
      </c>
      <c r="E218" s="6" t="s">
        <v>788</v>
      </c>
      <c r="F218" s="7" t="s">
        <v>305</v>
      </c>
      <c r="G218" s="7" t="s">
        <v>85</v>
      </c>
      <c r="H218" s="6" t="n">
        <v>0.0583</v>
      </c>
      <c r="I218" s="8" t="n">
        <v>6</v>
      </c>
      <c r="J218" s="6"/>
      <c r="K218" s="6" t="s">
        <v>86</v>
      </c>
      <c r="L218" s="6" t="s">
        <v>112</v>
      </c>
      <c r="M218" s="6" t="s">
        <v>88</v>
      </c>
      <c r="N218" s="6" t="s">
        <v>89</v>
      </c>
    </row>
    <row r="219" customFormat="false" ht="15" hidden="false" customHeight="false" outlineLevel="0" collapsed="false">
      <c r="A219" s="6" t="s">
        <v>789</v>
      </c>
      <c r="B219" s="6" t="s">
        <v>762</v>
      </c>
      <c r="C219" s="6" t="s">
        <v>125</v>
      </c>
      <c r="D219" s="7" t="s">
        <v>790</v>
      </c>
      <c r="E219" s="6" t="s">
        <v>127</v>
      </c>
      <c r="F219" s="7" t="s">
        <v>259</v>
      </c>
      <c r="G219" s="6" t="s">
        <v>217</v>
      </c>
      <c r="H219" s="6" t="n">
        <v>0.08</v>
      </c>
      <c r="I219" s="8" t="n">
        <v>6</v>
      </c>
      <c r="J219" s="6"/>
      <c r="K219" s="6" t="s">
        <v>86</v>
      </c>
      <c r="L219" s="6" t="s">
        <v>130</v>
      </c>
      <c r="M219" s="6" t="s">
        <v>131</v>
      </c>
      <c r="N219" s="6" t="s">
        <v>89</v>
      </c>
    </row>
    <row r="220" customFormat="false" ht="15" hidden="false" customHeight="false" outlineLevel="0" collapsed="false">
      <c r="A220" s="6" t="s">
        <v>791</v>
      </c>
      <c r="B220" s="6" t="s">
        <v>762</v>
      </c>
      <c r="C220" s="6" t="s">
        <v>125</v>
      </c>
      <c r="D220" s="7" t="s">
        <v>792</v>
      </c>
      <c r="E220" s="6" t="s">
        <v>127</v>
      </c>
      <c r="F220" s="7" t="s">
        <v>793</v>
      </c>
      <c r="G220" s="7" t="s">
        <v>129</v>
      </c>
      <c r="H220" s="6" t="n">
        <v>0.064</v>
      </c>
      <c r="I220" s="8" t="n">
        <v>8</v>
      </c>
      <c r="J220" s="6"/>
      <c r="K220" s="6" t="s">
        <v>86</v>
      </c>
      <c r="L220" s="6" t="s">
        <v>130</v>
      </c>
      <c r="M220" s="6" t="s">
        <v>88</v>
      </c>
      <c r="N220" s="6" t="s">
        <v>89</v>
      </c>
    </row>
    <row r="221" customFormat="false" ht="15" hidden="false" customHeight="false" outlineLevel="0" collapsed="false">
      <c r="A221" s="6" t="s">
        <v>794</v>
      </c>
      <c r="B221" s="6" t="s">
        <v>762</v>
      </c>
      <c r="C221" s="6" t="s">
        <v>125</v>
      </c>
      <c r="D221" s="7" t="s">
        <v>795</v>
      </c>
      <c r="E221" s="6" t="s">
        <v>127</v>
      </c>
      <c r="F221" s="7" t="s">
        <v>372</v>
      </c>
      <c r="G221" s="7" t="s">
        <v>129</v>
      </c>
      <c r="H221" s="6" t="n">
        <v>0.056</v>
      </c>
      <c r="I221" s="8" t="n">
        <v>8</v>
      </c>
      <c r="J221" s="6"/>
      <c r="K221" s="6" t="s">
        <v>86</v>
      </c>
      <c r="L221" s="6" t="s">
        <v>130</v>
      </c>
      <c r="M221" s="6" t="s">
        <v>168</v>
      </c>
      <c r="N221" s="6" t="s">
        <v>89</v>
      </c>
    </row>
    <row r="222" customFormat="false" ht="15" hidden="false" customHeight="false" outlineLevel="0" collapsed="false">
      <c r="A222" s="6" t="s">
        <v>796</v>
      </c>
      <c r="B222" s="6" t="s">
        <v>797</v>
      </c>
      <c r="C222" s="6" t="s">
        <v>81</v>
      </c>
      <c r="D222" s="7" t="s">
        <v>798</v>
      </c>
      <c r="E222" s="7" t="s">
        <v>799</v>
      </c>
      <c r="F222" s="7" t="s">
        <v>253</v>
      </c>
      <c r="G222" s="7" t="s">
        <v>85</v>
      </c>
      <c r="H222" s="6" t="n">
        <v>0.15</v>
      </c>
      <c r="I222" s="8" t="n">
        <v>8</v>
      </c>
      <c r="J222" s="6"/>
      <c r="K222" s="6" t="s">
        <v>86</v>
      </c>
      <c r="L222" s="6" t="s">
        <v>87</v>
      </c>
      <c r="M222" s="6" t="s">
        <v>88</v>
      </c>
      <c r="N222" s="6" t="s">
        <v>89</v>
      </c>
    </row>
    <row r="223" customFormat="false" ht="15" hidden="false" customHeight="false" outlineLevel="0" collapsed="false">
      <c r="A223" s="6" t="s">
        <v>800</v>
      </c>
      <c r="B223" s="6" t="s">
        <v>797</v>
      </c>
      <c r="C223" s="6" t="s">
        <v>81</v>
      </c>
      <c r="D223" s="7" t="s">
        <v>801</v>
      </c>
      <c r="E223" s="7" t="s">
        <v>802</v>
      </c>
      <c r="F223" s="7" t="s">
        <v>93</v>
      </c>
      <c r="G223" s="7" t="s">
        <v>85</v>
      </c>
      <c r="H223" s="6" t="n">
        <v>0.12</v>
      </c>
      <c r="I223" s="8" t="n">
        <v>8</v>
      </c>
      <c r="J223" s="6"/>
      <c r="K223" s="6" t="s">
        <v>86</v>
      </c>
      <c r="L223" s="6" t="s">
        <v>87</v>
      </c>
      <c r="M223" s="6" t="s">
        <v>88</v>
      </c>
      <c r="N223" s="6" t="s">
        <v>89</v>
      </c>
    </row>
    <row r="224" customFormat="false" ht="15" hidden="false" customHeight="false" outlineLevel="0" collapsed="false">
      <c r="A224" s="6" t="s">
        <v>803</v>
      </c>
      <c r="B224" s="6" t="s">
        <v>797</v>
      </c>
      <c r="C224" s="6" t="s">
        <v>81</v>
      </c>
      <c r="D224" s="7" t="s">
        <v>804</v>
      </c>
      <c r="E224" s="7" t="s">
        <v>805</v>
      </c>
      <c r="F224" s="7" t="s">
        <v>806</v>
      </c>
      <c r="G224" s="7" t="s">
        <v>85</v>
      </c>
      <c r="H224" s="6" t="n">
        <v>0.13</v>
      </c>
      <c r="I224" s="8" t="n">
        <v>10</v>
      </c>
      <c r="J224" s="6"/>
      <c r="K224" s="6" t="s">
        <v>86</v>
      </c>
      <c r="L224" s="6" t="s">
        <v>87</v>
      </c>
      <c r="M224" s="6" t="s">
        <v>213</v>
      </c>
      <c r="N224" s="6" t="s">
        <v>89</v>
      </c>
    </row>
    <row r="225" customFormat="false" ht="15" hidden="false" customHeight="false" outlineLevel="0" collapsed="false">
      <c r="A225" s="6" t="s">
        <v>807</v>
      </c>
      <c r="B225" s="6" t="s">
        <v>797</v>
      </c>
      <c r="C225" s="6" t="s">
        <v>81</v>
      </c>
      <c r="D225" s="7" t="s">
        <v>808</v>
      </c>
      <c r="E225" s="6" t="s">
        <v>809</v>
      </c>
      <c r="F225" s="7" t="s">
        <v>810</v>
      </c>
      <c r="G225" s="7" t="s">
        <v>85</v>
      </c>
      <c r="H225" s="6" t="n">
        <v>0.1</v>
      </c>
      <c r="I225" s="8" t="n">
        <v>8</v>
      </c>
      <c r="J225" s="6"/>
      <c r="K225" s="6" t="s">
        <v>86</v>
      </c>
      <c r="L225" s="6" t="s">
        <v>87</v>
      </c>
      <c r="M225" s="6" t="s">
        <v>213</v>
      </c>
      <c r="N225" s="6" t="s">
        <v>89</v>
      </c>
    </row>
    <row r="226" customFormat="false" ht="15" hidden="false" customHeight="false" outlineLevel="0" collapsed="false">
      <c r="A226" s="6" t="s">
        <v>811</v>
      </c>
      <c r="B226" s="6" t="s">
        <v>797</v>
      </c>
      <c r="C226" s="6" t="s">
        <v>108</v>
      </c>
      <c r="D226" s="7" t="s">
        <v>812</v>
      </c>
      <c r="E226" s="6" t="s">
        <v>813</v>
      </c>
      <c r="F226" s="7" t="s">
        <v>773</v>
      </c>
      <c r="G226" s="6" t="s">
        <v>217</v>
      </c>
      <c r="H226" s="6" t="n">
        <v>0.105</v>
      </c>
      <c r="I226" s="8" t="n">
        <v>8</v>
      </c>
      <c r="J226" s="6"/>
      <c r="K226" s="6" t="s">
        <v>86</v>
      </c>
      <c r="L226" s="6" t="s">
        <v>112</v>
      </c>
      <c r="M226" s="6" t="s">
        <v>88</v>
      </c>
      <c r="N226" s="6" t="s">
        <v>89</v>
      </c>
    </row>
    <row r="227" customFormat="false" ht="15" hidden="false" customHeight="false" outlineLevel="0" collapsed="false">
      <c r="A227" s="6" t="s">
        <v>814</v>
      </c>
      <c r="B227" s="6" t="s">
        <v>797</v>
      </c>
      <c r="C227" s="6" t="s">
        <v>108</v>
      </c>
      <c r="D227" s="7" t="s">
        <v>815</v>
      </c>
      <c r="E227" s="6" t="s">
        <v>816</v>
      </c>
      <c r="F227" s="7" t="s">
        <v>302</v>
      </c>
      <c r="G227" s="7" t="s">
        <v>129</v>
      </c>
      <c r="H227" s="6" t="n">
        <v>0.07</v>
      </c>
      <c r="I227" s="8" t="n">
        <v>6</v>
      </c>
      <c r="J227" s="6"/>
      <c r="K227" s="6" t="s">
        <v>86</v>
      </c>
      <c r="L227" s="6" t="s">
        <v>112</v>
      </c>
      <c r="M227" s="6" t="s">
        <v>88</v>
      </c>
      <c r="N227" s="6" t="s">
        <v>89</v>
      </c>
    </row>
    <row r="228" customFormat="false" ht="15" hidden="false" customHeight="false" outlineLevel="0" collapsed="false">
      <c r="A228" s="6" t="s">
        <v>817</v>
      </c>
      <c r="B228" s="6" t="s">
        <v>797</v>
      </c>
      <c r="C228" s="6" t="s">
        <v>108</v>
      </c>
      <c r="D228" s="7" t="s">
        <v>818</v>
      </c>
      <c r="E228" s="7" t="s">
        <v>819</v>
      </c>
      <c r="F228" s="7" t="s">
        <v>240</v>
      </c>
      <c r="G228" s="7" t="s">
        <v>85</v>
      </c>
      <c r="H228" s="6" t="n">
        <v>0.0875</v>
      </c>
      <c r="I228" s="8" t="n">
        <v>8</v>
      </c>
      <c r="J228" s="6"/>
      <c r="K228" s="6" t="s">
        <v>86</v>
      </c>
      <c r="L228" s="6" t="s">
        <v>112</v>
      </c>
      <c r="M228" s="6" t="s">
        <v>88</v>
      </c>
      <c r="N228" s="6" t="s">
        <v>89</v>
      </c>
    </row>
    <row r="229" customFormat="false" ht="15" hidden="false" customHeight="false" outlineLevel="0" collapsed="false">
      <c r="A229" s="6" t="s">
        <v>820</v>
      </c>
      <c r="B229" s="6" t="s">
        <v>797</v>
      </c>
      <c r="C229" s="6" t="s">
        <v>108</v>
      </c>
      <c r="D229" s="7" t="s">
        <v>821</v>
      </c>
      <c r="E229" s="6" t="s">
        <v>127</v>
      </c>
      <c r="F229" s="7" t="s">
        <v>270</v>
      </c>
      <c r="G229" s="7" t="s">
        <v>85</v>
      </c>
      <c r="H229" s="6" t="n">
        <v>0.0875</v>
      </c>
      <c r="I229" s="8" t="n">
        <v>8</v>
      </c>
      <c r="J229" s="6"/>
      <c r="K229" s="6" t="s">
        <v>86</v>
      </c>
      <c r="L229" s="6" t="s">
        <v>112</v>
      </c>
      <c r="M229" s="6" t="s">
        <v>279</v>
      </c>
      <c r="N229" s="6" t="s">
        <v>89</v>
      </c>
    </row>
    <row r="230" customFormat="false" ht="15" hidden="false" customHeight="false" outlineLevel="0" collapsed="false">
      <c r="A230" s="6" t="s">
        <v>822</v>
      </c>
      <c r="B230" s="6" t="s">
        <v>797</v>
      </c>
      <c r="C230" s="6" t="s">
        <v>125</v>
      </c>
      <c r="D230" s="7" t="s">
        <v>823</v>
      </c>
      <c r="E230" s="6" t="s">
        <v>127</v>
      </c>
      <c r="F230" s="7" t="s">
        <v>338</v>
      </c>
      <c r="G230" s="6" t="s">
        <v>217</v>
      </c>
      <c r="H230" s="6" t="n">
        <v>0.06</v>
      </c>
      <c r="I230" s="8" t="n">
        <v>6</v>
      </c>
      <c r="J230" s="6"/>
      <c r="K230" s="6" t="s">
        <v>86</v>
      </c>
      <c r="L230" s="6" t="s">
        <v>130</v>
      </c>
      <c r="M230" s="6" t="s">
        <v>131</v>
      </c>
      <c r="N230" s="6" t="s">
        <v>89</v>
      </c>
    </row>
    <row r="231" customFormat="false" ht="26.85" hidden="false" customHeight="false" outlineLevel="0" collapsed="false">
      <c r="A231" s="6" t="s">
        <v>824</v>
      </c>
      <c r="B231" s="6" t="s">
        <v>797</v>
      </c>
      <c r="C231" s="6" t="s">
        <v>125</v>
      </c>
      <c r="D231" s="7" t="s">
        <v>825</v>
      </c>
      <c r="E231" s="6" t="s">
        <v>127</v>
      </c>
      <c r="F231" s="7" t="s">
        <v>259</v>
      </c>
      <c r="G231" s="7" t="s">
        <v>129</v>
      </c>
      <c r="H231" s="6" t="n">
        <v>0.048</v>
      </c>
      <c r="I231" s="8" t="n">
        <v>6</v>
      </c>
      <c r="J231" s="6"/>
      <c r="K231" s="6" t="s">
        <v>86</v>
      </c>
      <c r="L231" s="6" t="s">
        <v>130</v>
      </c>
      <c r="M231" s="6" t="s">
        <v>94</v>
      </c>
      <c r="N231" s="6" t="s">
        <v>89</v>
      </c>
    </row>
    <row r="232" customFormat="false" ht="15" hidden="false" customHeight="false" outlineLevel="0" collapsed="false">
      <c r="A232" s="6" t="s">
        <v>826</v>
      </c>
      <c r="B232" s="6" t="s">
        <v>797</v>
      </c>
      <c r="C232" s="6" t="s">
        <v>125</v>
      </c>
      <c r="D232" s="7" t="s">
        <v>827</v>
      </c>
      <c r="E232" s="6" t="s">
        <v>809</v>
      </c>
      <c r="F232" s="7" t="s">
        <v>177</v>
      </c>
      <c r="G232" s="7" t="s">
        <v>85</v>
      </c>
      <c r="H232" s="6" t="n">
        <v>0.042</v>
      </c>
      <c r="I232" s="8" t="n">
        <v>8</v>
      </c>
      <c r="J232" s="6"/>
      <c r="K232" s="6" t="s">
        <v>86</v>
      </c>
      <c r="L232" s="6" t="s">
        <v>130</v>
      </c>
      <c r="M232" s="6" t="s">
        <v>88</v>
      </c>
      <c r="N232" s="6" t="s">
        <v>89</v>
      </c>
    </row>
    <row r="233" customFormat="false" ht="15" hidden="false" customHeight="false" outlineLevel="0" collapsed="false">
      <c r="A233" s="6" t="s">
        <v>828</v>
      </c>
      <c r="B233" s="6" t="s">
        <v>829</v>
      </c>
      <c r="C233" s="6" t="s">
        <v>81</v>
      </c>
      <c r="D233" s="7" t="s">
        <v>830</v>
      </c>
      <c r="E233" s="7" t="s">
        <v>831</v>
      </c>
      <c r="F233" s="7" t="s">
        <v>832</v>
      </c>
      <c r="G233" s="7" t="s">
        <v>85</v>
      </c>
      <c r="H233" s="6" t="n">
        <v>0.1333</v>
      </c>
      <c r="I233" s="8" t="n">
        <v>8</v>
      </c>
      <c r="J233" s="6"/>
      <c r="K233" s="6" t="s">
        <v>86</v>
      </c>
      <c r="L233" s="6" t="s">
        <v>87</v>
      </c>
      <c r="M233" s="6" t="s">
        <v>213</v>
      </c>
      <c r="N233" s="6" t="s">
        <v>89</v>
      </c>
    </row>
    <row r="234" customFormat="false" ht="15" hidden="false" customHeight="false" outlineLevel="0" collapsed="false">
      <c r="A234" s="6" t="s">
        <v>833</v>
      </c>
      <c r="B234" s="6" t="s">
        <v>829</v>
      </c>
      <c r="C234" s="6" t="s">
        <v>81</v>
      </c>
      <c r="D234" s="7" t="s">
        <v>834</v>
      </c>
      <c r="E234" s="6" t="s">
        <v>835</v>
      </c>
      <c r="F234" s="7" t="s">
        <v>123</v>
      </c>
      <c r="G234" s="6" t="s">
        <v>445</v>
      </c>
      <c r="H234" s="6" t="n">
        <v>0.1067</v>
      </c>
      <c r="I234" s="8" t="n">
        <v>8</v>
      </c>
      <c r="J234" s="6"/>
      <c r="K234" s="6" t="s">
        <v>86</v>
      </c>
      <c r="L234" s="6" t="s">
        <v>87</v>
      </c>
      <c r="M234" s="6" t="s">
        <v>279</v>
      </c>
      <c r="N234" s="6" t="s">
        <v>89</v>
      </c>
    </row>
    <row r="235" customFormat="false" ht="15" hidden="false" customHeight="false" outlineLevel="0" collapsed="false">
      <c r="A235" s="6" t="s">
        <v>836</v>
      </c>
      <c r="B235" s="6" t="s">
        <v>829</v>
      </c>
      <c r="C235" s="6" t="s">
        <v>81</v>
      </c>
      <c r="D235" s="7" t="s">
        <v>837</v>
      </c>
      <c r="E235" s="7" t="s">
        <v>831</v>
      </c>
      <c r="F235" s="7" t="s">
        <v>177</v>
      </c>
      <c r="G235" s="7" t="s">
        <v>85</v>
      </c>
      <c r="H235" s="6" t="n">
        <v>0.0889</v>
      </c>
      <c r="I235" s="8" t="n">
        <v>6</v>
      </c>
      <c r="J235" s="6"/>
      <c r="K235" s="6" t="s">
        <v>86</v>
      </c>
      <c r="L235" s="6" t="s">
        <v>87</v>
      </c>
      <c r="M235" s="6" t="s">
        <v>88</v>
      </c>
      <c r="N235" s="6" t="s">
        <v>89</v>
      </c>
    </row>
    <row r="236" customFormat="false" ht="15" hidden="false" customHeight="false" outlineLevel="0" collapsed="false">
      <c r="A236" s="6" t="s">
        <v>838</v>
      </c>
      <c r="B236" s="6" t="s">
        <v>829</v>
      </c>
      <c r="C236" s="6" t="s">
        <v>81</v>
      </c>
      <c r="D236" s="7" t="s">
        <v>839</v>
      </c>
      <c r="E236" s="7" t="s">
        <v>840</v>
      </c>
      <c r="F236" s="7" t="s">
        <v>249</v>
      </c>
      <c r="G236" s="7" t="s">
        <v>85</v>
      </c>
      <c r="H236" s="6" t="n">
        <v>0.0711</v>
      </c>
      <c r="I236" s="8" t="n">
        <v>6</v>
      </c>
      <c r="J236" s="6"/>
      <c r="K236" s="6" t="s">
        <v>86</v>
      </c>
      <c r="L236" s="6" t="s">
        <v>87</v>
      </c>
      <c r="M236" s="6" t="s">
        <v>279</v>
      </c>
      <c r="N236" s="6" t="s">
        <v>89</v>
      </c>
    </row>
    <row r="237" customFormat="false" ht="15" hidden="false" customHeight="false" outlineLevel="0" collapsed="false">
      <c r="A237" s="6" t="s">
        <v>841</v>
      </c>
      <c r="B237" s="6" t="s">
        <v>829</v>
      </c>
      <c r="C237" s="6" t="s">
        <v>108</v>
      </c>
      <c r="D237" s="7" t="s">
        <v>842</v>
      </c>
      <c r="E237" s="6" t="s">
        <v>843</v>
      </c>
      <c r="F237" s="7" t="s">
        <v>528</v>
      </c>
      <c r="G237" s="7" t="s">
        <v>85</v>
      </c>
      <c r="H237" s="6" t="n">
        <v>0.12</v>
      </c>
      <c r="I237" s="8" t="n">
        <v>8</v>
      </c>
      <c r="J237" s="6"/>
      <c r="K237" s="6" t="s">
        <v>86</v>
      </c>
      <c r="L237" s="6" t="s">
        <v>112</v>
      </c>
      <c r="M237" s="6" t="s">
        <v>88</v>
      </c>
      <c r="N237" s="6" t="s">
        <v>89</v>
      </c>
    </row>
    <row r="238" customFormat="false" ht="15" hidden="false" customHeight="false" outlineLevel="0" collapsed="false">
      <c r="A238" s="6" t="s">
        <v>844</v>
      </c>
      <c r="B238" s="6" t="s">
        <v>829</v>
      </c>
      <c r="C238" s="6" t="s">
        <v>108</v>
      </c>
      <c r="D238" s="7" t="s">
        <v>845</v>
      </c>
      <c r="E238" s="6" t="s">
        <v>629</v>
      </c>
      <c r="F238" s="7" t="s">
        <v>259</v>
      </c>
      <c r="G238" s="6" t="s">
        <v>630</v>
      </c>
      <c r="H238" s="6" t="n">
        <v>0.1</v>
      </c>
      <c r="I238" s="8" t="n">
        <v>6</v>
      </c>
      <c r="J238" s="6"/>
      <c r="K238" s="6" t="s">
        <v>86</v>
      </c>
      <c r="L238" s="6" t="s">
        <v>112</v>
      </c>
      <c r="M238" s="6" t="s">
        <v>213</v>
      </c>
      <c r="N238" s="6" t="s">
        <v>89</v>
      </c>
    </row>
    <row r="239" customFormat="false" ht="15" hidden="false" customHeight="false" outlineLevel="0" collapsed="false">
      <c r="A239" s="6" t="s">
        <v>846</v>
      </c>
      <c r="B239" s="6" t="s">
        <v>829</v>
      </c>
      <c r="C239" s="6" t="s">
        <v>108</v>
      </c>
      <c r="D239" s="7" t="s">
        <v>847</v>
      </c>
      <c r="E239" s="6" t="s">
        <v>848</v>
      </c>
      <c r="F239" s="7" t="s">
        <v>849</v>
      </c>
      <c r="G239" s="6" t="s">
        <v>850</v>
      </c>
      <c r="H239" s="6" t="n">
        <v>0.1</v>
      </c>
      <c r="I239" s="8" t="n">
        <v>6</v>
      </c>
      <c r="J239" s="6"/>
      <c r="K239" s="6" t="s">
        <v>86</v>
      </c>
      <c r="L239" s="6" t="s">
        <v>112</v>
      </c>
      <c r="M239" s="6" t="s">
        <v>88</v>
      </c>
      <c r="N239" s="6" t="s">
        <v>89</v>
      </c>
    </row>
    <row r="240" customFormat="false" ht="15" hidden="false" customHeight="false" outlineLevel="0" collapsed="false">
      <c r="A240" s="6" t="s">
        <v>851</v>
      </c>
      <c r="B240" s="6" t="s">
        <v>829</v>
      </c>
      <c r="C240" s="6" t="s">
        <v>108</v>
      </c>
      <c r="D240" s="7" t="s">
        <v>852</v>
      </c>
      <c r="E240" s="6" t="s">
        <v>788</v>
      </c>
      <c r="F240" s="7" t="s">
        <v>278</v>
      </c>
      <c r="G240" s="7" t="s">
        <v>85</v>
      </c>
      <c r="H240" s="6" t="n">
        <v>0.08</v>
      </c>
      <c r="I240" s="8" t="n">
        <v>8</v>
      </c>
      <c r="J240" s="6"/>
      <c r="K240" s="6" t="s">
        <v>86</v>
      </c>
      <c r="L240" s="6" t="s">
        <v>112</v>
      </c>
      <c r="M240" s="6" t="s">
        <v>88</v>
      </c>
      <c r="N240" s="6" t="s">
        <v>89</v>
      </c>
    </row>
    <row r="241" customFormat="false" ht="15" hidden="false" customHeight="false" outlineLevel="0" collapsed="false">
      <c r="A241" s="6" t="s">
        <v>853</v>
      </c>
      <c r="B241" s="6" t="s">
        <v>829</v>
      </c>
      <c r="C241" s="6" t="s">
        <v>125</v>
      </c>
      <c r="D241" s="7" t="s">
        <v>854</v>
      </c>
      <c r="E241" s="6" t="s">
        <v>127</v>
      </c>
      <c r="F241" s="7" t="s">
        <v>677</v>
      </c>
      <c r="G241" s="6" t="s">
        <v>217</v>
      </c>
      <c r="H241" s="6" t="n">
        <v>0.08</v>
      </c>
      <c r="I241" s="8" t="n">
        <v>6</v>
      </c>
      <c r="J241" s="6"/>
      <c r="K241" s="6" t="s">
        <v>86</v>
      </c>
      <c r="L241" s="6" t="s">
        <v>130</v>
      </c>
      <c r="M241" s="6" t="s">
        <v>131</v>
      </c>
      <c r="N241" s="6" t="s">
        <v>89</v>
      </c>
    </row>
    <row r="242" customFormat="false" ht="26.85" hidden="false" customHeight="false" outlineLevel="0" collapsed="false">
      <c r="A242" s="6" t="s">
        <v>855</v>
      </c>
      <c r="B242" s="6" t="s">
        <v>829</v>
      </c>
      <c r="C242" s="6" t="s">
        <v>125</v>
      </c>
      <c r="D242" s="7" t="s">
        <v>856</v>
      </c>
      <c r="E242" s="6" t="s">
        <v>127</v>
      </c>
      <c r="F242" s="7" t="s">
        <v>338</v>
      </c>
      <c r="G242" s="7" t="s">
        <v>129</v>
      </c>
      <c r="H242" s="6" t="n">
        <v>0.064</v>
      </c>
      <c r="I242" s="8" t="n">
        <v>8</v>
      </c>
      <c r="J242" s="6"/>
      <c r="K242" s="6" t="s">
        <v>86</v>
      </c>
      <c r="L242" s="6" t="s">
        <v>130</v>
      </c>
      <c r="M242" s="6" t="s">
        <v>94</v>
      </c>
      <c r="N242" s="6" t="s">
        <v>89</v>
      </c>
    </row>
    <row r="243" customFormat="false" ht="15" hidden="false" customHeight="false" outlineLevel="0" collapsed="false">
      <c r="A243" s="6" t="s">
        <v>857</v>
      </c>
      <c r="B243" s="6" t="s">
        <v>829</v>
      </c>
      <c r="C243" s="6" t="s">
        <v>125</v>
      </c>
      <c r="D243" s="7" t="s">
        <v>858</v>
      </c>
      <c r="E243" s="6" t="s">
        <v>127</v>
      </c>
      <c r="F243" s="7" t="s">
        <v>287</v>
      </c>
      <c r="G243" s="6" t="s">
        <v>859</v>
      </c>
      <c r="H243" s="6" t="n">
        <v>0.056</v>
      </c>
      <c r="I243" s="8" t="n">
        <v>6</v>
      </c>
      <c r="J243" s="6"/>
      <c r="K243" s="6" t="s">
        <v>86</v>
      </c>
      <c r="L243" s="6" t="s">
        <v>130</v>
      </c>
      <c r="M243" s="6" t="s">
        <v>88</v>
      </c>
      <c r="N243" s="6" t="s">
        <v>89</v>
      </c>
    </row>
    <row r="244" customFormat="false" ht="15" hidden="false" customHeight="false" outlineLevel="0" collapsed="false">
      <c r="A244" s="6" t="s">
        <v>860</v>
      </c>
      <c r="B244" s="6" t="s">
        <v>861</v>
      </c>
      <c r="C244" s="6" t="s">
        <v>81</v>
      </c>
      <c r="D244" s="7" t="s">
        <v>862</v>
      </c>
      <c r="E244" s="6" t="s">
        <v>809</v>
      </c>
      <c r="F244" s="7" t="s">
        <v>863</v>
      </c>
      <c r="G244" s="6" t="s">
        <v>864</v>
      </c>
      <c r="H244" s="6" t="n">
        <v>0.1667</v>
      </c>
      <c r="I244" s="8" t="n">
        <v>10</v>
      </c>
      <c r="J244" s="6"/>
      <c r="K244" s="6" t="s">
        <v>86</v>
      </c>
      <c r="L244" s="6" t="s">
        <v>87</v>
      </c>
      <c r="M244" s="6" t="s">
        <v>88</v>
      </c>
      <c r="N244" s="6" t="s">
        <v>89</v>
      </c>
    </row>
    <row r="245" customFormat="false" ht="15" hidden="false" customHeight="false" outlineLevel="0" collapsed="false">
      <c r="A245" s="6" t="s">
        <v>865</v>
      </c>
      <c r="B245" s="6" t="s">
        <v>861</v>
      </c>
      <c r="C245" s="6" t="s">
        <v>81</v>
      </c>
      <c r="D245" s="7" t="s">
        <v>866</v>
      </c>
      <c r="E245" s="6" t="s">
        <v>867</v>
      </c>
      <c r="F245" s="7" t="s">
        <v>868</v>
      </c>
      <c r="G245" s="6" t="s">
        <v>217</v>
      </c>
      <c r="H245" s="6" t="n">
        <v>0.1333</v>
      </c>
      <c r="I245" s="8" t="n">
        <v>8</v>
      </c>
      <c r="J245" s="6"/>
      <c r="K245" s="6" t="s">
        <v>86</v>
      </c>
      <c r="L245" s="6" t="s">
        <v>87</v>
      </c>
      <c r="M245" s="6" t="s">
        <v>88</v>
      </c>
      <c r="N245" s="6" t="s">
        <v>89</v>
      </c>
    </row>
    <row r="246" customFormat="false" ht="15" hidden="false" customHeight="false" outlineLevel="0" collapsed="false">
      <c r="A246" s="6" t="s">
        <v>869</v>
      </c>
      <c r="B246" s="6" t="s">
        <v>861</v>
      </c>
      <c r="C246" s="6" t="s">
        <v>81</v>
      </c>
      <c r="D246" s="7" t="s">
        <v>870</v>
      </c>
      <c r="E246" s="7" t="s">
        <v>871</v>
      </c>
      <c r="F246" s="7" t="s">
        <v>872</v>
      </c>
      <c r="G246" s="7" t="s">
        <v>85</v>
      </c>
      <c r="H246" s="6" t="n">
        <v>0.1111</v>
      </c>
      <c r="I246" s="8" t="n">
        <v>10</v>
      </c>
      <c r="J246" s="6"/>
      <c r="K246" s="6" t="s">
        <v>86</v>
      </c>
      <c r="L246" s="6" t="s">
        <v>87</v>
      </c>
      <c r="M246" s="6" t="s">
        <v>213</v>
      </c>
      <c r="N246" s="6" t="s">
        <v>89</v>
      </c>
    </row>
    <row r="247" customFormat="false" ht="15" hidden="false" customHeight="false" outlineLevel="0" collapsed="false">
      <c r="A247" s="6" t="s">
        <v>873</v>
      </c>
      <c r="B247" s="6" t="s">
        <v>861</v>
      </c>
      <c r="C247" s="6" t="s">
        <v>81</v>
      </c>
      <c r="D247" s="7" t="s">
        <v>874</v>
      </c>
      <c r="E247" s="6" t="s">
        <v>809</v>
      </c>
      <c r="F247" s="7" t="s">
        <v>875</v>
      </c>
      <c r="G247" s="6" t="s">
        <v>876</v>
      </c>
      <c r="H247" s="6" t="n">
        <v>0.0889</v>
      </c>
      <c r="I247" s="8" t="n">
        <v>10</v>
      </c>
      <c r="J247" s="6"/>
      <c r="K247" s="6" t="s">
        <v>86</v>
      </c>
      <c r="L247" s="6" t="s">
        <v>87</v>
      </c>
      <c r="M247" s="6" t="s">
        <v>88</v>
      </c>
      <c r="N247" s="6" t="s">
        <v>89</v>
      </c>
    </row>
    <row r="248" customFormat="false" ht="15" hidden="false" customHeight="false" outlineLevel="0" collapsed="false">
      <c r="A248" s="6" t="s">
        <v>877</v>
      </c>
      <c r="B248" s="6" t="s">
        <v>861</v>
      </c>
      <c r="C248" s="6" t="s">
        <v>108</v>
      </c>
      <c r="D248" s="7" t="s">
        <v>878</v>
      </c>
      <c r="E248" s="6" t="s">
        <v>809</v>
      </c>
      <c r="F248" s="7" t="s">
        <v>270</v>
      </c>
      <c r="G248" s="7" t="s">
        <v>85</v>
      </c>
      <c r="H248" s="6" t="n">
        <v>0.105</v>
      </c>
      <c r="I248" s="8" t="n">
        <v>8</v>
      </c>
      <c r="J248" s="6"/>
      <c r="K248" s="6" t="s">
        <v>86</v>
      </c>
      <c r="L248" s="6" t="s">
        <v>112</v>
      </c>
      <c r="M248" s="6" t="s">
        <v>88</v>
      </c>
      <c r="N248" s="6" t="s">
        <v>89</v>
      </c>
    </row>
    <row r="249" customFormat="false" ht="15" hidden="false" customHeight="false" outlineLevel="0" collapsed="false">
      <c r="A249" s="6" t="s">
        <v>879</v>
      </c>
      <c r="B249" s="6" t="s">
        <v>861</v>
      </c>
      <c r="C249" s="6" t="s">
        <v>108</v>
      </c>
      <c r="D249" s="7" t="s">
        <v>880</v>
      </c>
      <c r="E249" s="6" t="s">
        <v>867</v>
      </c>
      <c r="F249" s="7" t="s">
        <v>881</v>
      </c>
      <c r="G249" s="6" t="s">
        <v>850</v>
      </c>
      <c r="H249" s="6" t="n">
        <v>0.0875</v>
      </c>
      <c r="I249" s="8" t="n">
        <v>10</v>
      </c>
      <c r="J249" s="6"/>
      <c r="K249" s="6" t="s">
        <v>86</v>
      </c>
      <c r="L249" s="6" t="s">
        <v>112</v>
      </c>
      <c r="M249" s="6" t="s">
        <v>88</v>
      </c>
      <c r="N249" s="6" t="s">
        <v>89</v>
      </c>
    </row>
    <row r="250" customFormat="false" ht="15" hidden="false" customHeight="false" outlineLevel="0" collapsed="false">
      <c r="A250" s="6" t="s">
        <v>882</v>
      </c>
      <c r="B250" s="6" t="s">
        <v>861</v>
      </c>
      <c r="C250" s="6" t="s">
        <v>108</v>
      </c>
      <c r="D250" s="7" t="s">
        <v>883</v>
      </c>
      <c r="E250" s="6" t="s">
        <v>809</v>
      </c>
      <c r="F250" s="7" t="s">
        <v>253</v>
      </c>
      <c r="G250" s="7" t="s">
        <v>85</v>
      </c>
      <c r="H250" s="6" t="n">
        <v>0.0875</v>
      </c>
      <c r="I250" s="8" t="n">
        <v>8</v>
      </c>
      <c r="J250" s="6"/>
      <c r="K250" s="6" t="s">
        <v>86</v>
      </c>
      <c r="L250" s="6" t="s">
        <v>112</v>
      </c>
      <c r="M250" s="6" t="s">
        <v>213</v>
      </c>
      <c r="N250" s="6" t="s">
        <v>89</v>
      </c>
    </row>
    <row r="251" customFormat="false" ht="15" hidden="false" customHeight="false" outlineLevel="0" collapsed="false">
      <c r="A251" s="6" t="s">
        <v>884</v>
      </c>
      <c r="B251" s="6" t="s">
        <v>861</v>
      </c>
      <c r="C251" s="6" t="s">
        <v>108</v>
      </c>
      <c r="D251" s="7" t="s">
        <v>885</v>
      </c>
      <c r="E251" s="6" t="s">
        <v>809</v>
      </c>
      <c r="F251" s="7" t="s">
        <v>240</v>
      </c>
      <c r="G251" s="7" t="s">
        <v>85</v>
      </c>
      <c r="H251" s="6" t="n">
        <v>0.07</v>
      </c>
      <c r="I251" s="8" t="n">
        <v>8</v>
      </c>
      <c r="J251" s="6"/>
      <c r="K251" s="6" t="s">
        <v>86</v>
      </c>
      <c r="L251" s="6" t="s">
        <v>112</v>
      </c>
      <c r="M251" s="6" t="s">
        <v>213</v>
      </c>
      <c r="N251" s="6" t="s">
        <v>89</v>
      </c>
    </row>
    <row r="252" customFormat="false" ht="15" hidden="false" customHeight="false" outlineLevel="0" collapsed="false">
      <c r="A252" s="6" t="s">
        <v>886</v>
      </c>
      <c r="B252" s="6" t="s">
        <v>861</v>
      </c>
      <c r="C252" s="6" t="s">
        <v>125</v>
      </c>
      <c r="D252" s="7" t="s">
        <v>887</v>
      </c>
      <c r="E252" s="6" t="s">
        <v>127</v>
      </c>
      <c r="F252" s="7" t="s">
        <v>888</v>
      </c>
      <c r="G252" s="6" t="s">
        <v>217</v>
      </c>
      <c r="H252" s="6" t="n">
        <v>0.06</v>
      </c>
      <c r="I252" s="8" t="n">
        <v>8</v>
      </c>
      <c r="J252" s="6"/>
      <c r="K252" s="6" t="s">
        <v>86</v>
      </c>
      <c r="L252" s="6" t="s">
        <v>130</v>
      </c>
      <c r="M252" s="6" t="s">
        <v>131</v>
      </c>
      <c r="N252" s="6" t="s">
        <v>89</v>
      </c>
    </row>
    <row r="253" customFormat="false" ht="15" hidden="false" customHeight="false" outlineLevel="0" collapsed="false">
      <c r="A253" s="6" t="s">
        <v>889</v>
      </c>
      <c r="B253" s="6" t="s">
        <v>861</v>
      </c>
      <c r="C253" s="6" t="s">
        <v>125</v>
      </c>
      <c r="D253" s="7" t="s">
        <v>890</v>
      </c>
      <c r="E253" s="6" t="s">
        <v>127</v>
      </c>
      <c r="F253" s="7" t="s">
        <v>793</v>
      </c>
      <c r="G253" s="7" t="s">
        <v>129</v>
      </c>
      <c r="H253" s="6" t="n">
        <v>0.048</v>
      </c>
      <c r="I253" s="8" t="n">
        <v>8</v>
      </c>
      <c r="J253" s="6"/>
      <c r="K253" s="6" t="s">
        <v>86</v>
      </c>
      <c r="L253" s="6" t="s">
        <v>130</v>
      </c>
      <c r="M253" s="6" t="s">
        <v>131</v>
      </c>
      <c r="N253" s="6" t="s">
        <v>89</v>
      </c>
    </row>
    <row r="254" customFormat="false" ht="15" hidden="false" customHeight="false" outlineLevel="0" collapsed="false">
      <c r="A254" s="6" t="s">
        <v>891</v>
      </c>
      <c r="B254" s="6" t="s">
        <v>861</v>
      </c>
      <c r="C254" s="6" t="s">
        <v>125</v>
      </c>
      <c r="D254" s="7" t="s">
        <v>892</v>
      </c>
      <c r="E254" s="6" t="s">
        <v>127</v>
      </c>
      <c r="F254" s="7" t="s">
        <v>372</v>
      </c>
      <c r="G254" s="7" t="s">
        <v>129</v>
      </c>
      <c r="H254" s="6" t="n">
        <v>0.042</v>
      </c>
      <c r="I254" s="8" t="n">
        <v>8</v>
      </c>
      <c r="J254" s="6"/>
      <c r="K254" s="6" t="s">
        <v>86</v>
      </c>
      <c r="L254" s="6" t="s">
        <v>130</v>
      </c>
      <c r="M254" s="6" t="s">
        <v>168</v>
      </c>
      <c r="N254" s="6" t="s">
        <v>89</v>
      </c>
    </row>
    <row r="255" customFormat="false" ht="15" hidden="false" customHeight="false" outlineLevel="0" collapsed="false">
      <c r="A255" s="6" t="s">
        <v>893</v>
      </c>
      <c r="B255" s="6" t="s">
        <v>894</v>
      </c>
      <c r="C255" s="6" t="s">
        <v>81</v>
      </c>
      <c r="D255" s="7" t="s">
        <v>895</v>
      </c>
      <c r="E255" s="6" t="s">
        <v>553</v>
      </c>
      <c r="F255" s="7" t="s">
        <v>896</v>
      </c>
      <c r="G255" s="7" t="s">
        <v>85</v>
      </c>
      <c r="H255" s="6" t="n">
        <v>0.1</v>
      </c>
      <c r="I255" s="8" t="n">
        <v>8</v>
      </c>
      <c r="J255" s="6"/>
      <c r="K255" s="6" t="s">
        <v>86</v>
      </c>
      <c r="L255" s="6" t="s">
        <v>87</v>
      </c>
      <c r="M255" s="6" t="s">
        <v>88</v>
      </c>
      <c r="N255" s="6" t="s">
        <v>89</v>
      </c>
    </row>
    <row r="256" customFormat="false" ht="15" hidden="false" customHeight="false" outlineLevel="0" collapsed="false">
      <c r="A256" s="6" t="s">
        <v>897</v>
      </c>
      <c r="B256" s="6" t="s">
        <v>894</v>
      </c>
      <c r="C256" s="6" t="s">
        <v>81</v>
      </c>
      <c r="D256" s="7" t="s">
        <v>898</v>
      </c>
      <c r="E256" s="6" t="s">
        <v>553</v>
      </c>
      <c r="F256" s="7" t="s">
        <v>899</v>
      </c>
      <c r="G256" s="7" t="s">
        <v>85</v>
      </c>
      <c r="H256" s="6" t="n">
        <v>0.08</v>
      </c>
      <c r="I256" s="8" t="n">
        <v>8</v>
      </c>
      <c r="J256" s="6"/>
      <c r="K256" s="6" t="s">
        <v>86</v>
      </c>
      <c r="L256" s="6" t="s">
        <v>87</v>
      </c>
      <c r="M256" s="6" t="s">
        <v>88</v>
      </c>
      <c r="N256" s="6" t="s">
        <v>89</v>
      </c>
    </row>
    <row r="257" customFormat="false" ht="15" hidden="false" customHeight="false" outlineLevel="0" collapsed="false">
      <c r="A257" s="6" t="s">
        <v>900</v>
      </c>
      <c r="B257" s="6" t="s">
        <v>894</v>
      </c>
      <c r="C257" s="6" t="s">
        <v>81</v>
      </c>
      <c r="D257" s="7" t="s">
        <v>901</v>
      </c>
      <c r="E257" s="6" t="s">
        <v>902</v>
      </c>
      <c r="F257" s="7" t="s">
        <v>903</v>
      </c>
      <c r="G257" s="7" t="s">
        <v>129</v>
      </c>
      <c r="H257" s="6" t="n">
        <v>0.0667</v>
      </c>
      <c r="I257" s="8" t="n">
        <v>8</v>
      </c>
      <c r="J257" s="6"/>
      <c r="K257" s="6" t="s">
        <v>86</v>
      </c>
      <c r="L257" s="6" t="s">
        <v>87</v>
      </c>
      <c r="M257" s="6" t="s">
        <v>88</v>
      </c>
      <c r="N257" s="6" t="s">
        <v>89</v>
      </c>
    </row>
    <row r="258" customFormat="false" ht="26.85" hidden="false" customHeight="false" outlineLevel="0" collapsed="false">
      <c r="A258" s="6" t="s">
        <v>904</v>
      </c>
      <c r="B258" s="6" t="s">
        <v>894</v>
      </c>
      <c r="C258" s="6" t="s">
        <v>81</v>
      </c>
      <c r="D258" s="7" t="s">
        <v>905</v>
      </c>
      <c r="E258" s="6" t="s">
        <v>553</v>
      </c>
      <c r="F258" s="7" t="s">
        <v>558</v>
      </c>
      <c r="G258" s="7" t="s">
        <v>906</v>
      </c>
      <c r="H258" s="6" t="n">
        <v>0.0533</v>
      </c>
      <c r="I258" s="8" t="n">
        <v>8</v>
      </c>
      <c r="J258" s="6"/>
      <c r="K258" s="6" t="s">
        <v>86</v>
      </c>
      <c r="L258" s="6" t="s">
        <v>87</v>
      </c>
      <c r="M258" s="6" t="s">
        <v>94</v>
      </c>
      <c r="N258" s="6" t="s">
        <v>89</v>
      </c>
    </row>
    <row r="259" customFormat="false" ht="15" hidden="false" customHeight="false" outlineLevel="0" collapsed="false">
      <c r="A259" s="6" t="s">
        <v>907</v>
      </c>
      <c r="B259" s="6" t="s">
        <v>894</v>
      </c>
      <c r="C259" s="6" t="s">
        <v>108</v>
      </c>
      <c r="D259" s="7" t="s">
        <v>908</v>
      </c>
      <c r="E259" s="6" t="s">
        <v>553</v>
      </c>
      <c r="F259" s="7" t="s">
        <v>909</v>
      </c>
      <c r="G259" s="7" t="s">
        <v>85</v>
      </c>
      <c r="H259" s="6" t="n">
        <v>0.1286</v>
      </c>
      <c r="I259" s="8" t="n">
        <v>8</v>
      </c>
      <c r="J259" s="6"/>
      <c r="K259" s="6" t="s">
        <v>86</v>
      </c>
      <c r="L259" s="6" t="s">
        <v>112</v>
      </c>
      <c r="M259" s="6" t="s">
        <v>88</v>
      </c>
      <c r="N259" s="6" t="s">
        <v>89</v>
      </c>
    </row>
    <row r="260" customFormat="false" ht="15" hidden="false" customHeight="false" outlineLevel="0" collapsed="false">
      <c r="A260" s="6" t="s">
        <v>910</v>
      </c>
      <c r="B260" s="6" t="s">
        <v>894</v>
      </c>
      <c r="C260" s="6" t="s">
        <v>108</v>
      </c>
      <c r="D260" s="7" t="s">
        <v>911</v>
      </c>
      <c r="E260" s="6" t="s">
        <v>912</v>
      </c>
      <c r="F260" s="7" t="s">
        <v>913</v>
      </c>
      <c r="G260" s="7" t="s">
        <v>129</v>
      </c>
      <c r="H260" s="6" t="n">
        <v>0.1286</v>
      </c>
      <c r="I260" s="8" t="n">
        <v>4</v>
      </c>
      <c r="J260" s="6"/>
      <c r="K260" s="6" t="s">
        <v>86</v>
      </c>
      <c r="L260" s="6" t="s">
        <v>112</v>
      </c>
      <c r="M260" s="6" t="s">
        <v>131</v>
      </c>
      <c r="N260" s="6" t="s">
        <v>89</v>
      </c>
    </row>
    <row r="261" customFormat="false" ht="15" hidden="false" customHeight="false" outlineLevel="0" collapsed="false">
      <c r="A261" s="6" t="s">
        <v>914</v>
      </c>
      <c r="B261" s="6" t="s">
        <v>894</v>
      </c>
      <c r="C261" s="6" t="s">
        <v>108</v>
      </c>
      <c r="D261" s="7" t="s">
        <v>915</v>
      </c>
      <c r="E261" s="6" t="s">
        <v>912</v>
      </c>
      <c r="F261" s="7" t="s">
        <v>916</v>
      </c>
      <c r="G261" s="7" t="s">
        <v>129</v>
      </c>
      <c r="H261" s="6" t="n">
        <v>0.1071</v>
      </c>
      <c r="I261" s="8" t="n">
        <v>8</v>
      </c>
      <c r="J261" s="6"/>
      <c r="K261" s="6" t="s">
        <v>86</v>
      </c>
      <c r="L261" s="6" t="s">
        <v>112</v>
      </c>
      <c r="M261" s="6" t="s">
        <v>168</v>
      </c>
      <c r="N261" s="6" t="s">
        <v>89</v>
      </c>
    </row>
    <row r="262" customFormat="false" ht="15" hidden="false" customHeight="false" outlineLevel="0" collapsed="false">
      <c r="A262" s="6" t="s">
        <v>917</v>
      </c>
      <c r="B262" s="6" t="s">
        <v>894</v>
      </c>
      <c r="C262" s="6" t="s">
        <v>108</v>
      </c>
      <c r="D262" s="7" t="s">
        <v>918</v>
      </c>
      <c r="E262" s="6" t="s">
        <v>127</v>
      </c>
      <c r="F262" s="7" t="s">
        <v>327</v>
      </c>
      <c r="G262" s="7" t="s">
        <v>85</v>
      </c>
      <c r="H262" s="6" t="n">
        <v>0.0857</v>
      </c>
      <c r="I262" s="8" t="n">
        <v>6</v>
      </c>
      <c r="J262" s="6"/>
      <c r="K262" s="6" t="s">
        <v>86</v>
      </c>
      <c r="L262" s="6" t="s">
        <v>112</v>
      </c>
      <c r="M262" s="6" t="s">
        <v>213</v>
      </c>
      <c r="N262" s="6" t="s">
        <v>89</v>
      </c>
    </row>
    <row r="263" customFormat="false" ht="15" hidden="false" customHeight="false" outlineLevel="0" collapsed="false">
      <c r="A263" s="6" t="s">
        <v>919</v>
      </c>
      <c r="B263" s="6" t="s">
        <v>894</v>
      </c>
      <c r="C263" s="6" t="s">
        <v>125</v>
      </c>
      <c r="D263" s="7" t="s">
        <v>920</v>
      </c>
      <c r="E263" s="6" t="s">
        <v>127</v>
      </c>
      <c r="F263" s="7" t="s">
        <v>155</v>
      </c>
      <c r="G263" s="7" t="s">
        <v>85</v>
      </c>
      <c r="H263" s="6" t="n">
        <v>0.1</v>
      </c>
      <c r="I263" s="8" t="n">
        <v>6</v>
      </c>
      <c r="J263" s="6"/>
      <c r="K263" s="6" t="s">
        <v>86</v>
      </c>
      <c r="L263" s="6" t="s">
        <v>130</v>
      </c>
      <c r="M263" s="6" t="s">
        <v>131</v>
      </c>
      <c r="N263" s="6" t="s">
        <v>89</v>
      </c>
    </row>
    <row r="264" customFormat="false" ht="15" hidden="false" customHeight="false" outlineLevel="0" collapsed="false">
      <c r="A264" s="6" t="s">
        <v>921</v>
      </c>
      <c r="B264" s="6" t="s">
        <v>894</v>
      </c>
      <c r="C264" s="6" t="s">
        <v>125</v>
      </c>
      <c r="D264" s="7" t="s">
        <v>922</v>
      </c>
      <c r="E264" s="6" t="s">
        <v>127</v>
      </c>
      <c r="F264" s="7" t="s">
        <v>923</v>
      </c>
      <c r="G264" s="7" t="s">
        <v>129</v>
      </c>
      <c r="H264" s="6" t="n">
        <v>0.08</v>
      </c>
      <c r="I264" s="8" t="n">
        <v>6</v>
      </c>
      <c r="J264" s="6"/>
      <c r="K264" s="6" t="s">
        <v>86</v>
      </c>
      <c r="L264" s="6" t="s">
        <v>130</v>
      </c>
      <c r="M264" s="6" t="s">
        <v>131</v>
      </c>
      <c r="N264" s="6" t="s">
        <v>89</v>
      </c>
    </row>
    <row r="265" customFormat="false" ht="15" hidden="false" customHeight="false" outlineLevel="0" collapsed="false">
      <c r="A265" s="6" t="s">
        <v>924</v>
      </c>
      <c r="B265" s="6" t="s">
        <v>894</v>
      </c>
      <c r="C265" s="6" t="s">
        <v>125</v>
      </c>
      <c r="D265" s="7" t="s">
        <v>925</v>
      </c>
      <c r="E265" s="6" t="s">
        <v>912</v>
      </c>
      <c r="F265" s="7" t="s">
        <v>926</v>
      </c>
      <c r="G265" s="7" t="s">
        <v>129</v>
      </c>
      <c r="H265" s="6" t="n">
        <v>0.07</v>
      </c>
      <c r="I265" s="8" t="n">
        <v>8</v>
      </c>
      <c r="J265" s="6"/>
      <c r="K265" s="6" t="s">
        <v>86</v>
      </c>
      <c r="L265" s="6" t="s">
        <v>130</v>
      </c>
      <c r="M265" s="6" t="s">
        <v>88</v>
      </c>
      <c r="N265" s="6" t="s">
        <v>89</v>
      </c>
    </row>
    <row r="266" customFormat="false" ht="15" hidden="false" customHeight="false" outlineLevel="0" collapsed="false">
      <c r="A266" s="6" t="s">
        <v>927</v>
      </c>
      <c r="B266" s="6" t="s">
        <v>928</v>
      </c>
      <c r="C266" s="6" t="s">
        <v>81</v>
      </c>
      <c r="D266" s="7" t="s">
        <v>929</v>
      </c>
      <c r="E266" s="6" t="s">
        <v>930</v>
      </c>
      <c r="F266" s="7" t="s">
        <v>931</v>
      </c>
      <c r="G266" s="6" t="s">
        <v>217</v>
      </c>
      <c r="H266" s="6" t="n">
        <v>0.1167</v>
      </c>
      <c r="I266" s="8" t="n">
        <v>8</v>
      </c>
      <c r="J266" s="6"/>
      <c r="K266" s="6" t="s">
        <v>86</v>
      </c>
      <c r="L266" s="6" t="s">
        <v>87</v>
      </c>
      <c r="M266" s="6" t="s">
        <v>88</v>
      </c>
      <c r="N266" s="6" t="s">
        <v>89</v>
      </c>
    </row>
    <row r="267" customFormat="false" ht="15" hidden="false" customHeight="false" outlineLevel="0" collapsed="false">
      <c r="A267" s="6" t="s">
        <v>932</v>
      </c>
      <c r="B267" s="6" t="s">
        <v>928</v>
      </c>
      <c r="C267" s="6" t="s">
        <v>81</v>
      </c>
      <c r="D267" s="7" t="s">
        <v>933</v>
      </c>
      <c r="E267" s="6" t="s">
        <v>930</v>
      </c>
      <c r="F267" s="7" t="s">
        <v>155</v>
      </c>
      <c r="G267" s="7" t="s">
        <v>198</v>
      </c>
      <c r="H267" s="6" t="n">
        <v>0.0933</v>
      </c>
      <c r="I267" s="8" t="n">
        <v>6</v>
      </c>
      <c r="J267" s="6"/>
      <c r="K267" s="6" t="s">
        <v>86</v>
      </c>
      <c r="L267" s="6" t="s">
        <v>87</v>
      </c>
      <c r="M267" s="6" t="s">
        <v>88</v>
      </c>
      <c r="N267" s="6" t="s">
        <v>89</v>
      </c>
    </row>
    <row r="268" customFormat="false" ht="15" hidden="false" customHeight="false" outlineLevel="0" collapsed="false">
      <c r="A268" s="6" t="s">
        <v>934</v>
      </c>
      <c r="B268" s="6" t="s">
        <v>928</v>
      </c>
      <c r="C268" s="6" t="s">
        <v>81</v>
      </c>
      <c r="D268" s="7" t="s">
        <v>935</v>
      </c>
      <c r="E268" s="6" t="s">
        <v>936</v>
      </c>
      <c r="F268" s="7" t="s">
        <v>510</v>
      </c>
      <c r="G268" s="6" t="s">
        <v>217</v>
      </c>
      <c r="H268" s="6" t="n">
        <v>0.0778</v>
      </c>
      <c r="I268" s="8" t="n">
        <v>8</v>
      </c>
      <c r="J268" s="6"/>
      <c r="K268" s="6" t="s">
        <v>86</v>
      </c>
      <c r="L268" s="6" t="s">
        <v>87</v>
      </c>
      <c r="M268" s="6" t="s">
        <v>88</v>
      </c>
      <c r="N268" s="6" t="s">
        <v>89</v>
      </c>
    </row>
    <row r="269" customFormat="false" ht="15" hidden="false" customHeight="false" outlineLevel="0" collapsed="false">
      <c r="A269" s="6" t="s">
        <v>937</v>
      </c>
      <c r="B269" s="6" t="s">
        <v>928</v>
      </c>
      <c r="C269" s="6" t="s">
        <v>81</v>
      </c>
      <c r="D269" s="7" t="s">
        <v>938</v>
      </c>
      <c r="E269" s="6" t="s">
        <v>939</v>
      </c>
      <c r="F269" s="7" t="s">
        <v>940</v>
      </c>
      <c r="G269" s="6" t="s">
        <v>217</v>
      </c>
      <c r="H269" s="6" t="n">
        <v>0.0622</v>
      </c>
      <c r="I269" s="8" t="n">
        <v>6</v>
      </c>
      <c r="J269" s="6"/>
      <c r="K269" s="6" t="s">
        <v>86</v>
      </c>
      <c r="L269" s="6" t="s">
        <v>87</v>
      </c>
      <c r="M269" s="6" t="s">
        <v>279</v>
      </c>
      <c r="N269" s="6" t="s">
        <v>89</v>
      </c>
    </row>
    <row r="270" customFormat="false" ht="15" hidden="false" customHeight="false" outlineLevel="0" collapsed="false">
      <c r="A270" s="6" t="s">
        <v>941</v>
      </c>
      <c r="B270" s="6" t="s">
        <v>928</v>
      </c>
      <c r="C270" s="6" t="s">
        <v>108</v>
      </c>
      <c r="D270" s="7" t="s">
        <v>942</v>
      </c>
      <c r="E270" s="6" t="s">
        <v>943</v>
      </c>
      <c r="F270" s="7" t="s">
        <v>308</v>
      </c>
      <c r="G270" s="7" t="s">
        <v>85</v>
      </c>
      <c r="H270" s="6" t="n">
        <v>0.135</v>
      </c>
      <c r="I270" s="8" t="n">
        <v>8</v>
      </c>
      <c r="J270" s="6"/>
      <c r="K270" s="6" t="s">
        <v>86</v>
      </c>
      <c r="L270" s="6" t="s">
        <v>112</v>
      </c>
      <c r="M270" s="6" t="s">
        <v>213</v>
      </c>
      <c r="N270" s="6" t="s">
        <v>89</v>
      </c>
    </row>
    <row r="271" customFormat="false" ht="15" hidden="false" customHeight="false" outlineLevel="0" collapsed="false">
      <c r="A271" s="6" t="s">
        <v>944</v>
      </c>
      <c r="B271" s="6" t="s">
        <v>928</v>
      </c>
      <c r="C271" s="6" t="s">
        <v>108</v>
      </c>
      <c r="D271" s="7" t="s">
        <v>945</v>
      </c>
      <c r="E271" s="6" t="s">
        <v>943</v>
      </c>
      <c r="F271" s="7" t="s">
        <v>177</v>
      </c>
      <c r="G271" s="7" t="s">
        <v>85</v>
      </c>
      <c r="H271" s="6" t="n">
        <v>0.1125</v>
      </c>
      <c r="I271" s="8" t="n">
        <v>6</v>
      </c>
      <c r="J271" s="6"/>
      <c r="K271" s="6" t="s">
        <v>86</v>
      </c>
      <c r="L271" s="6" t="s">
        <v>112</v>
      </c>
      <c r="M271" s="6" t="s">
        <v>213</v>
      </c>
      <c r="N271" s="6" t="s">
        <v>89</v>
      </c>
    </row>
    <row r="272" customFormat="false" ht="15" hidden="false" customHeight="false" outlineLevel="0" collapsed="false">
      <c r="A272" s="6" t="s">
        <v>946</v>
      </c>
      <c r="B272" s="6" t="s">
        <v>928</v>
      </c>
      <c r="C272" s="6" t="s">
        <v>108</v>
      </c>
      <c r="D272" s="7" t="s">
        <v>947</v>
      </c>
      <c r="E272" s="6" t="s">
        <v>912</v>
      </c>
      <c r="F272" s="7" t="s">
        <v>177</v>
      </c>
      <c r="G272" s="7" t="s">
        <v>85</v>
      </c>
      <c r="H272" s="6" t="n">
        <v>0.1125</v>
      </c>
      <c r="I272" s="8" t="n">
        <v>8</v>
      </c>
      <c r="J272" s="6"/>
      <c r="K272" s="6" t="s">
        <v>86</v>
      </c>
      <c r="L272" s="6" t="s">
        <v>112</v>
      </c>
      <c r="M272" s="6" t="s">
        <v>213</v>
      </c>
      <c r="N272" s="6" t="s">
        <v>89</v>
      </c>
    </row>
    <row r="273" customFormat="false" ht="15" hidden="false" customHeight="false" outlineLevel="0" collapsed="false">
      <c r="A273" s="6" t="s">
        <v>948</v>
      </c>
      <c r="B273" s="6" t="s">
        <v>928</v>
      </c>
      <c r="C273" s="6" t="s">
        <v>108</v>
      </c>
      <c r="D273" s="7" t="s">
        <v>949</v>
      </c>
      <c r="E273" s="6" t="s">
        <v>912</v>
      </c>
      <c r="F273" s="7" t="s">
        <v>648</v>
      </c>
      <c r="G273" s="7" t="s">
        <v>129</v>
      </c>
      <c r="H273" s="6" t="n">
        <v>0.09</v>
      </c>
      <c r="I273" s="8" t="n">
        <v>6</v>
      </c>
      <c r="J273" s="6"/>
      <c r="K273" s="6" t="s">
        <v>86</v>
      </c>
      <c r="L273" s="6" t="s">
        <v>112</v>
      </c>
      <c r="M273" s="6" t="s">
        <v>88</v>
      </c>
      <c r="N273" s="6" t="s">
        <v>89</v>
      </c>
    </row>
    <row r="274" customFormat="false" ht="15" hidden="false" customHeight="false" outlineLevel="0" collapsed="false">
      <c r="A274" s="6" t="s">
        <v>950</v>
      </c>
      <c r="B274" s="6" t="s">
        <v>928</v>
      </c>
      <c r="C274" s="6" t="s">
        <v>125</v>
      </c>
      <c r="D274" s="7" t="s">
        <v>951</v>
      </c>
      <c r="E274" s="6" t="s">
        <v>127</v>
      </c>
      <c r="F274" s="7" t="s">
        <v>952</v>
      </c>
      <c r="G274" s="6" t="s">
        <v>217</v>
      </c>
      <c r="H274" s="6" t="n">
        <v>0.08</v>
      </c>
      <c r="I274" s="8" t="n">
        <v>8</v>
      </c>
      <c r="J274" s="6"/>
      <c r="K274" s="6" t="s">
        <v>86</v>
      </c>
      <c r="L274" s="6" t="s">
        <v>130</v>
      </c>
      <c r="M274" s="6" t="s">
        <v>131</v>
      </c>
      <c r="N274" s="6" t="s">
        <v>89</v>
      </c>
    </row>
    <row r="275" customFormat="false" ht="15" hidden="false" customHeight="false" outlineLevel="0" collapsed="false">
      <c r="A275" s="6" t="s">
        <v>953</v>
      </c>
      <c r="B275" s="6" t="s">
        <v>928</v>
      </c>
      <c r="C275" s="6" t="s">
        <v>125</v>
      </c>
      <c r="D275" s="7" t="s">
        <v>954</v>
      </c>
      <c r="E275" s="6" t="s">
        <v>127</v>
      </c>
      <c r="F275" s="7" t="s">
        <v>128</v>
      </c>
      <c r="G275" s="7" t="s">
        <v>129</v>
      </c>
      <c r="H275" s="6" t="n">
        <v>0.064</v>
      </c>
      <c r="I275" s="8" t="n">
        <v>6</v>
      </c>
      <c r="J275" s="6"/>
      <c r="K275" s="6" t="s">
        <v>86</v>
      </c>
      <c r="L275" s="6" t="s">
        <v>130</v>
      </c>
      <c r="M275" s="6" t="s">
        <v>131</v>
      </c>
      <c r="N275" s="6" t="s">
        <v>89</v>
      </c>
    </row>
    <row r="276" customFormat="false" ht="15" hidden="false" customHeight="false" outlineLevel="0" collapsed="false">
      <c r="A276" s="6" t="s">
        <v>955</v>
      </c>
      <c r="B276" s="6" t="s">
        <v>928</v>
      </c>
      <c r="C276" s="6" t="s">
        <v>125</v>
      </c>
      <c r="D276" s="7" t="s">
        <v>956</v>
      </c>
      <c r="E276" s="6" t="s">
        <v>912</v>
      </c>
      <c r="F276" s="7" t="s">
        <v>957</v>
      </c>
      <c r="G276" s="7" t="s">
        <v>129</v>
      </c>
      <c r="H276" s="6" t="n">
        <v>0.056</v>
      </c>
      <c r="I276" s="8" t="n">
        <v>8</v>
      </c>
      <c r="J276" s="6"/>
      <c r="K276" s="6" t="s">
        <v>86</v>
      </c>
      <c r="L276" s="6" t="s">
        <v>130</v>
      </c>
      <c r="M276" s="6" t="s">
        <v>88</v>
      </c>
      <c r="N276" s="6" t="s">
        <v>89</v>
      </c>
    </row>
    <row r="277" customFormat="false" ht="15" hidden="false" customHeight="false" outlineLevel="0" collapsed="false">
      <c r="A277" s="6" t="s">
        <v>958</v>
      </c>
      <c r="B277" s="6" t="s">
        <v>959</v>
      </c>
      <c r="C277" s="6" t="s">
        <v>81</v>
      </c>
      <c r="D277" s="7" t="s">
        <v>960</v>
      </c>
      <c r="E277" s="6" t="s">
        <v>961</v>
      </c>
      <c r="F277" s="7" t="s">
        <v>962</v>
      </c>
      <c r="G277" s="6"/>
      <c r="H277" s="6" t="n">
        <v>0.1333</v>
      </c>
      <c r="I277" s="8" t="n">
        <v>6</v>
      </c>
      <c r="J277" s="6"/>
      <c r="K277" s="6" t="s">
        <v>86</v>
      </c>
      <c r="L277" s="6" t="s">
        <v>87</v>
      </c>
      <c r="M277" s="6" t="s">
        <v>168</v>
      </c>
      <c r="N277" s="6" t="s">
        <v>89</v>
      </c>
    </row>
    <row r="278" customFormat="false" ht="15" hidden="false" customHeight="false" outlineLevel="0" collapsed="false">
      <c r="A278" s="6" t="s">
        <v>963</v>
      </c>
      <c r="B278" s="6" t="s">
        <v>959</v>
      </c>
      <c r="C278" s="6" t="s">
        <v>81</v>
      </c>
      <c r="D278" s="7" t="s">
        <v>964</v>
      </c>
      <c r="E278" s="6" t="s">
        <v>965</v>
      </c>
      <c r="F278" s="7" t="s">
        <v>966</v>
      </c>
      <c r="G278" s="7" t="s">
        <v>129</v>
      </c>
      <c r="H278" s="6" t="n">
        <v>0.1067</v>
      </c>
      <c r="I278" s="8" t="n">
        <v>8</v>
      </c>
      <c r="J278" s="6"/>
      <c r="K278" s="6" t="s">
        <v>86</v>
      </c>
      <c r="L278" s="6" t="s">
        <v>87</v>
      </c>
      <c r="M278" s="6" t="s">
        <v>88</v>
      </c>
      <c r="N278" s="6" t="s">
        <v>89</v>
      </c>
    </row>
    <row r="279" customFormat="false" ht="15" hidden="false" customHeight="false" outlineLevel="0" collapsed="false">
      <c r="A279" s="6" t="s">
        <v>967</v>
      </c>
      <c r="B279" s="6" t="s">
        <v>959</v>
      </c>
      <c r="C279" s="6" t="s">
        <v>81</v>
      </c>
      <c r="D279" s="7" t="s">
        <v>968</v>
      </c>
      <c r="E279" s="6" t="s">
        <v>969</v>
      </c>
      <c r="F279" s="7" t="s">
        <v>970</v>
      </c>
      <c r="G279" s="7" t="s">
        <v>85</v>
      </c>
      <c r="H279" s="6" t="n">
        <v>0.0889</v>
      </c>
      <c r="I279" s="8" t="n">
        <v>8</v>
      </c>
      <c r="J279" s="6"/>
      <c r="K279" s="6" t="s">
        <v>86</v>
      </c>
      <c r="L279" s="6" t="s">
        <v>87</v>
      </c>
      <c r="M279" s="6" t="s">
        <v>88</v>
      </c>
      <c r="N279" s="6" t="s">
        <v>89</v>
      </c>
    </row>
    <row r="280" customFormat="false" ht="15" hidden="false" customHeight="false" outlineLevel="0" collapsed="false">
      <c r="A280" s="6" t="s">
        <v>971</v>
      </c>
      <c r="B280" s="6" t="s">
        <v>959</v>
      </c>
      <c r="C280" s="6" t="s">
        <v>81</v>
      </c>
      <c r="D280" s="7" t="s">
        <v>972</v>
      </c>
      <c r="E280" s="6" t="s">
        <v>101</v>
      </c>
      <c r="F280" s="7" t="s">
        <v>278</v>
      </c>
      <c r="G280" s="7" t="s">
        <v>85</v>
      </c>
      <c r="H280" s="6" t="n">
        <v>0.0711</v>
      </c>
      <c r="I280" s="8" t="n">
        <v>8</v>
      </c>
      <c r="J280" s="6"/>
      <c r="K280" s="6" t="s">
        <v>86</v>
      </c>
      <c r="L280" s="6" t="s">
        <v>87</v>
      </c>
      <c r="M280" s="6" t="s">
        <v>88</v>
      </c>
      <c r="N280" s="6" t="s">
        <v>89</v>
      </c>
    </row>
    <row r="281" customFormat="false" ht="15" hidden="false" customHeight="false" outlineLevel="0" collapsed="false">
      <c r="A281" s="6" t="s">
        <v>973</v>
      </c>
      <c r="B281" s="6" t="s">
        <v>959</v>
      </c>
      <c r="C281" s="6" t="s">
        <v>108</v>
      </c>
      <c r="D281" s="7" t="s">
        <v>974</v>
      </c>
      <c r="E281" s="6" t="s">
        <v>965</v>
      </c>
      <c r="F281" s="7" t="s">
        <v>975</v>
      </c>
      <c r="G281" s="7" t="s">
        <v>85</v>
      </c>
      <c r="H281" s="6" t="n">
        <v>0.1333</v>
      </c>
      <c r="I281" s="8" t="n">
        <v>8</v>
      </c>
      <c r="J281" s="6"/>
      <c r="K281" s="6" t="s">
        <v>86</v>
      </c>
      <c r="L281" s="6" t="s">
        <v>112</v>
      </c>
      <c r="M281" s="6" t="s">
        <v>213</v>
      </c>
      <c r="N281" s="6" t="s">
        <v>89</v>
      </c>
    </row>
    <row r="282" customFormat="false" ht="15" hidden="false" customHeight="false" outlineLevel="0" collapsed="false">
      <c r="A282" s="6" t="s">
        <v>976</v>
      </c>
      <c r="B282" s="6" t="s">
        <v>959</v>
      </c>
      <c r="C282" s="6" t="s">
        <v>108</v>
      </c>
      <c r="D282" s="7" t="s">
        <v>977</v>
      </c>
      <c r="E282" s="6" t="s">
        <v>965</v>
      </c>
      <c r="F282" s="7" t="s">
        <v>287</v>
      </c>
      <c r="G282" s="6" t="s">
        <v>978</v>
      </c>
      <c r="H282" s="6" t="n">
        <v>0.1067</v>
      </c>
      <c r="I282" s="8" t="n">
        <v>8</v>
      </c>
      <c r="J282" s="6"/>
      <c r="K282" s="6" t="s">
        <v>86</v>
      </c>
      <c r="L282" s="6" t="s">
        <v>112</v>
      </c>
      <c r="M282" s="6" t="s">
        <v>213</v>
      </c>
      <c r="N282" s="6" t="s">
        <v>89</v>
      </c>
    </row>
    <row r="283" customFormat="false" ht="15" hidden="false" customHeight="false" outlineLevel="0" collapsed="false">
      <c r="A283" s="6" t="s">
        <v>979</v>
      </c>
      <c r="B283" s="6" t="s">
        <v>959</v>
      </c>
      <c r="C283" s="6" t="s">
        <v>108</v>
      </c>
      <c r="D283" s="7" t="s">
        <v>980</v>
      </c>
      <c r="E283" s="6" t="s">
        <v>981</v>
      </c>
      <c r="F283" s="7" t="s">
        <v>982</v>
      </c>
      <c r="G283" s="6" t="s">
        <v>978</v>
      </c>
      <c r="H283" s="6" t="n">
        <v>0.0889</v>
      </c>
      <c r="I283" s="8" t="n">
        <v>8</v>
      </c>
      <c r="J283" s="6"/>
      <c r="K283" s="6" t="s">
        <v>86</v>
      </c>
      <c r="L283" s="6" t="s">
        <v>112</v>
      </c>
      <c r="M283" s="6" t="s">
        <v>88</v>
      </c>
      <c r="N283" s="6" t="s">
        <v>89</v>
      </c>
    </row>
    <row r="284" customFormat="false" ht="15" hidden="false" customHeight="false" outlineLevel="0" collapsed="false">
      <c r="A284" s="6" t="s">
        <v>983</v>
      </c>
      <c r="B284" s="6" t="s">
        <v>959</v>
      </c>
      <c r="C284" s="6" t="s">
        <v>108</v>
      </c>
      <c r="D284" s="7" t="s">
        <v>984</v>
      </c>
      <c r="E284" s="6" t="s">
        <v>105</v>
      </c>
      <c r="F284" s="7" t="s">
        <v>985</v>
      </c>
      <c r="G284" s="6" t="s">
        <v>120</v>
      </c>
      <c r="H284" s="6" t="n">
        <v>0.0711</v>
      </c>
      <c r="I284" s="8" t="n">
        <v>8</v>
      </c>
      <c r="J284" s="6"/>
      <c r="K284" s="6" t="s">
        <v>86</v>
      </c>
      <c r="L284" s="6" t="s">
        <v>112</v>
      </c>
      <c r="M284" s="6" t="s">
        <v>88</v>
      </c>
      <c r="N284" s="6" t="s">
        <v>89</v>
      </c>
    </row>
    <row r="285" customFormat="false" ht="15" hidden="false" customHeight="false" outlineLevel="0" collapsed="false">
      <c r="A285" s="6" t="s">
        <v>986</v>
      </c>
      <c r="B285" s="6" t="s">
        <v>959</v>
      </c>
      <c r="C285" s="6" t="s">
        <v>125</v>
      </c>
      <c r="D285" s="7" t="s">
        <v>987</v>
      </c>
      <c r="E285" s="6" t="s">
        <v>127</v>
      </c>
      <c r="F285" s="7" t="s">
        <v>444</v>
      </c>
      <c r="G285" s="6" t="s">
        <v>217</v>
      </c>
      <c r="H285" s="6" t="n">
        <v>0.08</v>
      </c>
      <c r="I285" s="8" t="n">
        <v>8</v>
      </c>
      <c r="J285" s="6"/>
      <c r="K285" s="6" t="s">
        <v>86</v>
      </c>
      <c r="L285" s="6" t="s">
        <v>130</v>
      </c>
      <c r="M285" s="6" t="s">
        <v>131</v>
      </c>
      <c r="N285" s="6" t="s">
        <v>89</v>
      </c>
    </row>
    <row r="286" customFormat="false" ht="15" hidden="false" customHeight="false" outlineLevel="0" collapsed="false">
      <c r="A286" s="6" t="s">
        <v>988</v>
      </c>
      <c r="B286" s="6" t="s">
        <v>959</v>
      </c>
      <c r="C286" s="6" t="s">
        <v>125</v>
      </c>
      <c r="D286" s="7" t="s">
        <v>989</v>
      </c>
      <c r="E286" s="6" t="s">
        <v>105</v>
      </c>
      <c r="F286" s="7" t="s">
        <v>402</v>
      </c>
      <c r="G286" s="7" t="s">
        <v>129</v>
      </c>
      <c r="H286" s="6" t="n">
        <v>0.064</v>
      </c>
      <c r="I286" s="8" t="n">
        <v>6</v>
      </c>
      <c r="J286" s="6"/>
      <c r="K286" s="6" t="s">
        <v>86</v>
      </c>
      <c r="L286" s="6" t="s">
        <v>130</v>
      </c>
      <c r="M286" s="6" t="s">
        <v>131</v>
      </c>
      <c r="N286" s="6" t="s">
        <v>89</v>
      </c>
    </row>
    <row r="287" customFormat="false" ht="15" hidden="false" customHeight="false" outlineLevel="0" collapsed="false">
      <c r="A287" s="6" t="s">
        <v>990</v>
      </c>
      <c r="B287" s="6" t="s">
        <v>959</v>
      </c>
      <c r="C287" s="6" t="s">
        <v>125</v>
      </c>
      <c r="D287" s="7" t="s">
        <v>991</v>
      </c>
      <c r="E287" s="6" t="s">
        <v>105</v>
      </c>
      <c r="F287" s="7" t="s">
        <v>171</v>
      </c>
      <c r="G287" s="7" t="s">
        <v>85</v>
      </c>
      <c r="H287" s="6" t="n">
        <v>0.056</v>
      </c>
      <c r="I287" s="8" t="n">
        <v>8</v>
      </c>
      <c r="J287" s="6"/>
      <c r="K287" s="6" t="s">
        <v>86</v>
      </c>
      <c r="L287" s="6" t="s">
        <v>130</v>
      </c>
      <c r="M287" s="6" t="s">
        <v>88</v>
      </c>
      <c r="N287" s="6" t="s">
        <v>89</v>
      </c>
    </row>
    <row r="288" customFormat="false" ht="15" hidden="false" customHeight="false" outlineLevel="0" collapsed="false">
      <c r="A288" s="6" t="s">
        <v>992</v>
      </c>
      <c r="B288" s="6" t="s">
        <v>993</v>
      </c>
      <c r="C288" s="6" t="s">
        <v>81</v>
      </c>
      <c r="D288" s="7" t="s">
        <v>994</v>
      </c>
      <c r="E288" s="6" t="s">
        <v>105</v>
      </c>
      <c r="F288" s="7" t="s">
        <v>975</v>
      </c>
      <c r="G288" s="7" t="s">
        <v>85</v>
      </c>
      <c r="H288" s="6" t="n">
        <v>0.1667</v>
      </c>
      <c r="I288" s="8" t="n">
        <v>8</v>
      </c>
      <c r="J288" s="6"/>
      <c r="K288" s="6" t="s">
        <v>86</v>
      </c>
      <c r="L288" s="6" t="s">
        <v>87</v>
      </c>
      <c r="M288" s="6" t="s">
        <v>88</v>
      </c>
      <c r="N288" s="6" t="s">
        <v>89</v>
      </c>
    </row>
    <row r="289" customFormat="false" ht="15" hidden="false" customHeight="false" outlineLevel="0" collapsed="false">
      <c r="A289" s="6" t="s">
        <v>995</v>
      </c>
      <c r="B289" s="6" t="s">
        <v>993</v>
      </c>
      <c r="C289" s="6" t="s">
        <v>81</v>
      </c>
      <c r="D289" s="7" t="s">
        <v>996</v>
      </c>
      <c r="E289" s="6" t="s">
        <v>997</v>
      </c>
      <c r="F289" s="7" t="s">
        <v>998</v>
      </c>
      <c r="G289" s="6" t="s">
        <v>999</v>
      </c>
      <c r="H289" s="6" t="n">
        <v>0.1333</v>
      </c>
      <c r="I289" s="8" t="n">
        <v>6</v>
      </c>
      <c r="J289" s="6"/>
      <c r="K289" s="6" t="s">
        <v>86</v>
      </c>
      <c r="L289" s="6" t="s">
        <v>87</v>
      </c>
      <c r="M289" s="6" t="s">
        <v>88</v>
      </c>
      <c r="N289" s="6" t="s">
        <v>89</v>
      </c>
    </row>
    <row r="290" customFormat="false" ht="15" hidden="false" customHeight="false" outlineLevel="0" collapsed="false">
      <c r="A290" s="6" t="s">
        <v>1000</v>
      </c>
      <c r="B290" s="6" t="s">
        <v>993</v>
      </c>
      <c r="C290" s="6" t="s">
        <v>81</v>
      </c>
      <c r="D290" s="7" t="s">
        <v>1001</v>
      </c>
      <c r="E290" s="6" t="s">
        <v>1002</v>
      </c>
      <c r="F290" s="7" t="s">
        <v>308</v>
      </c>
      <c r="G290" s="7" t="s">
        <v>85</v>
      </c>
      <c r="H290" s="6" t="n">
        <v>0.1111</v>
      </c>
      <c r="I290" s="8" t="n">
        <v>8</v>
      </c>
      <c r="J290" s="6"/>
      <c r="K290" s="6" t="s">
        <v>86</v>
      </c>
      <c r="L290" s="6" t="s">
        <v>87</v>
      </c>
      <c r="M290" s="6" t="s">
        <v>279</v>
      </c>
      <c r="N290" s="6" t="s">
        <v>89</v>
      </c>
    </row>
    <row r="291" customFormat="false" ht="15" hidden="false" customHeight="false" outlineLevel="0" collapsed="false">
      <c r="A291" s="6" t="s">
        <v>1003</v>
      </c>
      <c r="B291" s="6" t="s">
        <v>993</v>
      </c>
      <c r="C291" s="6" t="s">
        <v>81</v>
      </c>
      <c r="D291" s="7" t="s">
        <v>1004</v>
      </c>
      <c r="E291" s="6" t="s">
        <v>105</v>
      </c>
      <c r="F291" s="7" t="s">
        <v>266</v>
      </c>
      <c r="G291" s="7" t="s">
        <v>85</v>
      </c>
      <c r="H291" s="6" t="n">
        <v>0.0889</v>
      </c>
      <c r="I291" s="8" t="n">
        <v>8</v>
      </c>
      <c r="J291" s="6"/>
      <c r="K291" s="6" t="s">
        <v>86</v>
      </c>
      <c r="L291" s="6" t="s">
        <v>87</v>
      </c>
      <c r="M291" s="6" t="s">
        <v>213</v>
      </c>
      <c r="N291" s="6" t="s">
        <v>89</v>
      </c>
    </row>
    <row r="292" customFormat="false" ht="15" hidden="false" customHeight="false" outlineLevel="0" collapsed="false">
      <c r="A292" s="6" t="s">
        <v>1005</v>
      </c>
      <c r="B292" s="6" t="s">
        <v>993</v>
      </c>
      <c r="C292" s="6" t="s">
        <v>108</v>
      </c>
      <c r="D292" s="7" t="s">
        <v>1006</v>
      </c>
      <c r="E292" s="6" t="s">
        <v>1007</v>
      </c>
      <c r="F292" s="7" t="s">
        <v>305</v>
      </c>
      <c r="G292" s="7" t="s">
        <v>85</v>
      </c>
      <c r="H292" s="6" t="n">
        <v>0.1105</v>
      </c>
      <c r="I292" s="8" t="n">
        <v>8</v>
      </c>
      <c r="J292" s="6"/>
      <c r="K292" s="6" t="s">
        <v>86</v>
      </c>
      <c r="L292" s="6" t="s">
        <v>112</v>
      </c>
      <c r="M292" s="6" t="s">
        <v>213</v>
      </c>
      <c r="N292" s="6" t="s">
        <v>89</v>
      </c>
    </row>
    <row r="293" customFormat="false" ht="15" hidden="false" customHeight="false" outlineLevel="0" collapsed="false">
      <c r="A293" s="6" t="s">
        <v>1008</v>
      </c>
      <c r="B293" s="6" t="s">
        <v>993</v>
      </c>
      <c r="C293" s="6" t="s">
        <v>108</v>
      </c>
      <c r="D293" s="7" t="s">
        <v>1009</v>
      </c>
      <c r="E293" s="6" t="s">
        <v>105</v>
      </c>
      <c r="F293" s="7" t="s">
        <v>177</v>
      </c>
      <c r="G293" s="7" t="s">
        <v>85</v>
      </c>
      <c r="H293" s="6" t="n">
        <v>0.0921</v>
      </c>
      <c r="I293" s="8" t="n">
        <v>6</v>
      </c>
      <c r="J293" s="6"/>
      <c r="K293" s="6" t="s">
        <v>86</v>
      </c>
      <c r="L293" s="6" t="s">
        <v>112</v>
      </c>
      <c r="M293" s="6" t="s">
        <v>213</v>
      </c>
      <c r="N293" s="6" t="s">
        <v>89</v>
      </c>
    </row>
    <row r="294" customFormat="false" ht="15" hidden="false" customHeight="false" outlineLevel="0" collapsed="false">
      <c r="A294" s="6" t="s">
        <v>1010</v>
      </c>
      <c r="B294" s="6" t="s">
        <v>993</v>
      </c>
      <c r="C294" s="6" t="s">
        <v>108</v>
      </c>
      <c r="D294" s="7" t="s">
        <v>1011</v>
      </c>
      <c r="E294" s="6" t="s">
        <v>1007</v>
      </c>
      <c r="F294" s="7" t="s">
        <v>171</v>
      </c>
      <c r="G294" s="7" t="s">
        <v>85</v>
      </c>
      <c r="H294" s="6" t="n">
        <v>0.0737</v>
      </c>
      <c r="I294" s="8" t="n">
        <v>8</v>
      </c>
      <c r="J294" s="6"/>
      <c r="K294" s="6" t="s">
        <v>86</v>
      </c>
      <c r="L294" s="6" t="s">
        <v>112</v>
      </c>
      <c r="M294" s="6" t="s">
        <v>213</v>
      </c>
      <c r="N294" s="6" t="s">
        <v>89</v>
      </c>
    </row>
    <row r="295" customFormat="false" ht="15" hidden="false" customHeight="false" outlineLevel="0" collapsed="false">
      <c r="A295" s="6" t="s">
        <v>1012</v>
      </c>
      <c r="B295" s="6" t="s">
        <v>993</v>
      </c>
      <c r="C295" s="6" t="s">
        <v>108</v>
      </c>
      <c r="D295" s="7" t="s">
        <v>1013</v>
      </c>
      <c r="E295" s="6" t="s">
        <v>101</v>
      </c>
      <c r="F295" s="7" t="s">
        <v>528</v>
      </c>
      <c r="G295" s="7" t="s">
        <v>85</v>
      </c>
      <c r="H295" s="6" t="n">
        <v>0.0737</v>
      </c>
      <c r="I295" s="8" t="n">
        <v>8</v>
      </c>
      <c r="J295" s="6"/>
      <c r="K295" s="6" t="s">
        <v>86</v>
      </c>
      <c r="L295" s="6" t="s">
        <v>112</v>
      </c>
      <c r="M295" s="6" t="s">
        <v>88</v>
      </c>
      <c r="N295" s="6" t="s">
        <v>89</v>
      </c>
    </row>
    <row r="296" customFormat="false" ht="15" hidden="false" customHeight="false" outlineLevel="0" collapsed="false">
      <c r="A296" s="6" t="s">
        <v>1014</v>
      </c>
      <c r="B296" s="6" t="s">
        <v>993</v>
      </c>
      <c r="C296" s="6" t="s">
        <v>125</v>
      </c>
      <c r="D296" s="7" t="s">
        <v>1015</v>
      </c>
      <c r="E296" s="6" t="s">
        <v>127</v>
      </c>
      <c r="F296" s="7" t="s">
        <v>208</v>
      </c>
      <c r="G296" s="6" t="s">
        <v>217</v>
      </c>
      <c r="H296" s="6" t="n">
        <v>0.06</v>
      </c>
      <c r="I296" s="8" t="n">
        <v>6</v>
      </c>
      <c r="J296" s="6"/>
      <c r="K296" s="6" t="s">
        <v>86</v>
      </c>
      <c r="L296" s="6" t="s">
        <v>130</v>
      </c>
      <c r="M296" s="6" t="s">
        <v>131</v>
      </c>
      <c r="N296" s="6" t="s">
        <v>89</v>
      </c>
    </row>
    <row r="297" customFormat="false" ht="26.85" hidden="false" customHeight="false" outlineLevel="0" collapsed="false">
      <c r="A297" s="6" t="s">
        <v>1016</v>
      </c>
      <c r="B297" s="6" t="s">
        <v>993</v>
      </c>
      <c r="C297" s="6" t="s">
        <v>125</v>
      </c>
      <c r="D297" s="7" t="s">
        <v>1017</v>
      </c>
      <c r="E297" s="6" t="s">
        <v>127</v>
      </c>
      <c r="F297" s="7" t="s">
        <v>677</v>
      </c>
      <c r="G297" s="7" t="s">
        <v>129</v>
      </c>
      <c r="H297" s="6" t="n">
        <v>0.048</v>
      </c>
      <c r="I297" s="8" t="n">
        <v>6</v>
      </c>
      <c r="J297" s="6"/>
      <c r="K297" s="6" t="s">
        <v>86</v>
      </c>
      <c r="L297" s="6" t="s">
        <v>130</v>
      </c>
      <c r="M297" s="6" t="s">
        <v>94</v>
      </c>
      <c r="N297" s="6" t="s">
        <v>89</v>
      </c>
    </row>
    <row r="298" customFormat="false" ht="15" hidden="false" customHeight="false" outlineLevel="0" collapsed="false">
      <c r="A298" s="6" t="s">
        <v>1018</v>
      </c>
      <c r="B298" s="6" t="s">
        <v>993</v>
      </c>
      <c r="C298" s="6" t="s">
        <v>125</v>
      </c>
      <c r="D298" s="7" t="s">
        <v>1019</v>
      </c>
      <c r="E298" s="6" t="s">
        <v>105</v>
      </c>
      <c r="F298" s="7" t="s">
        <v>1020</v>
      </c>
      <c r="G298" s="7" t="s">
        <v>129</v>
      </c>
      <c r="H298" s="6" t="n">
        <v>0.042</v>
      </c>
      <c r="I298" s="8" t="n">
        <v>6</v>
      </c>
      <c r="J298" s="6"/>
      <c r="K298" s="6" t="s">
        <v>86</v>
      </c>
      <c r="L298" s="6" t="s">
        <v>130</v>
      </c>
      <c r="M298" s="6" t="s">
        <v>131</v>
      </c>
      <c r="N298" s="6" t="s">
        <v>89</v>
      </c>
    </row>
    <row r="299" customFormat="false" ht="15" hidden="false" customHeight="false" outlineLevel="0" collapsed="false">
      <c r="A299" s="6" t="s">
        <v>1021</v>
      </c>
      <c r="B299" s="6" t="s">
        <v>1022</v>
      </c>
      <c r="C299" s="6" t="s">
        <v>81</v>
      </c>
      <c r="D299" s="7" t="s">
        <v>1023</v>
      </c>
      <c r="E299" s="6" t="s">
        <v>1024</v>
      </c>
      <c r="F299" s="7" t="s">
        <v>769</v>
      </c>
      <c r="G299" s="6" t="s">
        <v>1025</v>
      </c>
      <c r="H299" s="6" t="n">
        <v>0.1667</v>
      </c>
      <c r="I299" s="8" t="n">
        <v>8</v>
      </c>
      <c r="J299" s="6"/>
      <c r="K299" s="6" t="s">
        <v>86</v>
      </c>
      <c r="L299" s="6" t="s">
        <v>87</v>
      </c>
      <c r="M299" s="6" t="s">
        <v>168</v>
      </c>
      <c r="N299" s="6" t="s">
        <v>89</v>
      </c>
    </row>
    <row r="300" customFormat="false" ht="15" hidden="false" customHeight="false" outlineLevel="0" collapsed="false">
      <c r="A300" s="6" t="s">
        <v>1026</v>
      </c>
      <c r="B300" s="6" t="s">
        <v>1022</v>
      </c>
      <c r="C300" s="6" t="s">
        <v>81</v>
      </c>
      <c r="D300" s="7" t="s">
        <v>1027</v>
      </c>
      <c r="E300" s="6" t="s">
        <v>1028</v>
      </c>
      <c r="F300" s="7" t="s">
        <v>444</v>
      </c>
      <c r="G300" s="6" t="s">
        <v>1025</v>
      </c>
      <c r="H300" s="6" t="n">
        <v>0.1111</v>
      </c>
      <c r="I300" s="8" t="n">
        <v>8</v>
      </c>
      <c r="J300" s="6"/>
      <c r="K300" s="6" t="s">
        <v>86</v>
      </c>
      <c r="L300" s="6" t="s">
        <v>87</v>
      </c>
      <c r="M300" s="6" t="s">
        <v>168</v>
      </c>
      <c r="N300" s="6" t="s">
        <v>89</v>
      </c>
    </row>
    <row r="301" customFormat="false" ht="15" hidden="false" customHeight="false" outlineLevel="0" collapsed="false">
      <c r="A301" s="6" t="s">
        <v>1029</v>
      </c>
      <c r="B301" s="6" t="s">
        <v>1022</v>
      </c>
      <c r="C301" s="6" t="s">
        <v>81</v>
      </c>
      <c r="D301" s="7" t="s">
        <v>1030</v>
      </c>
      <c r="E301" s="6" t="s">
        <v>1031</v>
      </c>
      <c r="F301" s="7" t="s">
        <v>402</v>
      </c>
      <c r="G301" s="6" t="s">
        <v>1025</v>
      </c>
      <c r="H301" s="6" t="n">
        <v>0.1333</v>
      </c>
      <c r="I301" s="8" t="n">
        <v>8</v>
      </c>
      <c r="J301" s="6"/>
      <c r="K301" s="6" t="s">
        <v>86</v>
      </c>
      <c r="L301" s="6" t="s">
        <v>87</v>
      </c>
      <c r="M301" s="6" t="s">
        <v>88</v>
      </c>
      <c r="N301" s="6" t="s">
        <v>89</v>
      </c>
    </row>
    <row r="302" customFormat="false" ht="15" hidden="false" customHeight="false" outlineLevel="0" collapsed="false">
      <c r="A302" s="6" t="s">
        <v>1032</v>
      </c>
      <c r="B302" s="6" t="s">
        <v>1022</v>
      </c>
      <c r="C302" s="6" t="s">
        <v>81</v>
      </c>
      <c r="D302" s="7" t="s">
        <v>1033</v>
      </c>
      <c r="E302" s="6" t="s">
        <v>101</v>
      </c>
      <c r="F302" s="7" t="s">
        <v>180</v>
      </c>
      <c r="G302" s="7" t="s">
        <v>85</v>
      </c>
      <c r="H302" s="6" t="n">
        <v>0.0889</v>
      </c>
      <c r="I302" s="8" t="n">
        <v>6</v>
      </c>
      <c r="J302" s="6"/>
      <c r="K302" s="6" t="s">
        <v>86</v>
      </c>
      <c r="L302" s="6" t="s">
        <v>87</v>
      </c>
      <c r="M302" s="6" t="s">
        <v>88</v>
      </c>
      <c r="N302" s="6" t="s">
        <v>89</v>
      </c>
    </row>
    <row r="303" customFormat="false" ht="26.85" hidden="false" customHeight="false" outlineLevel="0" collapsed="false">
      <c r="A303" s="6" t="s">
        <v>1034</v>
      </c>
      <c r="B303" s="6" t="s">
        <v>1022</v>
      </c>
      <c r="C303" s="6" t="s">
        <v>108</v>
      </c>
      <c r="D303" s="7" t="s">
        <v>1035</v>
      </c>
      <c r="E303" s="7" t="s">
        <v>189</v>
      </c>
      <c r="F303" s="7" t="s">
        <v>1036</v>
      </c>
      <c r="G303" s="6" t="s">
        <v>147</v>
      </c>
      <c r="H303" s="6" t="n">
        <v>0.128</v>
      </c>
      <c r="I303" s="8" t="n">
        <v>8</v>
      </c>
      <c r="J303" s="6"/>
      <c r="K303" s="6" t="s">
        <v>86</v>
      </c>
      <c r="L303" s="6" t="s">
        <v>112</v>
      </c>
      <c r="M303" s="6" t="s">
        <v>94</v>
      </c>
      <c r="N303" s="6" t="s">
        <v>89</v>
      </c>
    </row>
    <row r="304" customFormat="false" ht="26.85" hidden="false" customHeight="false" outlineLevel="0" collapsed="false">
      <c r="A304" s="6" t="s">
        <v>1037</v>
      </c>
      <c r="B304" s="6" t="s">
        <v>1022</v>
      </c>
      <c r="C304" s="6" t="s">
        <v>108</v>
      </c>
      <c r="D304" s="7" t="s">
        <v>1038</v>
      </c>
      <c r="E304" s="7" t="s">
        <v>189</v>
      </c>
      <c r="F304" s="7" t="s">
        <v>1039</v>
      </c>
      <c r="G304" s="6" t="s">
        <v>147</v>
      </c>
      <c r="H304" s="6" t="n">
        <v>0.0854</v>
      </c>
      <c r="I304" s="8" t="n">
        <v>8</v>
      </c>
      <c r="J304" s="6"/>
      <c r="K304" s="6" t="s">
        <v>86</v>
      </c>
      <c r="L304" s="6" t="s">
        <v>112</v>
      </c>
      <c r="M304" s="6" t="s">
        <v>94</v>
      </c>
      <c r="N304" s="6" t="s">
        <v>89</v>
      </c>
    </row>
    <row r="305" customFormat="false" ht="26.85" hidden="false" customHeight="false" outlineLevel="0" collapsed="false">
      <c r="A305" s="6" t="s">
        <v>1040</v>
      </c>
      <c r="B305" s="6" t="s">
        <v>1022</v>
      </c>
      <c r="C305" s="6" t="s">
        <v>108</v>
      </c>
      <c r="D305" s="7" t="s">
        <v>1041</v>
      </c>
      <c r="E305" s="7" t="s">
        <v>193</v>
      </c>
      <c r="F305" s="7" t="s">
        <v>1042</v>
      </c>
      <c r="G305" s="6" t="s">
        <v>147</v>
      </c>
      <c r="H305" s="6" t="n">
        <v>0.0683</v>
      </c>
      <c r="I305" s="8" t="n">
        <v>8</v>
      </c>
      <c r="J305" s="6"/>
      <c r="K305" s="6" t="s">
        <v>86</v>
      </c>
      <c r="L305" s="6" t="s">
        <v>112</v>
      </c>
      <c r="M305" s="6" t="s">
        <v>94</v>
      </c>
      <c r="N305" s="6" t="s">
        <v>89</v>
      </c>
    </row>
    <row r="306" customFormat="false" ht="15" hidden="false" customHeight="false" outlineLevel="0" collapsed="false">
      <c r="A306" s="6" t="s">
        <v>1043</v>
      </c>
      <c r="B306" s="6" t="s">
        <v>1022</v>
      </c>
      <c r="C306" s="6" t="s">
        <v>108</v>
      </c>
      <c r="D306" s="7" t="s">
        <v>1044</v>
      </c>
      <c r="E306" s="7" t="s">
        <v>1045</v>
      </c>
      <c r="F306" s="7" t="s">
        <v>1046</v>
      </c>
      <c r="G306" s="6" t="s">
        <v>120</v>
      </c>
      <c r="H306" s="6" t="n">
        <v>0.0683</v>
      </c>
      <c r="I306" s="8" t="n">
        <v>6</v>
      </c>
      <c r="J306" s="6"/>
      <c r="K306" s="6" t="s">
        <v>86</v>
      </c>
      <c r="L306" s="6" t="s">
        <v>112</v>
      </c>
      <c r="M306" s="6" t="s">
        <v>88</v>
      </c>
      <c r="N306" s="6" t="s">
        <v>89</v>
      </c>
    </row>
    <row r="307" customFormat="false" ht="15" hidden="false" customHeight="false" outlineLevel="0" collapsed="false">
      <c r="A307" s="6" t="s">
        <v>1047</v>
      </c>
      <c r="B307" s="6" t="s">
        <v>1022</v>
      </c>
      <c r="C307" s="6" t="s">
        <v>125</v>
      </c>
      <c r="D307" s="7" t="s">
        <v>1048</v>
      </c>
      <c r="E307" s="6" t="s">
        <v>127</v>
      </c>
      <c r="F307" s="7" t="s">
        <v>1049</v>
      </c>
      <c r="G307" s="6" t="s">
        <v>217</v>
      </c>
      <c r="H307" s="6" t="n">
        <v>0.06</v>
      </c>
      <c r="I307" s="8" t="n">
        <v>6</v>
      </c>
      <c r="J307" s="6"/>
      <c r="K307" s="6" t="s">
        <v>86</v>
      </c>
      <c r="L307" s="6" t="s">
        <v>130</v>
      </c>
      <c r="M307" s="6" t="s">
        <v>131</v>
      </c>
      <c r="N307" s="6" t="s">
        <v>89</v>
      </c>
    </row>
    <row r="308" customFormat="false" ht="15" hidden="false" customHeight="false" outlineLevel="0" collapsed="false">
      <c r="A308" s="6" t="s">
        <v>1050</v>
      </c>
      <c r="B308" s="6" t="s">
        <v>1022</v>
      </c>
      <c r="C308" s="6" t="s">
        <v>125</v>
      </c>
      <c r="D308" s="7" t="s">
        <v>1051</v>
      </c>
      <c r="E308" s="6" t="s">
        <v>127</v>
      </c>
      <c r="F308" s="7" t="s">
        <v>469</v>
      </c>
      <c r="G308" s="7" t="s">
        <v>129</v>
      </c>
      <c r="H308" s="6" t="n">
        <v>0.048</v>
      </c>
      <c r="I308" s="8" t="n">
        <v>6</v>
      </c>
      <c r="J308" s="6"/>
      <c r="K308" s="6" t="s">
        <v>86</v>
      </c>
      <c r="L308" s="6" t="s">
        <v>130</v>
      </c>
      <c r="M308" s="6" t="s">
        <v>131</v>
      </c>
      <c r="N308" s="6" t="s">
        <v>89</v>
      </c>
    </row>
    <row r="309" customFormat="false" ht="15" hidden="false" customHeight="false" outlineLevel="0" collapsed="false">
      <c r="A309" s="6" t="s">
        <v>1052</v>
      </c>
      <c r="B309" s="6" t="s">
        <v>1022</v>
      </c>
      <c r="C309" s="6" t="s">
        <v>125</v>
      </c>
      <c r="D309" s="7" t="s">
        <v>1053</v>
      </c>
      <c r="E309" s="6" t="s">
        <v>127</v>
      </c>
      <c r="F309" s="7" t="s">
        <v>680</v>
      </c>
      <c r="G309" s="7" t="s">
        <v>129</v>
      </c>
      <c r="H309" s="6" t="n">
        <v>0.042</v>
      </c>
      <c r="I309" s="8" t="n">
        <v>8</v>
      </c>
      <c r="J309" s="6"/>
      <c r="K309" s="6" t="s">
        <v>86</v>
      </c>
      <c r="L309" s="6" t="s">
        <v>130</v>
      </c>
      <c r="M309" s="6" t="s">
        <v>168</v>
      </c>
      <c r="N309" s="6" t="s">
        <v>89</v>
      </c>
    </row>
    <row r="310" customFormat="false" ht="26.85" hidden="false" customHeight="false" outlineLevel="0" collapsed="false">
      <c r="A310" s="6" t="s">
        <v>1054</v>
      </c>
      <c r="B310" s="6" t="s">
        <v>1055</v>
      </c>
      <c r="C310" s="6" t="s">
        <v>81</v>
      </c>
      <c r="D310" s="7" t="s">
        <v>1056</v>
      </c>
      <c r="E310" s="7" t="s">
        <v>1057</v>
      </c>
      <c r="F310" s="7" t="s">
        <v>402</v>
      </c>
      <c r="G310" s="6" t="s">
        <v>142</v>
      </c>
      <c r="H310" s="6" t="n">
        <v>0.1744</v>
      </c>
      <c r="I310" s="8" t="n">
        <v>8</v>
      </c>
      <c r="J310" s="6"/>
      <c r="K310" s="6" t="s">
        <v>86</v>
      </c>
      <c r="L310" s="6" t="s">
        <v>87</v>
      </c>
      <c r="M310" s="6" t="s">
        <v>94</v>
      </c>
      <c r="N310" s="6" t="s">
        <v>89</v>
      </c>
    </row>
    <row r="311" customFormat="false" ht="15" hidden="false" customHeight="false" outlineLevel="0" collapsed="false">
      <c r="A311" s="6" t="s">
        <v>1058</v>
      </c>
      <c r="B311" s="6" t="s">
        <v>1055</v>
      </c>
      <c r="C311" s="6" t="s">
        <v>81</v>
      </c>
      <c r="D311" s="7" t="s">
        <v>1059</v>
      </c>
      <c r="E311" s="7" t="s">
        <v>1060</v>
      </c>
      <c r="F311" s="7" t="s">
        <v>1061</v>
      </c>
      <c r="G311" s="6" t="s">
        <v>1062</v>
      </c>
      <c r="H311" s="6" t="n">
        <v>0.1163</v>
      </c>
      <c r="I311" s="8" t="n">
        <v>8</v>
      </c>
      <c r="J311" s="6"/>
      <c r="K311" s="6" t="s">
        <v>86</v>
      </c>
      <c r="L311" s="6" t="s">
        <v>87</v>
      </c>
      <c r="M311" s="6" t="s">
        <v>279</v>
      </c>
      <c r="N311" s="6" t="s">
        <v>89</v>
      </c>
    </row>
    <row r="312" customFormat="false" ht="15" hidden="false" customHeight="false" outlineLevel="0" collapsed="false">
      <c r="A312" s="6" t="s">
        <v>1063</v>
      </c>
      <c r="B312" s="6" t="s">
        <v>1055</v>
      </c>
      <c r="C312" s="6" t="s">
        <v>81</v>
      </c>
      <c r="D312" s="7" t="s">
        <v>1064</v>
      </c>
      <c r="E312" s="7" t="s">
        <v>1065</v>
      </c>
      <c r="F312" s="7" t="s">
        <v>563</v>
      </c>
      <c r="G312" s="7" t="s">
        <v>1066</v>
      </c>
      <c r="H312" s="6" t="n">
        <v>0.1163</v>
      </c>
      <c r="I312" s="8" t="n">
        <v>8</v>
      </c>
      <c r="J312" s="6"/>
      <c r="K312" s="6" t="s">
        <v>86</v>
      </c>
      <c r="L312" s="6" t="s">
        <v>87</v>
      </c>
      <c r="M312" s="6" t="s">
        <v>168</v>
      </c>
      <c r="N312" s="6" t="s">
        <v>89</v>
      </c>
    </row>
    <row r="313" customFormat="false" ht="15" hidden="false" customHeight="false" outlineLevel="0" collapsed="false">
      <c r="A313" s="6" t="s">
        <v>1067</v>
      </c>
      <c r="B313" s="6" t="s">
        <v>1055</v>
      </c>
      <c r="C313" s="6" t="s">
        <v>81</v>
      </c>
      <c r="D313" s="7" t="s">
        <v>1068</v>
      </c>
      <c r="E313" s="7" t="s">
        <v>1069</v>
      </c>
      <c r="F313" s="7" t="s">
        <v>223</v>
      </c>
      <c r="G313" s="7" t="s">
        <v>85</v>
      </c>
      <c r="H313" s="6" t="n">
        <v>0.093</v>
      </c>
      <c r="I313" s="8" t="n">
        <v>6</v>
      </c>
      <c r="J313" s="6"/>
      <c r="K313" s="6" t="s">
        <v>86</v>
      </c>
      <c r="L313" s="6" t="s">
        <v>87</v>
      </c>
      <c r="M313" s="6" t="s">
        <v>88</v>
      </c>
      <c r="N313" s="6" t="s">
        <v>89</v>
      </c>
    </row>
    <row r="314" customFormat="false" ht="26.85" hidden="false" customHeight="false" outlineLevel="0" collapsed="false">
      <c r="A314" s="6" t="s">
        <v>1070</v>
      </c>
      <c r="B314" s="6" t="s">
        <v>1055</v>
      </c>
      <c r="C314" s="6" t="s">
        <v>108</v>
      </c>
      <c r="D314" s="7" t="s">
        <v>1071</v>
      </c>
      <c r="E314" s="6" t="s">
        <v>1072</v>
      </c>
      <c r="F314" s="7" t="s">
        <v>1073</v>
      </c>
      <c r="G314" s="6" t="s">
        <v>1074</v>
      </c>
      <c r="H314" s="6" t="n">
        <v>0.105</v>
      </c>
      <c r="I314" s="8" t="n">
        <v>6</v>
      </c>
      <c r="J314" s="6"/>
      <c r="K314" s="6" t="s">
        <v>86</v>
      </c>
      <c r="L314" s="6" t="s">
        <v>112</v>
      </c>
      <c r="M314" s="6" t="s">
        <v>94</v>
      </c>
      <c r="N314" s="6" t="s">
        <v>89</v>
      </c>
    </row>
    <row r="315" customFormat="false" ht="15" hidden="false" customHeight="false" outlineLevel="0" collapsed="false">
      <c r="A315" s="6" t="s">
        <v>1075</v>
      </c>
      <c r="B315" s="6" t="s">
        <v>1055</v>
      </c>
      <c r="C315" s="6" t="s">
        <v>108</v>
      </c>
      <c r="D315" s="7" t="s">
        <v>1076</v>
      </c>
      <c r="E315" s="6" t="s">
        <v>1077</v>
      </c>
      <c r="F315" s="7" t="s">
        <v>402</v>
      </c>
      <c r="G315" s="7" t="s">
        <v>129</v>
      </c>
      <c r="H315" s="6" t="n">
        <v>0.0875</v>
      </c>
      <c r="I315" s="8" t="n">
        <v>6</v>
      </c>
      <c r="J315" s="6"/>
      <c r="K315" s="6" t="s">
        <v>86</v>
      </c>
      <c r="L315" s="6" t="s">
        <v>112</v>
      </c>
      <c r="M315" s="6" t="s">
        <v>88</v>
      </c>
      <c r="N315" s="6" t="s">
        <v>89</v>
      </c>
    </row>
    <row r="316" customFormat="false" ht="26.85" hidden="false" customHeight="false" outlineLevel="0" collapsed="false">
      <c r="A316" s="6" t="s">
        <v>1078</v>
      </c>
      <c r="B316" s="6" t="s">
        <v>1055</v>
      </c>
      <c r="C316" s="6" t="s">
        <v>108</v>
      </c>
      <c r="D316" s="7" t="s">
        <v>1079</v>
      </c>
      <c r="E316" s="6" t="s">
        <v>788</v>
      </c>
      <c r="F316" s="7" t="s">
        <v>1080</v>
      </c>
      <c r="G316" s="7" t="s">
        <v>163</v>
      </c>
      <c r="H316" s="6" t="n">
        <v>0.0875</v>
      </c>
      <c r="I316" s="8" t="n">
        <v>6</v>
      </c>
      <c r="J316" s="6"/>
      <c r="K316" s="6" t="s">
        <v>86</v>
      </c>
      <c r="L316" s="6" t="s">
        <v>112</v>
      </c>
      <c r="M316" s="6" t="s">
        <v>94</v>
      </c>
      <c r="N316" s="6" t="s">
        <v>89</v>
      </c>
    </row>
    <row r="317" customFormat="false" ht="15" hidden="false" customHeight="false" outlineLevel="0" collapsed="false">
      <c r="A317" s="6" t="s">
        <v>1081</v>
      </c>
      <c r="B317" s="6" t="s">
        <v>1055</v>
      </c>
      <c r="C317" s="6" t="s">
        <v>108</v>
      </c>
      <c r="D317" s="7" t="s">
        <v>1082</v>
      </c>
      <c r="E317" s="6" t="s">
        <v>101</v>
      </c>
      <c r="F317" s="7" t="s">
        <v>177</v>
      </c>
      <c r="G317" s="7" t="s">
        <v>85</v>
      </c>
      <c r="H317" s="6" t="n">
        <v>0.07</v>
      </c>
      <c r="I317" s="8" t="n">
        <v>6</v>
      </c>
      <c r="J317" s="6"/>
      <c r="K317" s="6" t="s">
        <v>86</v>
      </c>
      <c r="L317" s="6" t="s">
        <v>112</v>
      </c>
      <c r="M317" s="6" t="s">
        <v>88</v>
      </c>
      <c r="N317" s="6" t="s">
        <v>89</v>
      </c>
    </row>
    <row r="318" customFormat="false" ht="15" hidden="false" customHeight="false" outlineLevel="0" collapsed="false">
      <c r="A318" s="6" t="s">
        <v>1083</v>
      </c>
      <c r="B318" s="6" t="s">
        <v>1055</v>
      </c>
      <c r="C318" s="6" t="s">
        <v>125</v>
      </c>
      <c r="D318" s="7" t="s">
        <v>1084</v>
      </c>
      <c r="E318" s="6" t="s">
        <v>127</v>
      </c>
      <c r="F318" s="7" t="s">
        <v>1085</v>
      </c>
      <c r="G318" s="6" t="s">
        <v>217</v>
      </c>
      <c r="H318" s="6" t="n">
        <v>0.06</v>
      </c>
      <c r="I318" s="8" t="n">
        <v>6</v>
      </c>
      <c r="J318" s="6"/>
      <c r="K318" s="6" t="s">
        <v>86</v>
      </c>
      <c r="L318" s="6" t="s">
        <v>130</v>
      </c>
      <c r="M318" s="6" t="s">
        <v>131</v>
      </c>
      <c r="N318" s="6" t="s">
        <v>89</v>
      </c>
    </row>
    <row r="319" customFormat="false" ht="15" hidden="false" customHeight="false" outlineLevel="0" collapsed="false">
      <c r="A319" s="6" t="s">
        <v>1086</v>
      </c>
      <c r="B319" s="6" t="s">
        <v>1055</v>
      </c>
      <c r="C319" s="6" t="s">
        <v>125</v>
      </c>
      <c r="D319" s="7" t="s">
        <v>1087</v>
      </c>
      <c r="E319" s="6" t="s">
        <v>127</v>
      </c>
      <c r="F319" s="7" t="s">
        <v>335</v>
      </c>
      <c r="G319" s="7" t="s">
        <v>129</v>
      </c>
      <c r="H319" s="6" t="n">
        <v>0.048</v>
      </c>
      <c r="I319" s="8" t="n">
        <v>6</v>
      </c>
      <c r="J319" s="6"/>
      <c r="K319" s="6" t="s">
        <v>86</v>
      </c>
      <c r="L319" s="6" t="s">
        <v>130</v>
      </c>
      <c r="M319" s="6" t="s">
        <v>131</v>
      </c>
      <c r="N319" s="6" t="s">
        <v>89</v>
      </c>
    </row>
    <row r="320" customFormat="false" ht="15" hidden="false" customHeight="false" outlineLevel="0" collapsed="false">
      <c r="A320" s="6" t="s">
        <v>1088</v>
      </c>
      <c r="B320" s="6" t="s">
        <v>1055</v>
      </c>
      <c r="C320" s="6" t="s">
        <v>125</v>
      </c>
      <c r="D320" s="7" t="s">
        <v>1089</v>
      </c>
      <c r="E320" s="6" t="s">
        <v>105</v>
      </c>
      <c r="F320" s="7" t="s">
        <v>177</v>
      </c>
      <c r="G320" s="7" t="s">
        <v>129</v>
      </c>
      <c r="H320" s="6" t="n">
        <v>0.042</v>
      </c>
      <c r="I320" s="8" t="n">
        <v>8</v>
      </c>
      <c r="J320" s="6"/>
      <c r="K320" s="6" t="s">
        <v>86</v>
      </c>
      <c r="L320" s="6" t="s">
        <v>130</v>
      </c>
      <c r="M320" s="6" t="s">
        <v>88</v>
      </c>
      <c r="N320" s="6" t="s">
        <v>89</v>
      </c>
    </row>
    <row r="321" customFormat="false" ht="15" hidden="false" customHeight="false" outlineLevel="0" collapsed="false">
      <c r="A321" s="6" t="s">
        <v>1090</v>
      </c>
      <c r="B321" s="6" t="s">
        <v>1091</v>
      </c>
      <c r="C321" s="6" t="s">
        <v>81</v>
      </c>
      <c r="D321" s="7" t="s">
        <v>1092</v>
      </c>
      <c r="E321" s="6" t="s">
        <v>1072</v>
      </c>
      <c r="F321" s="7" t="s">
        <v>428</v>
      </c>
      <c r="G321" s="6" t="s">
        <v>217</v>
      </c>
      <c r="H321" s="6" t="n">
        <v>0.15</v>
      </c>
      <c r="I321" s="8" t="n">
        <v>8</v>
      </c>
      <c r="J321" s="6"/>
      <c r="K321" s="6" t="s">
        <v>86</v>
      </c>
      <c r="L321" s="6" t="s">
        <v>87</v>
      </c>
      <c r="M321" s="6" t="s">
        <v>88</v>
      </c>
      <c r="N321" s="6" t="s">
        <v>89</v>
      </c>
    </row>
    <row r="322" customFormat="false" ht="15" hidden="false" customHeight="false" outlineLevel="0" collapsed="false">
      <c r="A322" s="6" t="s">
        <v>1093</v>
      </c>
      <c r="B322" s="6" t="s">
        <v>1091</v>
      </c>
      <c r="C322" s="6" t="s">
        <v>81</v>
      </c>
      <c r="D322" s="7" t="s">
        <v>1094</v>
      </c>
      <c r="E322" s="6" t="s">
        <v>1095</v>
      </c>
      <c r="F322" s="7" t="s">
        <v>338</v>
      </c>
      <c r="G322" s="6" t="s">
        <v>1096</v>
      </c>
      <c r="H322" s="6" t="n">
        <v>0.1</v>
      </c>
      <c r="I322" s="8" t="n">
        <v>8</v>
      </c>
      <c r="J322" s="6"/>
      <c r="K322" s="6" t="s">
        <v>86</v>
      </c>
      <c r="L322" s="6" t="s">
        <v>87</v>
      </c>
      <c r="M322" s="6" t="s">
        <v>279</v>
      </c>
      <c r="N322" s="6" t="s">
        <v>89</v>
      </c>
    </row>
    <row r="323" customFormat="false" ht="26.85" hidden="false" customHeight="false" outlineLevel="0" collapsed="false">
      <c r="A323" s="6" t="s">
        <v>1097</v>
      </c>
      <c r="B323" s="6" t="s">
        <v>1091</v>
      </c>
      <c r="C323" s="6" t="s">
        <v>81</v>
      </c>
      <c r="D323" s="7" t="s">
        <v>1098</v>
      </c>
      <c r="E323" s="6" t="s">
        <v>1099</v>
      </c>
      <c r="F323" s="7" t="s">
        <v>538</v>
      </c>
      <c r="G323" s="6" t="s">
        <v>147</v>
      </c>
      <c r="H323" s="6" t="n">
        <v>0.12</v>
      </c>
      <c r="I323" s="8" t="n">
        <v>8</v>
      </c>
      <c r="J323" s="6"/>
      <c r="K323" s="6" t="s">
        <v>86</v>
      </c>
      <c r="L323" s="6" t="s">
        <v>87</v>
      </c>
      <c r="M323" s="6" t="s">
        <v>94</v>
      </c>
      <c r="N323" s="6" t="s">
        <v>89</v>
      </c>
    </row>
    <row r="324" customFormat="false" ht="15" hidden="false" customHeight="false" outlineLevel="0" collapsed="false">
      <c r="A324" s="6" t="s">
        <v>1100</v>
      </c>
      <c r="B324" s="6" t="s">
        <v>1091</v>
      </c>
      <c r="C324" s="6" t="s">
        <v>81</v>
      </c>
      <c r="D324" s="7" t="s">
        <v>1101</v>
      </c>
      <c r="E324" s="6" t="s">
        <v>698</v>
      </c>
      <c r="F324" s="7" t="s">
        <v>177</v>
      </c>
      <c r="G324" s="7" t="s">
        <v>85</v>
      </c>
      <c r="H324" s="6" t="n">
        <v>0.08</v>
      </c>
      <c r="I324" s="8" t="n">
        <v>8</v>
      </c>
      <c r="J324" s="6"/>
      <c r="K324" s="6" t="s">
        <v>86</v>
      </c>
      <c r="L324" s="6" t="s">
        <v>87</v>
      </c>
      <c r="M324" s="6" t="s">
        <v>88</v>
      </c>
      <c r="N324" s="6" t="s">
        <v>89</v>
      </c>
    </row>
    <row r="325" customFormat="false" ht="15" hidden="false" customHeight="false" outlineLevel="0" collapsed="false">
      <c r="A325" s="6" t="s">
        <v>1102</v>
      </c>
      <c r="B325" s="6" t="s">
        <v>1091</v>
      </c>
      <c r="C325" s="6" t="s">
        <v>108</v>
      </c>
      <c r="D325" s="7" t="s">
        <v>1103</v>
      </c>
      <c r="E325" s="6" t="s">
        <v>1104</v>
      </c>
      <c r="F325" s="7" t="s">
        <v>532</v>
      </c>
      <c r="G325" s="7" t="s">
        <v>85</v>
      </c>
      <c r="H325" s="6" t="n">
        <v>0.105</v>
      </c>
      <c r="I325" s="8" t="n">
        <v>6</v>
      </c>
      <c r="J325" s="6"/>
      <c r="K325" s="6" t="s">
        <v>86</v>
      </c>
      <c r="L325" s="6" t="s">
        <v>112</v>
      </c>
      <c r="M325" s="6" t="s">
        <v>88</v>
      </c>
      <c r="N325" s="6" t="s">
        <v>89</v>
      </c>
    </row>
    <row r="326" customFormat="false" ht="15" hidden="false" customHeight="false" outlineLevel="0" collapsed="false">
      <c r="A326" s="6" t="s">
        <v>1105</v>
      </c>
      <c r="B326" s="6" t="s">
        <v>1091</v>
      </c>
      <c r="C326" s="6" t="s">
        <v>108</v>
      </c>
      <c r="D326" s="7" t="s">
        <v>1106</v>
      </c>
      <c r="E326" s="6" t="s">
        <v>1104</v>
      </c>
      <c r="F326" s="7" t="s">
        <v>354</v>
      </c>
      <c r="G326" s="7" t="s">
        <v>85</v>
      </c>
      <c r="H326" s="6" t="n">
        <v>0.0875</v>
      </c>
      <c r="I326" s="8" t="n">
        <v>6</v>
      </c>
      <c r="J326" s="6"/>
      <c r="K326" s="6" t="s">
        <v>86</v>
      </c>
      <c r="L326" s="6" t="s">
        <v>112</v>
      </c>
      <c r="M326" s="6" t="s">
        <v>88</v>
      </c>
      <c r="N326" s="6" t="s">
        <v>89</v>
      </c>
    </row>
    <row r="327" customFormat="false" ht="15" hidden="false" customHeight="false" outlineLevel="0" collapsed="false">
      <c r="A327" s="6" t="s">
        <v>1107</v>
      </c>
      <c r="B327" s="6" t="s">
        <v>1091</v>
      </c>
      <c r="C327" s="6" t="s">
        <v>108</v>
      </c>
      <c r="D327" s="7" t="s">
        <v>1108</v>
      </c>
      <c r="E327" s="6" t="s">
        <v>768</v>
      </c>
      <c r="F327" s="7" t="s">
        <v>266</v>
      </c>
      <c r="G327" s="7" t="s">
        <v>85</v>
      </c>
      <c r="H327" s="6" t="n">
        <v>0.0875</v>
      </c>
      <c r="I327" s="8" t="n">
        <v>8</v>
      </c>
      <c r="J327" s="6"/>
      <c r="K327" s="6" t="s">
        <v>86</v>
      </c>
      <c r="L327" s="6" t="s">
        <v>112</v>
      </c>
      <c r="M327" s="6" t="s">
        <v>279</v>
      </c>
      <c r="N327" s="6" t="s">
        <v>89</v>
      </c>
    </row>
    <row r="328" customFormat="false" ht="15" hidden="false" customHeight="false" outlineLevel="0" collapsed="false">
      <c r="A328" s="6" t="s">
        <v>1109</v>
      </c>
      <c r="B328" s="6" t="s">
        <v>1091</v>
      </c>
      <c r="C328" s="6" t="s">
        <v>108</v>
      </c>
      <c r="D328" s="7" t="s">
        <v>1110</v>
      </c>
      <c r="E328" s="6" t="s">
        <v>105</v>
      </c>
      <c r="F328" s="7" t="s">
        <v>177</v>
      </c>
      <c r="G328" s="7" t="s">
        <v>85</v>
      </c>
      <c r="H328" s="6" t="n">
        <v>0.07</v>
      </c>
      <c r="I328" s="8" t="n">
        <v>6</v>
      </c>
      <c r="J328" s="6"/>
      <c r="K328" s="6" t="s">
        <v>86</v>
      </c>
      <c r="L328" s="6" t="s">
        <v>112</v>
      </c>
      <c r="M328" s="6" t="s">
        <v>213</v>
      </c>
      <c r="N328" s="6" t="s">
        <v>89</v>
      </c>
    </row>
    <row r="329" customFormat="false" ht="15" hidden="false" customHeight="false" outlineLevel="0" collapsed="false">
      <c r="A329" s="6" t="s">
        <v>1111</v>
      </c>
      <c r="B329" s="6" t="s">
        <v>1091</v>
      </c>
      <c r="C329" s="6" t="s">
        <v>125</v>
      </c>
      <c r="D329" s="7" t="s">
        <v>1112</v>
      </c>
      <c r="E329" s="6" t="s">
        <v>127</v>
      </c>
      <c r="F329" s="7" t="s">
        <v>677</v>
      </c>
      <c r="G329" s="6" t="s">
        <v>217</v>
      </c>
      <c r="H329" s="6" t="n">
        <v>0.08</v>
      </c>
      <c r="I329" s="8" t="n">
        <v>6</v>
      </c>
      <c r="J329" s="6"/>
      <c r="K329" s="6" t="s">
        <v>86</v>
      </c>
      <c r="L329" s="6" t="s">
        <v>130</v>
      </c>
      <c r="M329" s="6" t="s">
        <v>131</v>
      </c>
      <c r="N329" s="6" t="s">
        <v>89</v>
      </c>
    </row>
    <row r="330" customFormat="false" ht="26.85" hidden="false" customHeight="false" outlineLevel="0" collapsed="false">
      <c r="A330" s="6" t="s">
        <v>1113</v>
      </c>
      <c r="B330" s="6" t="s">
        <v>1091</v>
      </c>
      <c r="C330" s="6" t="s">
        <v>125</v>
      </c>
      <c r="D330" s="7" t="s">
        <v>1114</v>
      </c>
      <c r="E330" s="6" t="s">
        <v>127</v>
      </c>
      <c r="F330" s="7" t="s">
        <v>302</v>
      </c>
      <c r="G330" s="7" t="s">
        <v>129</v>
      </c>
      <c r="H330" s="6" t="n">
        <v>0.064</v>
      </c>
      <c r="I330" s="8" t="n">
        <v>6</v>
      </c>
      <c r="J330" s="6"/>
      <c r="K330" s="6" t="s">
        <v>86</v>
      </c>
      <c r="L330" s="6" t="s">
        <v>130</v>
      </c>
      <c r="M330" s="6" t="s">
        <v>94</v>
      </c>
      <c r="N330" s="6" t="s">
        <v>89</v>
      </c>
    </row>
    <row r="331" customFormat="false" ht="15" hidden="false" customHeight="false" outlineLevel="0" collapsed="false">
      <c r="A331" s="6" t="s">
        <v>1115</v>
      </c>
      <c r="B331" s="6" t="s">
        <v>1091</v>
      </c>
      <c r="C331" s="6" t="s">
        <v>125</v>
      </c>
      <c r="D331" s="7" t="s">
        <v>1116</v>
      </c>
      <c r="E331" s="6" t="s">
        <v>127</v>
      </c>
      <c r="F331" s="7" t="s">
        <v>720</v>
      </c>
      <c r="G331" s="6" t="s">
        <v>167</v>
      </c>
      <c r="H331" s="6" t="n">
        <v>0.056</v>
      </c>
      <c r="I331" s="8" t="n">
        <v>6</v>
      </c>
      <c r="J331" s="6"/>
      <c r="K331" s="6" t="s">
        <v>86</v>
      </c>
      <c r="L331" s="6" t="s">
        <v>130</v>
      </c>
      <c r="M331" s="6" t="s">
        <v>168</v>
      </c>
      <c r="N331" s="6" t="s">
        <v>89</v>
      </c>
    </row>
    <row r="332" customFormat="false" ht="15" hidden="false" customHeight="false" outlineLevel="0" collapsed="false">
      <c r="A332" s="6" t="s">
        <v>1117</v>
      </c>
      <c r="B332" s="6" t="s">
        <v>1118</v>
      </c>
      <c r="C332" s="6" t="s">
        <v>81</v>
      </c>
      <c r="D332" s="7" t="s">
        <v>1119</v>
      </c>
      <c r="E332" s="6" t="s">
        <v>105</v>
      </c>
      <c r="F332" s="7" t="s">
        <v>585</v>
      </c>
      <c r="G332" s="7" t="s">
        <v>85</v>
      </c>
      <c r="H332" s="6" t="n">
        <v>0.1333</v>
      </c>
      <c r="I332" s="8" t="n">
        <v>6</v>
      </c>
      <c r="J332" s="6"/>
      <c r="K332" s="6" t="s">
        <v>86</v>
      </c>
      <c r="L332" s="6" t="s">
        <v>87</v>
      </c>
      <c r="M332" s="6" t="s">
        <v>213</v>
      </c>
      <c r="N332" s="6" t="s">
        <v>89</v>
      </c>
    </row>
    <row r="333" customFormat="false" ht="15" hidden="false" customHeight="false" outlineLevel="0" collapsed="false">
      <c r="A333" s="6" t="s">
        <v>1120</v>
      </c>
      <c r="B333" s="6" t="s">
        <v>1118</v>
      </c>
      <c r="C333" s="6" t="s">
        <v>81</v>
      </c>
      <c r="D333" s="7" t="s">
        <v>1121</v>
      </c>
      <c r="E333" s="6" t="s">
        <v>101</v>
      </c>
      <c r="F333" s="7" t="s">
        <v>327</v>
      </c>
      <c r="G333" s="7" t="s">
        <v>85</v>
      </c>
      <c r="H333" s="6" t="n">
        <v>0.0889</v>
      </c>
      <c r="I333" s="8" t="n">
        <v>6</v>
      </c>
      <c r="J333" s="6"/>
      <c r="K333" s="6" t="s">
        <v>86</v>
      </c>
      <c r="L333" s="6" t="s">
        <v>87</v>
      </c>
      <c r="M333" s="6" t="s">
        <v>88</v>
      </c>
      <c r="N333" s="6" t="s">
        <v>89</v>
      </c>
    </row>
    <row r="334" customFormat="false" ht="15" hidden="false" customHeight="false" outlineLevel="0" collapsed="false">
      <c r="A334" s="6" t="s">
        <v>1122</v>
      </c>
      <c r="B334" s="6" t="s">
        <v>1118</v>
      </c>
      <c r="C334" s="6" t="s">
        <v>81</v>
      </c>
      <c r="D334" s="7" t="s">
        <v>351</v>
      </c>
      <c r="E334" s="6" t="s">
        <v>105</v>
      </c>
      <c r="F334" s="7" t="s">
        <v>287</v>
      </c>
      <c r="G334" s="6" t="s">
        <v>120</v>
      </c>
      <c r="H334" s="6" t="n">
        <v>0.1067</v>
      </c>
      <c r="I334" s="8" t="n">
        <v>4</v>
      </c>
      <c r="J334" s="6"/>
      <c r="K334" s="6" t="s">
        <v>86</v>
      </c>
      <c r="L334" s="6" t="s">
        <v>87</v>
      </c>
      <c r="M334" s="6" t="s">
        <v>88</v>
      </c>
      <c r="N334" s="6" t="s">
        <v>89</v>
      </c>
    </row>
    <row r="335" customFormat="false" ht="15" hidden="false" customHeight="false" outlineLevel="0" collapsed="false">
      <c r="A335" s="6" t="s">
        <v>1123</v>
      </c>
      <c r="B335" s="6" t="s">
        <v>1118</v>
      </c>
      <c r="C335" s="6" t="s">
        <v>81</v>
      </c>
      <c r="D335" s="7" t="s">
        <v>1124</v>
      </c>
      <c r="E335" s="6" t="s">
        <v>1125</v>
      </c>
      <c r="F335" s="7" t="s">
        <v>308</v>
      </c>
      <c r="G335" s="7" t="s">
        <v>85</v>
      </c>
      <c r="H335" s="6" t="n">
        <v>0.0711</v>
      </c>
      <c r="I335" s="8" t="n">
        <v>8</v>
      </c>
      <c r="J335" s="6"/>
      <c r="K335" s="6" t="s">
        <v>86</v>
      </c>
      <c r="L335" s="6" t="s">
        <v>87</v>
      </c>
      <c r="M335" s="6" t="s">
        <v>88</v>
      </c>
      <c r="N335" s="6" t="s">
        <v>89</v>
      </c>
    </row>
    <row r="336" customFormat="false" ht="15" hidden="false" customHeight="false" outlineLevel="0" collapsed="false">
      <c r="A336" s="6" t="s">
        <v>1126</v>
      </c>
      <c r="B336" s="6" t="s">
        <v>1118</v>
      </c>
      <c r="C336" s="6" t="s">
        <v>108</v>
      </c>
      <c r="D336" s="7" t="s">
        <v>1127</v>
      </c>
      <c r="E336" s="6" t="s">
        <v>105</v>
      </c>
      <c r="F336" s="7" t="s">
        <v>177</v>
      </c>
      <c r="G336" s="7" t="s">
        <v>85</v>
      </c>
      <c r="H336" s="6" t="n">
        <v>0.1463</v>
      </c>
      <c r="I336" s="8" t="n">
        <v>8</v>
      </c>
      <c r="J336" s="6"/>
      <c r="K336" s="6" t="s">
        <v>86</v>
      </c>
      <c r="L336" s="6" t="s">
        <v>112</v>
      </c>
      <c r="M336" s="6" t="s">
        <v>213</v>
      </c>
      <c r="N336" s="6" t="s">
        <v>89</v>
      </c>
    </row>
    <row r="337" customFormat="false" ht="15" hidden="false" customHeight="false" outlineLevel="0" collapsed="false">
      <c r="A337" s="6" t="s">
        <v>1128</v>
      </c>
      <c r="B337" s="6" t="s">
        <v>1118</v>
      </c>
      <c r="C337" s="6" t="s">
        <v>108</v>
      </c>
      <c r="D337" s="7" t="s">
        <v>1129</v>
      </c>
      <c r="E337" s="6" t="s">
        <v>816</v>
      </c>
      <c r="F337" s="7" t="s">
        <v>240</v>
      </c>
      <c r="G337" s="7" t="s">
        <v>85</v>
      </c>
      <c r="H337" s="6" t="n">
        <v>0.0976</v>
      </c>
      <c r="I337" s="8" t="n">
        <v>8</v>
      </c>
      <c r="J337" s="6"/>
      <c r="K337" s="6" t="s">
        <v>86</v>
      </c>
      <c r="L337" s="6" t="s">
        <v>112</v>
      </c>
      <c r="M337" s="6" t="s">
        <v>88</v>
      </c>
      <c r="N337" s="6" t="s">
        <v>89</v>
      </c>
    </row>
    <row r="338" customFormat="false" ht="15" hidden="false" customHeight="false" outlineLevel="0" collapsed="false">
      <c r="A338" s="6" t="s">
        <v>1130</v>
      </c>
      <c r="B338" s="6" t="s">
        <v>1118</v>
      </c>
      <c r="C338" s="6" t="s">
        <v>108</v>
      </c>
      <c r="D338" s="7" t="s">
        <v>1131</v>
      </c>
      <c r="E338" s="6" t="s">
        <v>105</v>
      </c>
      <c r="F338" s="7" t="s">
        <v>327</v>
      </c>
      <c r="G338" s="7" t="s">
        <v>85</v>
      </c>
      <c r="H338" s="6" t="n">
        <v>0.078</v>
      </c>
      <c r="I338" s="8" t="n">
        <v>6</v>
      </c>
      <c r="J338" s="6"/>
      <c r="K338" s="6" t="s">
        <v>86</v>
      </c>
      <c r="L338" s="6" t="s">
        <v>112</v>
      </c>
      <c r="M338" s="6" t="s">
        <v>213</v>
      </c>
      <c r="N338" s="6" t="s">
        <v>89</v>
      </c>
    </row>
    <row r="339" customFormat="false" ht="15" hidden="false" customHeight="false" outlineLevel="0" collapsed="false">
      <c r="A339" s="6" t="s">
        <v>1132</v>
      </c>
      <c r="B339" s="6" t="s">
        <v>1118</v>
      </c>
      <c r="C339" s="6" t="s">
        <v>108</v>
      </c>
      <c r="D339" s="7" t="s">
        <v>1133</v>
      </c>
      <c r="E339" s="6" t="s">
        <v>1134</v>
      </c>
      <c r="F339" s="7" t="s">
        <v>266</v>
      </c>
      <c r="G339" s="7" t="s">
        <v>85</v>
      </c>
      <c r="H339" s="6" t="n">
        <v>0.078</v>
      </c>
      <c r="I339" s="8" t="n">
        <v>8</v>
      </c>
      <c r="J339" s="6"/>
      <c r="K339" s="6" t="s">
        <v>86</v>
      </c>
      <c r="L339" s="6" t="s">
        <v>112</v>
      </c>
      <c r="M339" s="6" t="s">
        <v>88</v>
      </c>
      <c r="N339" s="6" t="s">
        <v>89</v>
      </c>
    </row>
    <row r="340" customFormat="false" ht="15" hidden="false" customHeight="false" outlineLevel="0" collapsed="false">
      <c r="A340" s="6" t="s">
        <v>1135</v>
      </c>
      <c r="B340" s="6" t="s">
        <v>1118</v>
      </c>
      <c r="C340" s="6" t="s">
        <v>125</v>
      </c>
      <c r="D340" s="7" t="s">
        <v>1136</v>
      </c>
      <c r="E340" s="6" t="s">
        <v>127</v>
      </c>
      <c r="F340" s="7" t="s">
        <v>469</v>
      </c>
      <c r="G340" s="6" t="s">
        <v>217</v>
      </c>
      <c r="H340" s="6" t="n">
        <v>0.08</v>
      </c>
      <c r="I340" s="8" t="n">
        <v>6</v>
      </c>
      <c r="J340" s="6"/>
      <c r="K340" s="6" t="s">
        <v>86</v>
      </c>
      <c r="L340" s="6" t="s">
        <v>130</v>
      </c>
      <c r="M340" s="6" t="s">
        <v>131</v>
      </c>
      <c r="N340" s="6" t="s">
        <v>89</v>
      </c>
    </row>
    <row r="341" customFormat="false" ht="26.85" hidden="false" customHeight="false" outlineLevel="0" collapsed="false">
      <c r="A341" s="6" t="s">
        <v>1137</v>
      </c>
      <c r="B341" s="6" t="s">
        <v>1118</v>
      </c>
      <c r="C341" s="6" t="s">
        <v>125</v>
      </c>
      <c r="D341" s="7" t="s">
        <v>1138</v>
      </c>
      <c r="E341" s="6" t="s">
        <v>127</v>
      </c>
      <c r="F341" s="7" t="s">
        <v>503</v>
      </c>
      <c r="G341" s="7" t="s">
        <v>129</v>
      </c>
      <c r="H341" s="6" t="n">
        <v>0.064</v>
      </c>
      <c r="I341" s="8" t="n">
        <v>8</v>
      </c>
      <c r="J341" s="6"/>
      <c r="K341" s="6" t="s">
        <v>86</v>
      </c>
      <c r="L341" s="6" t="s">
        <v>130</v>
      </c>
      <c r="M341" s="6" t="s">
        <v>94</v>
      </c>
      <c r="N341" s="6" t="s">
        <v>89</v>
      </c>
    </row>
    <row r="342" customFormat="false" ht="15" hidden="false" customHeight="false" outlineLevel="0" collapsed="false">
      <c r="A342" s="6" t="s">
        <v>1139</v>
      </c>
      <c r="B342" s="6" t="s">
        <v>1118</v>
      </c>
      <c r="C342" s="6" t="s">
        <v>125</v>
      </c>
      <c r="D342" s="7" t="s">
        <v>1140</v>
      </c>
      <c r="E342" s="6" t="s">
        <v>127</v>
      </c>
      <c r="F342" s="7" t="s">
        <v>1141</v>
      </c>
      <c r="G342" s="7" t="s">
        <v>129</v>
      </c>
      <c r="H342" s="6" t="n">
        <v>0.056</v>
      </c>
      <c r="I342" s="8" t="n">
        <v>8</v>
      </c>
      <c r="J342" s="6"/>
      <c r="K342" s="6" t="s">
        <v>86</v>
      </c>
      <c r="L342" s="6" t="s">
        <v>130</v>
      </c>
      <c r="M342" s="6" t="s">
        <v>88</v>
      </c>
      <c r="N342" s="6" t="s">
        <v>89</v>
      </c>
    </row>
    <row r="343" customFormat="false" ht="15" hidden="false" customHeight="false" outlineLevel="0" collapsed="false">
      <c r="A343" s="6" t="s">
        <v>1142</v>
      </c>
      <c r="B343" s="6" t="s">
        <v>1143</v>
      </c>
      <c r="C343" s="6" t="s">
        <v>81</v>
      </c>
      <c r="D343" s="7" t="s">
        <v>264</v>
      </c>
      <c r="E343" s="7" t="s">
        <v>265</v>
      </c>
      <c r="F343" s="7" t="s">
        <v>266</v>
      </c>
      <c r="G343" s="7" t="s">
        <v>85</v>
      </c>
      <c r="H343" s="6" t="n">
        <v>0.075</v>
      </c>
      <c r="I343" s="8" t="n">
        <v>8</v>
      </c>
      <c r="J343" s="6"/>
      <c r="K343" s="6" t="s">
        <v>86</v>
      </c>
      <c r="L343" s="6" t="s">
        <v>87</v>
      </c>
      <c r="M343" s="6" t="s">
        <v>88</v>
      </c>
      <c r="N343" s="6" t="s">
        <v>89</v>
      </c>
    </row>
    <row r="344" customFormat="false" ht="26.85" hidden="false" customHeight="false" outlineLevel="0" collapsed="false">
      <c r="A344" s="6" t="s">
        <v>1144</v>
      </c>
      <c r="B344" s="6" t="s">
        <v>1143</v>
      </c>
      <c r="C344" s="6" t="s">
        <v>81</v>
      </c>
      <c r="D344" s="7" t="s">
        <v>1145</v>
      </c>
      <c r="E344" s="7" t="s">
        <v>269</v>
      </c>
      <c r="F344" s="7" t="s">
        <v>270</v>
      </c>
      <c r="G344" s="7" t="s">
        <v>198</v>
      </c>
      <c r="H344" s="6" t="n">
        <v>0.06</v>
      </c>
      <c r="I344" s="8" t="n">
        <v>9</v>
      </c>
      <c r="J344" s="6"/>
      <c r="K344" s="6" t="s">
        <v>86</v>
      </c>
      <c r="L344" s="6" t="s">
        <v>87</v>
      </c>
      <c r="M344" s="6" t="s">
        <v>94</v>
      </c>
      <c r="N344" s="6" t="s">
        <v>89</v>
      </c>
    </row>
    <row r="345" customFormat="false" ht="15" hidden="false" customHeight="false" outlineLevel="0" collapsed="false">
      <c r="A345" s="6" t="s">
        <v>1146</v>
      </c>
      <c r="B345" s="6" t="s">
        <v>1143</v>
      </c>
      <c r="C345" s="6" t="s">
        <v>81</v>
      </c>
      <c r="D345" s="7" t="s">
        <v>272</v>
      </c>
      <c r="E345" s="7" t="s">
        <v>273</v>
      </c>
      <c r="F345" s="7" t="s">
        <v>274</v>
      </c>
      <c r="G345" s="7" t="s">
        <v>85</v>
      </c>
      <c r="H345" s="6" t="n">
        <v>0.05</v>
      </c>
      <c r="I345" s="8" t="n">
        <v>7</v>
      </c>
      <c r="J345" s="6"/>
      <c r="K345" s="6" t="s">
        <v>86</v>
      </c>
      <c r="L345" s="6" t="s">
        <v>87</v>
      </c>
      <c r="M345" s="6" t="s">
        <v>213</v>
      </c>
      <c r="N345" s="6" t="s">
        <v>89</v>
      </c>
    </row>
    <row r="346" customFormat="false" ht="15" hidden="false" customHeight="false" outlineLevel="0" collapsed="false">
      <c r="A346" s="6" t="s">
        <v>1147</v>
      </c>
      <c r="B346" s="6" t="s">
        <v>1143</v>
      </c>
      <c r="C346" s="6" t="s">
        <v>81</v>
      </c>
      <c r="D346" s="7" t="s">
        <v>1148</v>
      </c>
      <c r="E346" s="6" t="s">
        <v>1149</v>
      </c>
      <c r="F346" s="7" t="s">
        <v>278</v>
      </c>
      <c r="G346" s="7" t="s">
        <v>85</v>
      </c>
      <c r="H346" s="6" t="n">
        <v>0.065</v>
      </c>
      <c r="I346" s="8" t="n">
        <v>8</v>
      </c>
      <c r="J346" s="6"/>
      <c r="K346" s="6" t="s">
        <v>86</v>
      </c>
      <c r="L346" s="6" t="s">
        <v>87</v>
      </c>
      <c r="M346" s="6" t="s">
        <v>279</v>
      </c>
      <c r="N346" s="6" t="s">
        <v>89</v>
      </c>
    </row>
    <row r="347" customFormat="false" ht="15" hidden="false" customHeight="false" outlineLevel="0" collapsed="false">
      <c r="A347" s="6" t="s">
        <v>1150</v>
      </c>
      <c r="B347" s="6" t="s">
        <v>1143</v>
      </c>
      <c r="C347" s="6" t="s">
        <v>81</v>
      </c>
      <c r="D347" s="7" t="s">
        <v>281</v>
      </c>
      <c r="E347" s="6" t="s">
        <v>282</v>
      </c>
      <c r="F347" s="7" t="s">
        <v>283</v>
      </c>
      <c r="G347" s="6" t="s">
        <v>167</v>
      </c>
      <c r="H347" s="6" t="n">
        <v>0.06</v>
      </c>
      <c r="I347" s="8" t="n">
        <v>9</v>
      </c>
      <c r="J347" s="6"/>
      <c r="K347" s="6" t="s">
        <v>86</v>
      </c>
      <c r="L347" s="6" t="s">
        <v>87</v>
      </c>
      <c r="M347" s="6" t="s">
        <v>168</v>
      </c>
      <c r="N347" s="6" t="s">
        <v>89</v>
      </c>
    </row>
    <row r="348" customFormat="false" ht="15" hidden="false" customHeight="false" outlineLevel="0" collapsed="false">
      <c r="A348" s="6" t="s">
        <v>1151</v>
      </c>
      <c r="B348" s="6" t="s">
        <v>1143</v>
      </c>
      <c r="C348" s="6" t="s">
        <v>81</v>
      </c>
      <c r="D348" s="7" t="s">
        <v>1152</v>
      </c>
      <c r="E348" s="6" t="s">
        <v>1153</v>
      </c>
      <c r="F348" s="7" t="s">
        <v>308</v>
      </c>
      <c r="G348" s="7" t="s">
        <v>85</v>
      </c>
      <c r="H348" s="6" t="n">
        <v>0.065</v>
      </c>
      <c r="I348" s="8" t="n">
        <v>6</v>
      </c>
      <c r="J348" s="6"/>
      <c r="K348" s="6" t="s">
        <v>86</v>
      </c>
      <c r="L348" s="6" t="s">
        <v>87</v>
      </c>
      <c r="M348" s="6" t="s">
        <v>88</v>
      </c>
      <c r="N348" s="6" t="s">
        <v>89</v>
      </c>
    </row>
    <row r="349" customFormat="false" ht="15" hidden="false" customHeight="false" outlineLevel="0" collapsed="false">
      <c r="A349" s="6" t="s">
        <v>1154</v>
      </c>
      <c r="B349" s="6" t="s">
        <v>1143</v>
      </c>
      <c r="C349" s="6" t="s">
        <v>81</v>
      </c>
      <c r="D349" s="7" t="s">
        <v>1155</v>
      </c>
      <c r="E349" s="6" t="s">
        <v>1156</v>
      </c>
      <c r="F349" s="7" t="s">
        <v>872</v>
      </c>
      <c r="G349" s="7" t="s">
        <v>85</v>
      </c>
      <c r="H349" s="6" t="n">
        <v>0.06</v>
      </c>
      <c r="I349" s="8" t="n">
        <v>9</v>
      </c>
      <c r="J349" s="6"/>
      <c r="K349" s="6" t="s">
        <v>86</v>
      </c>
      <c r="L349" s="6" t="s">
        <v>87</v>
      </c>
      <c r="M349" s="6" t="s">
        <v>279</v>
      </c>
      <c r="N349" s="6" t="s">
        <v>89</v>
      </c>
    </row>
    <row r="350" customFormat="false" ht="15" hidden="false" customHeight="false" outlineLevel="0" collapsed="false">
      <c r="A350" s="6" t="s">
        <v>1157</v>
      </c>
      <c r="B350" s="6" t="s">
        <v>1143</v>
      </c>
      <c r="C350" s="6" t="s">
        <v>81</v>
      </c>
      <c r="D350" s="7" t="s">
        <v>1158</v>
      </c>
      <c r="E350" s="6" t="s">
        <v>1159</v>
      </c>
      <c r="F350" s="7" t="s">
        <v>354</v>
      </c>
      <c r="G350" s="7" t="s">
        <v>1160</v>
      </c>
      <c r="H350" s="6" t="n">
        <v>0.065</v>
      </c>
      <c r="I350" s="8" t="n">
        <v>8</v>
      </c>
      <c r="J350" s="6"/>
      <c r="K350" s="6" t="s">
        <v>86</v>
      </c>
      <c r="L350" s="6" t="s">
        <v>87</v>
      </c>
      <c r="M350" s="6" t="s">
        <v>88</v>
      </c>
      <c r="N350" s="6" t="s">
        <v>89</v>
      </c>
    </row>
    <row r="351" customFormat="false" ht="15" hidden="false" customHeight="false" outlineLevel="0" collapsed="false">
      <c r="A351" s="6" t="s">
        <v>1161</v>
      </c>
      <c r="B351" s="6" t="s">
        <v>1143</v>
      </c>
      <c r="C351" s="6" t="s">
        <v>108</v>
      </c>
      <c r="D351" s="7" t="s">
        <v>1162</v>
      </c>
      <c r="E351" s="6" t="s">
        <v>286</v>
      </c>
      <c r="F351" s="7" t="s">
        <v>287</v>
      </c>
      <c r="G351" s="7" t="s">
        <v>129</v>
      </c>
      <c r="H351" s="6" t="n">
        <v>0.1167</v>
      </c>
      <c r="I351" s="8" t="n">
        <v>8</v>
      </c>
      <c r="J351" s="6"/>
      <c r="K351" s="6" t="s">
        <v>86</v>
      </c>
      <c r="L351" s="6" t="s">
        <v>112</v>
      </c>
      <c r="M351" s="6" t="s">
        <v>131</v>
      </c>
      <c r="N351" s="6" t="s">
        <v>89</v>
      </c>
    </row>
    <row r="352" customFormat="false" ht="15" hidden="false" customHeight="false" outlineLevel="0" collapsed="false">
      <c r="A352" s="6" t="s">
        <v>1163</v>
      </c>
      <c r="B352" s="6" t="s">
        <v>1143</v>
      </c>
      <c r="C352" s="6" t="s">
        <v>108</v>
      </c>
      <c r="D352" s="7" t="s">
        <v>1164</v>
      </c>
      <c r="E352" s="7" t="s">
        <v>273</v>
      </c>
      <c r="F352" s="7" t="s">
        <v>624</v>
      </c>
      <c r="G352" s="7" t="s">
        <v>85</v>
      </c>
      <c r="H352" s="6" t="n">
        <v>0.0933</v>
      </c>
      <c r="I352" s="8" t="n">
        <v>8</v>
      </c>
      <c r="J352" s="6"/>
      <c r="K352" s="6" t="s">
        <v>86</v>
      </c>
      <c r="L352" s="6" t="s">
        <v>112</v>
      </c>
      <c r="M352" s="6" t="s">
        <v>213</v>
      </c>
      <c r="N352" s="6" t="s">
        <v>89</v>
      </c>
    </row>
    <row r="353" customFormat="false" ht="15" hidden="false" customHeight="false" outlineLevel="0" collapsed="false">
      <c r="A353" s="6" t="s">
        <v>1165</v>
      </c>
      <c r="B353" s="6" t="s">
        <v>1143</v>
      </c>
      <c r="C353" s="6" t="s">
        <v>108</v>
      </c>
      <c r="D353" s="7" t="s">
        <v>1166</v>
      </c>
      <c r="E353" s="6" t="s">
        <v>1167</v>
      </c>
      <c r="F353" s="7" t="s">
        <v>194</v>
      </c>
      <c r="G353" s="7" t="s">
        <v>129</v>
      </c>
      <c r="H353" s="6" t="n">
        <v>0.0778</v>
      </c>
      <c r="I353" s="8" t="n">
        <v>8</v>
      </c>
      <c r="J353" s="6"/>
      <c r="K353" s="6" t="s">
        <v>86</v>
      </c>
      <c r="L353" s="6" t="s">
        <v>112</v>
      </c>
      <c r="M353" s="6" t="s">
        <v>131</v>
      </c>
      <c r="N353" s="6" t="s">
        <v>89</v>
      </c>
    </row>
    <row r="354" customFormat="false" ht="15" hidden="false" customHeight="false" outlineLevel="0" collapsed="false">
      <c r="A354" s="6" t="s">
        <v>1168</v>
      </c>
      <c r="B354" s="6" t="s">
        <v>1143</v>
      </c>
      <c r="C354" s="6" t="s">
        <v>108</v>
      </c>
      <c r="D354" s="7" t="s">
        <v>1169</v>
      </c>
      <c r="E354" s="7" t="s">
        <v>273</v>
      </c>
      <c r="F354" s="7" t="s">
        <v>305</v>
      </c>
      <c r="G354" s="7" t="s">
        <v>85</v>
      </c>
      <c r="H354" s="6" t="n">
        <v>0.0622</v>
      </c>
      <c r="I354" s="8" t="n">
        <v>6</v>
      </c>
      <c r="J354" s="6"/>
      <c r="K354" s="6" t="s">
        <v>86</v>
      </c>
      <c r="L354" s="6" t="s">
        <v>112</v>
      </c>
      <c r="M354" s="6" t="s">
        <v>213</v>
      </c>
      <c r="N354" s="6" t="s">
        <v>89</v>
      </c>
    </row>
    <row r="355" customFormat="false" ht="26.85" hidden="false" customHeight="false" outlineLevel="0" collapsed="false">
      <c r="A355" s="6" t="s">
        <v>1170</v>
      </c>
      <c r="B355" s="6" t="s">
        <v>1143</v>
      </c>
      <c r="C355" s="6" t="s">
        <v>125</v>
      </c>
      <c r="D355" s="7" t="s">
        <v>1171</v>
      </c>
      <c r="E355" s="6" t="s">
        <v>127</v>
      </c>
      <c r="F355" s="7" t="s">
        <v>1141</v>
      </c>
      <c r="G355" s="7" t="s">
        <v>129</v>
      </c>
      <c r="H355" s="6" t="n">
        <v>0.06</v>
      </c>
      <c r="I355" s="8" t="n">
        <v>8</v>
      </c>
      <c r="J355" s="6"/>
      <c r="K355" s="6" t="s">
        <v>86</v>
      </c>
      <c r="L355" s="6" t="s">
        <v>130</v>
      </c>
      <c r="M355" s="6" t="s">
        <v>94</v>
      </c>
      <c r="N355" s="6" t="s">
        <v>89</v>
      </c>
    </row>
    <row r="356" customFormat="false" ht="15" hidden="false" customHeight="false" outlineLevel="0" collapsed="false">
      <c r="A356" s="6" t="s">
        <v>1172</v>
      </c>
      <c r="B356" s="6" t="s">
        <v>1143</v>
      </c>
      <c r="C356" s="6" t="s">
        <v>125</v>
      </c>
      <c r="D356" s="7" t="s">
        <v>1173</v>
      </c>
      <c r="E356" s="6" t="s">
        <v>127</v>
      </c>
      <c r="F356" s="7" t="s">
        <v>1174</v>
      </c>
      <c r="G356" s="7" t="s">
        <v>85</v>
      </c>
      <c r="H356" s="6" t="n">
        <v>0.048</v>
      </c>
      <c r="I356" s="8" t="n">
        <v>10</v>
      </c>
      <c r="J356" s="6"/>
      <c r="K356" s="6" t="s">
        <v>86</v>
      </c>
      <c r="L356" s="6" t="s">
        <v>130</v>
      </c>
      <c r="M356" s="6" t="s">
        <v>131</v>
      </c>
      <c r="N356" s="6" t="s">
        <v>89</v>
      </c>
    </row>
    <row r="357" customFormat="false" ht="15" hidden="false" customHeight="false" outlineLevel="0" collapsed="false">
      <c r="A357" s="6" t="s">
        <v>1175</v>
      </c>
      <c r="B357" s="6" t="s">
        <v>1143</v>
      </c>
      <c r="C357" s="6" t="s">
        <v>125</v>
      </c>
      <c r="D357" s="7" t="s">
        <v>1176</v>
      </c>
      <c r="E357" s="6" t="s">
        <v>127</v>
      </c>
      <c r="F357" s="7" t="s">
        <v>469</v>
      </c>
      <c r="G357" s="7" t="s">
        <v>129</v>
      </c>
      <c r="H357" s="6" t="n">
        <v>0.042</v>
      </c>
      <c r="I357" s="8" t="n">
        <v>8</v>
      </c>
      <c r="J357" s="6"/>
      <c r="K357" s="6" t="s">
        <v>86</v>
      </c>
      <c r="L357" s="6" t="s">
        <v>130</v>
      </c>
      <c r="M357" s="6" t="s">
        <v>131</v>
      </c>
      <c r="N357" s="6" t="s">
        <v>89</v>
      </c>
    </row>
    <row r="358" customFormat="false" ht="26.85" hidden="false" customHeight="false" outlineLevel="0" collapsed="false">
      <c r="A358" s="6" t="s">
        <v>1177</v>
      </c>
      <c r="B358" s="6" t="s">
        <v>1178</v>
      </c>
      <c r="C358" s="6" t="s">
        <v>81</v>
      </c>
      <c r="D358" s="7" t="s">
        <v>723</v>
      </c>
      <c r="E358" s="7" t="s">
        <v>724</v>
      </c>
      <c r="F358" s="7" t="s">
        <v>725</v>
      </c>
      <c r="G358" s="6" t="s">
        <v>726</v>
      </c>
      <c r="H358" s="6" t="n">
        <v>0.0723</v>
      </c>
      <c r="I358" s="8" t="n">
        <v>8</v>
      </c>
      <c r="J358" s="6"/>
      <c r="K358" s="6" t="s">
        <v>86</v>
      </c>
      <c r="L358" s="6" t="s">
        <v>87</v>
      </c>
      <c r="M358" s="6" t="s">
        <v>94</v>
      </c>
      <c r="N358" s="6" t="s">
        <v>89</v>
      </c>
    </row>
    <row r="359" customFormat="false" ht="26.85" hidden="false" customHeight="false" outlineLevel="0" collapsed="false">
      <c r="A359" s="6" t="s">
        <v>1179</v>
      </c>
      <c r="B359" s="6" t="s">
        <v>1178</v>
      </c>
      <c r="C359" s="6" t="s">
        <v>81</v>
      </c>
      <c r="D359" s="7" t="s">
        <v>728</v>
      </c>
      <c r="E359" s="6" t="s">
        <v>729</v>
      </c>
      <c r="F359" s="7" t="s">
        <v>338</v>
      </c>
      <c r="G359" s="6" t="s">
        <v>730</v>
      </c>
      <c r="H359" s="6" t="n">
        <v>0.0602</v>
      </c>
      <c r="I359" s="8" t="n">
        <v>8</v>
      </c>
      <c r="J359" s="6"/>
      <c r="K359" s="6" t="s">
        <v>86</v>
      </c>
      <c r="L359" s="6" t="s">
        <v>87</v>
      </c>
      <c r="M359" s="6" t="s">
        <v>94</v>
      </c>
      <c r="N359" s="6" t="s">
        <v>89</v>
      </c>
    </row>
    <row r="360" customFormat="false" ht="26.85" hidden="false" customHeight="false" outlineLevel="0" collapsed="false">
      <c r="A360" s="6" t="s">
        <v>1180</v>
      </c>
      <c r="B360" s="6" t="s">
        <v>1178</v>
      </c>
      <c r="C360" s="6" t="s">
        <v>81</v>
      </c>
      <c r="D360" s="7" t="s">
        <v>732</v>
      </c>
      <c r="E360" s="7" t="s">
        <v>231</v>
      </c>
      <c r="F360" s="7" t="s">
        <v>733</v>
      </c>
      <c r="G360" s="6" t="s">
        <v>734</v>
      </c>
      <c r="H360" s="6" t="n">
        <v>0.0723</v>
      </c>
      <c r="I360" s="8" t="n">
        <v>8</v>
      </c>
      <c r="J360" s="6"/>
      <c r="K360" s="6" t="s">
        <v>86</v>
      </c>
      <c r="L360" s="6" t="s">
        <v>87</v>
      </c>
      <c r="M360" s="6" t="s">
        <v>94</v>
      </c>
      <c r="N360" s="6" t="s">
        <v>89</v>
      </c>
    </row>
    <row r="361" customFormat="false" ht="15" hidden="false" customHeight="false" outlineLevel="0" collapsed="false">
      <c r="A361" s="6" t="s">
        <v>1181</v>
      </c>
      <c r="B361" s="6" t="s">
        <v>1178</v>
      </c>
      <c r="C361" s="6" t="s">
        <v>81</v>
      </c>
      <c r="D361" s="7" t="s">
        <v>736</v>
      </c>
      <c r="E361" s="6" t="s">
        <v>737</v>
      </c>
      <c r="F361" s="7" t="s">
        <v>538</v>
      </c>
      <c r="G361" s="7" t="s">
        <v>487</v>
      </c>
      <c r="H361" s="6" t="n">
        <v>0.0783</v>
      </c>
      <c r="I361" s="8" t="n">
        <v>10</v>
      </c>
      <c r="J361" s="6"/>
      <c r="K361" s="6" t="s">
        <v>86</v>
      </c>
      <c r="L361" s="6" t="s">
        <v>87</v>
      </c>
      <c r="M361" s="6" t="s">
        <v>279</v>
      </c>
      <c r="N361" s="6" t="s">
        <v>89</v>
      </c>
    </row>
    <row r="362" customFormat="false" ht="15" hidden="false" customHeight="false" outlineLevel="0" collapsed="false">
      <c r="A362" s="6" t="s">
        <v>1182</v>
      </c>
      <c r="B362" s="6" t="s">
        <v>1178</v>
      </c>
      <c r="C362" s="6" t="s">
        <v>81</v>
      </c>
      <c r="D362" s="7" t="s">
        <v>739</v>
      </c>
      <c r="E362" s="6" t="s">
        <v>740</v>
      </c>
      <c r="F362" s="7" t="s">
        <v>741</v>
      </c>
      <c r="G362" s="6" t="s">
        <v>217</v>
      </c>
      <c r="H362" s="6" t="n">
        <v>0.0602</v>
      </c>
      <c r="I362" s="8" t="n">
        <v>10</v>
      </c>
      <c r="J362" s="6"/>
      <c r="K362" s="6" t="s">
        <v>86</v>
      </c>
      <c r="L362" s="6" t="s">
        <v>87</v>
      </c>
      <c r="M362" s="6" t="s">
        <v>88</v>
      </c>
      <c r="N362" s="6" t="s">
        <v>89</v>
      </c>
    </row>
    <row r="363" customFormat="false" ht="15" hidden="false" customHeight="false" outlineLevel="0" collapsed="false">
      <c r="A363" s="6" t="s">
        <v>1183</v>
      </c>
      <c r="B363" s="6" t="s">
        <v>1178</v>
      </c>
      <c r="C363" s="6" t="s">
        <v>81</v>
      </c>
      <c r="D363" s="7" t="s">
        <v>1184</v>
      </c>
      <c r="E363" s="7" t="s">
        <v>750</v>
      </c>
      <c r="F363" s="7" t="s">
        <v>744</v>
      </c>
      <c r="G363" s="7" t="s">
        <v>1185</v>
      </c>
      <c r="H363" s="6" t="n">
        <v>0.0602</v>
      </c>
      <c r="I363" s="8" t="n">
        <v>8</v>
      </c>
      <c r="J363" s="6"/>
      <c r="K363" s="6" t="s">
        <v>86</v>
      </c>
      <c r="L363" s="6" t="s">
        <v>87</v>
      </c>
      <c r="M363" s="6" t="s">
        <v>279</v>
      </c>
      <c r="N363" s="6" t="s">
        <v>89</v>
      </c>
    </row>
    <row r="364" customFormat="false" ht="15" hidden="false" customHeight="false" outlineLevel="0" collapsed="false">
      <c r="A364" s="6" t="s">
        <v>1186</v>
      </c>
      <c r="B364" s="6" t="s">
        <v>1178</v>
      </c>
      <c r="C364" s="6" t="s">
        <v>81</v>
      </c>
      <c r="D364" s="7" t="s">
        <v>1187</v>
      </c>
      <c r="E364" s="6" t="s">
        <v>485</v>
      </c>
      <c r="F364" s="7" t="s">
        <v>469</v>
      </c>
      <c r="G364" s="7" t="s">
        <v>487</v>
      </c>
      <c r="H364" s="6" t="n">
        <v>0.0482</v>
      </c>
      <c r="I364" s="8" t="n">
        <v>8</v>
      </c>
      <c r="J364" s="6"/>
      <c r="K364" s="6" t="s">
        <v>86</v>
      </c>
      <c r="L364" s="6" t="s">
        <v>87</v>
      </c>
      <c r="M364" s="6" t="s">
        <v>279</v>
      </c>
      <c r="N364" s="6" t="s">
        <v>89</v>
      </c>
    </row>
    <row r="365" customFormat="false" ht="15" hidden="false" customHeight="false" outlineLevel="0" collapsed="false">
      <c r="A365" s="6" t="s">
        <v>1188</v>
      </c>
      <c r="B365" s="6" t="s">
        <v>1178</v>
      </c>
      <c r="C365" s="6" t="s">
        <v>81</v>
      </c>
      <c r="D365" s="7" t="s">
        <v>1189</v>
      </c>
      <c r="E365" s="6" t="s">
        <v>965</v>
      </c>
      <c r="F365" s="7" t="s">
        <v>966</v>
      </c>
      <c r="G365" s="7" t="s">
        <v>129</v>
      </c>
      <c r="H365" s="6" t="n">
        <v>0.0482</v>
      </c>
      <c r="I365" s="8" t="n">
        <v>8</v>
      </c>
      <c r="J365" s="6"/>
      <c r="K365" s="6" t="s">
        <v>86</v>
      </c>
      <c r="L365" s="6" t="s">
        <v>87</v>
      </c>
      <c r="M365" s="6" t="s">
        <v>88</v>
      </c>
      <c r="N365" s="6" t="s">
        <v>89</v>
      </c>
    </row>
    <row r="366" customFormat="false" ht="15" hidden="false" customHeight="false" outlineLevel="0" collapsed="false">
      <c r="A366" s="6" t="s">
        <v>1190</v>
      </c>
      <c r="B366" s="6" t="s">
        <v>1178</v>
      </c>
      <c r="C366" s="6" t="s">
        <v>108</v>
      </c>
      <c r="D366" s="7" t="s">
        <v>1191</v>
      </c>
      <c r="E366" s="6" t="s">
        <v>485</v>
      </c>
      <c r="F366" s="7" t="s">
        <v>744</v>
      </c>
      <c r="G366" s="7" t="s">
        <v>745</v>
      </c>
      <c r="H366" s="6" t="n">
        <v>0.1</v>
      </c>
      <c r="I366" s="8" t="n">
        <v>6</v>
      </c>
      <c r="J366" s="6"/>
      <c r="K366" s="6" t="s">
        <v>86</v>
      </c>
      <c r="L366" s="6" t="s">
        <v>112</v>
      </c>
      <c r="M366" s="6" t="s">
        <v>213</v>
      </c>
      <c r="N366" s="6" t="s">
        <v>89</v>
      </c>
    </row>
    <row r="367" customFormat="false" ht="15" hidden="false" customHeight="false" outlineLevel="0" collapsed="false">
      <c r="A367" s="6" t="s">
        <v>1192</v>
      </c>
      <c r="B367" s="6" t="s">
        <v>1178</v>
      </c>
      <c r="C367" s="6" t="s">
        <v>108</v>
      </c>
      <c r="D367" s="7" t="s">
        <v>1193</v>
      </c>
      <c r="E367" s="6" t="s">
        <v>485</v>
      </c>
      <c r="F367" s="7" t="s">
        <v>302</v>
      </c>
      <c r="G367" s="7" t="s">
        <v>745</v>
      </c>
      <c r="H367" s="6" t="n">
        <v>0.0833</v>
      </c>
      <c r="I367" s="8" t="n">
        <v>6</v>
      </c>
      <c r="J367" s="6"/>
      <c r="K367" s="6" t="s">
        <v>86</v>
      </c>
      <c r="L367" s="6" t="s">
        <v>112</v>
      </c>
      <c r="M367" s="6" t="s">
        <v>213</v>
      </c>
      <c r="N367" s="6" t="s">
        <v>89</v>
      </c>
    </row>
    <row r="368" customFormat="false" ht="15" hidden="false" customHeight="false" outlineLevel="0" collapsed="false">
      <c r="A368" s="6" t="s">
        <v>1194</v>
      </c>
      <c r="B368" s="6" t="s">
        <v>1178</v>
      </c>
      <c r="C368" s="6" t="s">
        <v>108</v>
      </c>
      <c r="D368" s="7" t="s">
        <v>1195</v>
      </c>
      <c r="E368" s="7" t="s">
        <v>750</v>
      </c>
      <c r="F368" s="7" t="s">
        <v>166</v>
      </c>
      <c r="G368" s="7" t="s">
        <v>751</v>
      </c>
      <c r="H368" s="6" t="n">
        <v>0.0833</v>
      </c>
      <c r="I368" s="8" t="n">
        <v>6</v>
      </c>
      <c r="J368" s="6"/>
      <c r="K368" s="6" t="s">
        <v>86</v>
      </c>
      <c r="L368" s="6" t="s">
        <v>112</v>
      </c>
      <c r="M368" s="6" t="s">
        <v>213</v>
      </c>
      <c r="N368" s="6" t="s">
        <v>89</v>
      </c>
    </row>
    <row r="369" customFormat="false" ht="15" hidden="false" customHeight="false" outlineLevel="0" collapsed="false">
      <c r="A369" s="6" t="s">
        <v>1196</v>
      </c>
      <c r="B369" s="6" t="s">
        <v>1178</v>
      </c>
      <c r="C369" s="6" t="s">
        <v>108</v>
      </c>
      <c r="D369" s="7" t="s">
        <v>1197</v>
      </c>
      <c r="E369" s="6" t="s">
        <v>965</v>
      </c>
      <c r="F369" s="7" t="s">
        <v>287</v>
      </c>
      <c r="G369" s="6" t="s">
        <v>978</v>
      </c>
      <c r="H369" s="6" t="n">
        <v>0.0833</v>
      </c>
      <c r="I369" s="8" t="n">
        <v>8</v>
      </c>
      <c r="J369" s="6"/>
      <c r="K369" s="6" t="s">
        <v>86</v>
      </c>
      <c r="L369" s="6" t="s">
        <v>112</v>
      </c>
      <c r="M369" s="6" t="s">
        <v>213</v>
      </c>
      <c r="N369" s="6" t="s">
        <v>89</v>
      </c>
    </row>
    <row r="370" customFormat="false" ht="15" hidden="false" customHeight="false" outlineLevel="0" collapsed="false">
      <c r="A370" s="6" t="s">
        <v>1198</v>
      </c>
      <c r="B370" s="6" t="s">
        <v>1178</v>
      </c>
      <c r="C370" s="6" t="s">
        <v>125</v>
      </c>
      <c r="D370" s="7" t="s">
        <v>1199</v>
      </c>
      <c r="E370" s="6" t="s">
        <v>127</v>
      </c>
      <c r="F370" s="7" t="s">
        <v>1200</v>
      </c>
      <c r="G370" s="6" t="s">
        <v>217</v>
      </c>
      <c r="H370" s="6" t="n">
        <v>0.06</v>
      </c>
      <c r="I370" s="8" t="n">
        <v>6</v>
      </c>
      <c r="J370" s="6"/>
      <c r="K370" s="6" t="s">
        <v>86</v>
      </c>
      <c r="L370" s="6" t="s">
        <v>130</v>
      </c>
      <c r="M370" s="6" t="s">
        <v>131</v>
      </c>
      <c r="N370" s="6" t="s">
        <v>89</v>
      </c>
    </row>
    <row r="371" customFormat="false" ht="26.85" hidden="false" customHeight="false" outlineLevel="0" collapsed="false">
      <c r="A371" s="6" t="s">
        <v>1201</v>
      </c>
      <c r="B371" s="6" t="s">
        <v>1178</v>
      </c>
      <c r="C371" s="6" t="s">
        <v>125</v>
      </c>
      <c r="D371" s="7" t="s">
        <v>1202</v>
      </c>
      <c r="E371" s="6" t="s">
        <v>127</v>
      </c>
      <c r="F371" s="7" t="s">
        <v>166</v>
      </c>
      <c r="G371" s="7" t="s">
        <v>129</v>
      </c>
      <c r="H371" s="6" t="n">
        <v>0.048</v>
      </c>
      <c r="I371" s="8" t="n">
        <v>4</v>
      </c>
      <c r="J371" s="6"/>
      <c r="K371" s="6" t="s">
        <v>86</v>
      </c>
      <c r="L371" s="6" t="s">
        <v>130</v>
      </c>
      <c r="M371" s="6" t="s">
        <v>94</v>
      </c>
      <c r="N371" s="6" t="s">
        <v>89</v>
      </c>
    </row>
    <row r="372" customFormat="false" ht="15" hidden="false" customHeight="false" outlineLevel="0" collapsed="false">
      <c r="A372" s="6" t="s">
        <v>1203</v>
      </c>
      <c r="B372" s="6" t="s">
        <v>1178</v>
      </c>
      <c r="C372" s="6" t="s">
        <v>125</v>
      </c>
      <c r="D372" s="7" t="s">
        <v>1204</v>
      </c>
      <c r="E372" s="6" t="s">
        <v>788</v>
      </c>
      <c r="F372" s="7" t="s">
        <v>141</v>
      </c>
      <c r="G372" s="7" t="s">
        <v>129</v>
      </c>
      <c r="H372" s="6" t="n">
        <v>0.042</v>
      </c>
      <c r="I372" s="8" t="n">
        <v>6</v>
      </c>
      <c r="J372" s="6"/>
      <c r="K372" s="6" t="s">
        <v>86</v>
      </c>
      <c r="L372" s="6" t="s">
        <v>130</v>
      </c>
      <c r="M372" s="6" t="s">
        <v>131</v>
      </c>
      <c r="N372" s="6" t="s">
        <v>89</v>
      </c>
    </row>
    <row r="373" customFormat="false" ht="15" hidden="false" customHeight="false" outlineLevel="0" collapsed="false">
      <c r="A373" s="6" t="s">
        <v>1205</v>
      </c>
      <c r="B373" s="6" t="s">
        <v>1206</v>
      </c>
      <c r="C373" s="6" t="s">
        <v>81</v>
      </c>
      <c r="D373" s="7" t="s">
        <v>442</v>
      </c>
      <c r="E373" s="7" t="s">
        <v>443</v>
      </c>
      <c r="F373" s="7" t="s">
        <v>444</v>
      </c>
      <c r="G373" s="6" t="s">
        <v>445</v>
      </c>
      <c r="H373" s="6" t="n">
        <v>0.0937</v>
      </c>
      <c r="I373" s="8" t="n">
        <v>8</v>
      </c>
      <c r="J373" s="6"/>
      <c r="K373" s="6" t="s">
        <v>86</v>
      </c>
      <c r="L373" s="6" t="s">
        <v>87</v>
      </c>
      <c r="M373" s="6" t="s">
        <v>88</v>
      </c>
      <c r="N373" s="6" t="s">
        <v>89</v>
      </c>
    </row>
    <row r="374" customFormat="false" ht="15" hidden="false" customHeight="false" outlineLevel="0" collapsed="false">
      <c r="A374" s="6" t="s">
        <v>1207</v>
      </c>
      <c r="B374" s="6" t="s">
        <v>1206</v>
      </c>
      <c r="C374" s="6" t="s">
        <v>81</v>
      </c>
      <c r="D374" s="7" t="s">
        <v>447</v>
      </c>
      <c r="E374" s="6" t="s">
        <v>448</v>
      </c>
      <c r="F374" s="7" t="s">
        <v>449</v>
      </c>
      <c r="G374" s="7" t="s">
        <v>129</v>
      </c>
      <c r="H374" s="6" t="n">
        <v>0.0625</v>
      </c>
      <c r="I374" s="8" t="n">
        <v>8</v>
      </c>
      <c r="J374" s="6"/>
      <c r="K374" s="6" t="s">
        <v>86</v>
      </c>
      <c r="L374" s="6" t="s">
        <v>87</v>
      </c>
      <c r="M374" s="6" t="s">
        <v>88</v>
      </c>
      <c r="N374" s="6" t="s">
        <v>89</v>
      </c>
    </row>
    <row r="375" customFormat="false" ht="26.85" hidden="false" customHeight="false" outlineLevel="0" collapsed="false">
      <c r="A375" s="6" t="s">
        <v>1208</v>
      </c>
      <c r="B375" s="6" t="s">
        <v>1206</v>
      </c>
      <c r="C375" s="6" t="s">
        <v>81</v>
      </c>
      <c r="D375" s="7" t="s">
        <v>451</v>
      </c>
      <c r="E375" s="6" t="s">
        <v>452</v>
      </c>
      <c r="F375" s="7" t="s">
        <v>319</v>
      </c>
      <c r="G375" s="7" t="s">
        <v>85</v>
      </c>
      <c r="H375" s="6" t="n">
        <v>0.0625</v>
      </c>
      <c r="I375" s="8" t="n">
        <v>8</v>
      </c>
      <c r="J375" s="6"/>
      <c r="K375" s="6" t="s">
        <v>86</v>
      </c>
      <c r="L375" s="6" t="s">
        <v>87</v>
      </c>
      <c r="M375" s="6" t="s">
        <v>94</v>
      </c>
      <c r="N375" s="6" t="s">
        <v>89</v>
      </c>
    </row>
    <row r="376" customFormat="false" ht="15" hidden="false" customHeight="false" outlineLevel="0" collapsed="false">
      <c r="A376" s="6" t="s">
        <v>1209</v>
      </c>
      <c r="B376" s="6" t="s">
        <v>1206</v>
      </c>
      <c r="C376" s="6" t="s">
        <v>81</v>
      </c>
      <c r="D376" s="7" t="s">
        <v>454</v>
      </c>
      <c r="E376" s="7" t="s">
        <v>455</v>
      </c>
      <c r="F376" s="7" t="s">
        <v>308</v>
      </c>
      <c r="G376" s="7" t="s">
        <v>85</v>
      </c>
      <c r="H376" s="6" t="n">
        <v>0.0625</v>
      </c>
      <c r="I376" s="8" t="n">
        <v>8</v>
      </c>
      <c r="J376" s="6"/>
      <c r="K376" s="6" t="s">
        <v>86</v>
      </c>
      <c r="L376" s="6" t="s">
        <v>87</v>
      </c>
      <c r="M376" s="6" t="s">
        <v>279</v>
      </c>
      <c r="N376" s="6" t="s">
        <v>89</v>
      </c>
    </row>
    <row r="377" customFormat="false" ht="15" hidden="false" customHeight="false" outlineLevel="0" collapsed="false">
      <c r="A377" s="6" t="s">
        <v>1210</v>
      </c>
      <c r="B377" s="6" t="s">
        <v>1206</v>
      </c>
      <c r="C377" s="6" t="s">
        <v>81</v>
      </c>
      <c r="D377" s="7" t="s">
        <v>1211</v>
      </c>
      <c r="E377" s="7" t="s">
        <v>1212</v>
      </c>
      <c r="F377" s="7" t="s">
        <v>769</v>
      </c>
      <c r="G377" s="6" t="s">
        <v>445</v>
      </c>
      <c r="H377" s="6" t="n">
        <v>0.05</v>
      </c>
      <c r="I377" s="8" t="n">
        <v>8</v>
      </c>
      <c r="J377" s="6"/>
      <c r="K377" s="6" t="s">
        <v>86</v>
      </c>
      <c r="L377" s="6" t="s">
        <v>87</v>
      </c>
      <c r="M377" s="6" t="s">
        <v>279</v>
      </c>
      <c r="N377" s="6" t="s">
        <v>89</v>
      </c>
    </row>
    <row r="378" customFormat="false" ht="15" hidden="false" customHeight="false" outlineLevel="0" collapsed="false">
      <c r="A378" s="6" t="s">
        <v>1213</v>
      </c>
      <c r="B378" s="6" t="s">
        <v>1206</v>
      </c>
      <c r="C378" s="6" t="s">
        <v>81</v>
      </c>
      <c r="D378" s="7" t="s">
        <v>1214</v>
      </c>
      <c r="E378" s="6" t="s">
        <v>1215</v>
      </c>
      <c r="F378" s="7" t="s">
        <v>240</v>
      </c>
      <c r="G378" s="7" t="s">
        <v>85</v>
      </c>
      <c r="H378" s="6" t="n">
        <v>0.075</v>
      </c>
      <c r="I378" s="8" t="n">
        <v>8</v>
      </c>
      <c r="J378" s="6"/>
      <c r="K378" s="6" t="s">
        <v>86</v>
      </c>
      <c r="L378" s="6" t="s">
        <v>87</v>
      </c>
      <c r="M378" s="6" t="s">
        <v>279</v>
      </c>
      <c r="N378" s="6" t="s">
        <v>89</v>
      </c>
    </row>
    <row r="379" customFormat="false" ht="15" hidden="false" customHeight="false" outlineLevel="0" collapsed="false">
      <c r="A379" s="6" t="s">
        <v>1216</v>
      </c>
      <c r="B379" s="6" t="s">
        <v>1206</v>
      </c>
      <c r="C379" s="6" t="s">
        <v>81</v>
      </c>
      <c r="D379" s="7" t="s">
        <v>1217</v>
      </c>
      <c r="E379" s="7" t="s">
        <v>1212</v>
      </c>
      <c r="F379" s="7" t="s">
        <v>1200</v>
      </c>
      <c r="G379" s="6" t="s">
        <v>445</v>
      </c>
      <c r="H379" s="6" t="n">
        <v>0.05</v>
      </c>
      <c r="I379" s="8" t="n">
        <v>8</v>
      </c>
      <c r="J379" s="6"/>
      <c r="K379" s="6" t="s">
        <v>86</v>
      </c>
      <c r="L379" s="6" t="s">
        <v>87</v>
      </c>
      <c r="M379" s="6" t="s">
        <v>88</v>
      </c>
      <c r="N379" s="6" t="s">
        <v>89</v>
      </c>
    </row>
    <row r="380" customFormat="false" ht="15" hidden="false" customHeight="false" outlineLevel="0" collapsed="false">
      <c r="A380" s="6" t="s">
        <v>1218</v>
      </c>
      <c r="B380" s="6" t="s">
        <v>1206</v>
      </c>
      <c r="C380" s="6" t="s">
        <v>81</v>
      </c>
      <c r="D380" s="7" t="s">
        <v>1219</v>
      </c>
      <c r="E380" s="7" t="s">
        <v>1212</v>
      </c>
      <c r="F380" s="7" t="s">
        <v>338</v>
      </c>
      <c r="G380" s="6" t="s">
        <v>1220</v>
      </c>
      <c r="H380" s="6" t="n">
        <v>0.0438</v>
      </c>
      <c r="I380" s="8" t="n">
        <v>8</v>
      </c>
      <c r="J380" s="6"/>
      <c r="K380" s="6" t="s">
        <v>86</v>
      </c>
      <c r="L380" s="6" t="s">
        <v>87</v>
      </c>
      <c r="M380" s="6" t="s">
        <v>88</v>
      </c>
      <c r="N380" s="6" t="s">
        <v>89</v>
      </c>
    </row>
    <row r="381" customFormat="false" ht="15" hidden="false" customHeight="false" outlineLevel="0" collapsed="false">
      <c r="A381" s="6" t="s">
        <v>1221</v>
      </c>
      <c r="B381" s="6" t="s">
        <v>1206</v>
      </c>
      <c r="C381" s="6" t="s">
        <v>108</v>
      </c>
      <c r="D381" s="7" t="s">
        <v>1222</v>
      </c>
      <c r="E381" s="6" t="s">
        <v>105</v>
      </c>
      <c r="F381" s="7" t="s">
        <v>177</v>
      </c>
      <c r="G381" s="7" t="s">
        <v>85</v>
      </c>
      <c r="H381" s="6" t="n">
        <v>0.1105</v>
      </c>
      <c r="I381" s="8" t="n">
        <v>8</v>
      </c>
      <c r="J381" s="6"/>
      <c r="K381" s="6" t="s">
        <v>86</v>
      </c>
      <c r="L381" s="6" t="s">
        <v>112</v>
      </c>
      <c r="M381" s="6" t="s">
        <v>213</v>
      </c>
      <c r="N381" s="6" t="s">
        <v>89</v>
      </c>
    </row>
    <row r="382" customFormat="false" ht="15" hidden="false" customHeight="false" outlineLevel="0" collapsed="false">
      <c r="A382" s="6" t="s">
        <v>1223</v>
      </c>
      <c r="B382" s="6" t="s">
        <v>1206</v>
      </c>
      <c r="C382" s="6" t="s">
        <v>108</v>
      </c>
      <c r="D382" s="7" t="s">
        <v>1224</v>
      </c>
      <c r="E382" s="6" t="s">
        <v>105</v>
      </c>
      <c r="F382" s="7" t="s">
        <v>330</v>
      </c>
      <c r="G382" s="7" t="s">
        <v>85</v>
      </c>
      <c r="H382" s="6" t="n">
        <v>0.0737</v>
      </c>
      <c r="I382" s="8" t="n">
        <v>6</v>
      </c>
      <c r="J382" s="6"/>
      <c r="K382" s="6" t="s">
        <v>86</v>
      </c>
      <c r="L382" s="6" t="s">
        <v>112</v>
      </c>
      <c r="M382" s="6" t="s">
        <v>213</v>
      </c>
      <c r="N382" s="6" t="s">
        <v>89</v>
      </c>
    </row>
    <row r="383" customFormat="false" ht="15" hidden="false" customHeight="false" outlineLevel="0" collapsed="false">
      <c r="A383" s="6" t="s">
        <v>1225</v>
      </c>
      <c r="B383" s="6" t="s">
        <v>1206</v>
      </c>
      <c r="C383" s="6" t="s">
        <v>108</v>
      </c>
      <c r="D383" s="7" t="s">
        <v>1226</v>
      </c>
      <c r="E383" s="6" t="s">
        <v>101</v>
      </c>
      <c r="F383" s="7" t="s">
        <v>266</v>
      </c>
      <c r="G383" s="7" t="s">
        <v>85</v>
      </c>
      <c r="H383" s="6" t="n">
        <v>0.0921</v>
      </c>
      <c r="I383" s="8" t="n">
        <v>8</v>
      </c>
      <c r="J383" s="6"/>
      <c r="K383" s="6" t="s">
        <v>86</v>
      </c>
      <c r="L383" s="6" t="s">
        <v>112</v>
      </c>
      <c r="M383" s="6" t="s">
        <v>88</v>
      </c>
      <c r="N383" s="6" t="s">
        <v>89</v>
      </c>
    </row>
    <row r="384" customFormat="false" ht="15" hidden="false" customHeight="false" outlineLevel="0" collapsed="false">
      <c r="A384" s="6" t="s">
        <v>1227</v>
      </c>
      <c r="B384" s="6" t="s">
        <v>1206</v>
      </c>
      <c r="C384" s="6" t="s">
        <v>108</v>
      </c>
      <c r="D384" s="7" t="s">
        <v>1228</v>
      </c>
      <c r="E384" s="6" t="s">
        <v>464</v>
      </c>
      <c r="F384" s="7" t="s">
        <v>327</v>
      </c>
      <c r="G384" s="7" t="s">
        <v>85</v>
      </c>
      <c r="H384" s="6" t="n">
        <v>0.0737</v>
      </c>
      <c r="I384" s="8" t="n">
        <v>6</v>
      </c>
      <c r="J384" s="6"/>
      <c r="K384" s="6" t="s">
        <v>86</v>
      </c>
      <c r="L384" s="6" t="s">
        <v>112</v>
      </c>
      <c r="M384" s="6" t="s">
        <v>88</v>
      </c>
      <c r="N384" s="6" t="s">
        <v>89</v>
      </c>
    </row>
    <row r="385" customFormat="false" ht="26.85" hidden="false" customHeight="false" outlineLevel="0" collapsed="false">
      <c r="A385" s="6" t="s">
        <v>1229</v>
      </c>
      <c r="B385" s="6" t="s">
        <v>1206</v>
      </c>
      <c r="C385" s="6" t="s">
        <v>125</v>
      </c>
      <c r="D385" s="7" t="s">
        <v>1230</v>
      </c>
      <c r="E385" s="6" t="s">
        <v>127</v>
      </c>
      <c r="F385" s="7" t="s">
        <v>283</v>
      </c>
      <c r="G385" s="7" t="s">
        <v>129</v>
      </c>
      <c r="H385" s="6" t="n">
        <v>0.06</v>
      </c>
      <c r="I385" s="8" t="n">
        <v>8</v>
      </c>
      <c r="J385" s="6"/>
      <c r="K385" s="6" t="s">
        <v>86</v>
      </c>
      <c r="L385" s="6" t="s">
        <v>130</v>
      </c>
      <c r="M385" s="6" t="s">
        <v>94</v>
      </c>
      <c r="N385" s="6" t="s">
        <v>89</v>
      </c>
    </row>
    <row r="386" customFormat="false" ht="15" hidden="false" customHeight="false" outlineLevel="0" collapsed="false">
      <c r="A386" s="6" t="s">
        <v>1231</v>
      </c>
      <c r="B386" s="6" t="s">
        <v>1206</v>
      </c>
      <c r="C386" s="6" t="s">
        <v>125</v>
      </c>
      <c r="D386" s="7" t="s">
        <v>1232</v>
      </c>
      <c r="E386" s="6" t="s">
        <v>127</v>
      </c>
      <c r="F386" s="7" t="s">
        <v>1233</v>
      </c>
      <c r="G386" s="7" t="s">
        <v>129</v>
      </c>
      <c r="H386" s="6" t="n">
        <v>0.048</v>
      </c>
      <c r="I386" s="8" t="n">
        <v>8</v>
      </c>
      <c r="J386" s="6"/>
      <c r="K386" s="6" t="s">
        <v>86</v>
      </c>
      <c r="L386" s="6" t="s">
        <v>130</v>
      </c>
      <c r="M386" s="6" t="s">
        <v>88</v>
      </c>
      <c r="N386" s="6" t="s">
        <v>89</v>
      </c>
    </row>
    <row r="387" customFormat="false" ht="15" hidden="false" customHeight="false" outlineLevel="0" collapsed="false">
      <c r="A387" s="6" t="s">
        <v>1234</v>
      </c>
      <c r="B387" s="6" t="s">
        <v>1206</v>
      </c>
      <c r="C387" s="6" t="s">
        <v>125</v>
      </c>
      <c r="D387" s="7" t="s">
        <v>1235</v>
      </c>
      <c r="E387" s="6" t="s">
        <v>105</v>
      </c>
      <c r="F387" s="7" t="s">
        <v>305</v>
      </c>
      <c r="G387" s="7" t="s">
        <v>85</v>
      </c>
      <c r="H387" s="6" t="n">
        <v>0.042</v>
      </c>
      <c r="I387" s="8" t="n">
        <v>8</v>
      </c>
      <c r="J387" s="6"/>
      <c r="K387" s="6" t="s">
        <v>86</v>
      </c>
      <c r="L387" s="6" t="s">
        <v>130</v>
      </c>
      <c r="M387" s="6" t="s">
        <v>131</v>
      </c>
      <c r="N387" s="6" t="s">
        <v>89</v>
      </c>
    </row>
    <row r="388" customFormat="false" ht="15" hidden="false" customHeight="false" outlineLevel="0" collapsed="false">
      <c r="A388" s="6" t="s">
        <v>1236</v>
      </c>
      <c r="B388" s="6" t="s">
        <v>1237</v>
      </c>
      <c r="C388" s="6" t="s">
        <v>81</v>
      </c>
      <c r="D388" s="7" t="s">
        <v>994</v>
      </c>
      <c r="E388" s="6" t="s">
        <v>105</v>
      </c>
      <c r="F388" s="7" t="s">
        <v>975</v>
      </c>
      <c r="G388" s="7" t="s">
        <v>85</v>
      </c>
      <c r="H388" s="6" t="n">
        <v>0.1364</v>
      </c>
      <c r="I388" s="8" t="n">
        <v>8</v>
      </c>
      <c r="J388" s="6"/>
      <c r="K388" s="6" t="s">
        <v>86</v>
      </c>
      <c r="L388" s="6" t="s">
        <v>87</v>
      </c>
      <c r="M388" s="6" t="s">
        <v>88</v>
      </c>
      <c r="N388" s="6" t="s">
        <v>89</v>
      </c>
    </row>
    <row r="389" customFormat="false" ht="15" hidden="false" customHeight="false" outlineLevel="0" collapsed="false">
      <c r="A389" s="6" t="s">
        <v>1238</v>
      </c>
      <c r="B389" s="6" t="s">
        <v>1237</v>
      </c>
      <c r="C389" s="6" t="s">
        <v>81</v>
      </c>
      <c r="D389" s="7" t="s">
        <v>1239</v>
      </c>
      <c r="E389" s="6" t="s">
        <v>105</v>
      </c>
      <c r="F389" s="7" t="s">
        <v>266</v>
      </c>
      <c r="G389" s="7" t="s">
        <v>85</v>
      </c>
      <c r="H389" s="6" t="n">
        <v>0.1091</v>
      </c>
      <c r="I389" s="8" t="n">
        <v>8</v>
      </c>
      <c r="J389" s="6"/>
      <c r="K389" s="6" t="s">
        <v>86</v>
      </c>
      <c r="L389" s="6" t="s">
        <v>87</v>
      </c>
      <c r="M389" s="6" t="s">
        <v>213</v>
      </c>
      <c r="N389" s="6" t="s">
        <v>89</v>
      </c>
    </row>
    <row r="390" customFormat="false" ht="15" hidden="false" customHeight="false" outlineLevel="0" collapsed="false">
      <c r="A390" s="6" t="s">
        <v>1240</v>
      </c>
      <c r="B390" s="6" t="s">
        <v>1237</v>
      </c>
      <c r="C390" s="6" t="s">
        <v>81</v>
      </c>
      <c r="D390" s="7" t="s">
        <v>1241</v>
      </c>
      <c r="E390" s="6" t="s">
        <v>101</v>
      </c>
      <c r="F390" s="7" t="s">
        <v>177</v>
      </c>
      <c r="G390" s="7" t="s">
        <v>85</v>
      </c>
      <c r="H390" s="6" t="n">
        <v>0.0909</v>
      </c>
      <c r="I390" s="8" t="n">
        <v>6</v>
      </c>
      <c r="J390" s="6"/>
      <c r="K390" s="6" t="s">
        <v>86</v>
      </c>
      <c r="L390" s="6" t="s">
        <v>87</v>
      </c>
      <c r="M390" s="6" t="s">
        <v>88</v>
      </c>
      <c r="N390" s="6" t="s">
        <v>89</v>
      </c>
    </row>
    <row r="391" customFormat="false" ht="15" hidden="false" customHeight="false" outlineLevel="0" collapsed="false">
      <c r="A391" s="6" t="s">
        <v>1242</v>
      </c>
      <c r="B391" s="6" t="s">
        <v>1237</v>
      </c>
      <c r="C391" s="6" t="s">
        <v>81</v>
      </c>
      <c r="D391" s="7" t="s">
        <v>1243</v>
      </c>
      <c r="E391" s="6" t="s">
        <v>127</v>
      </c>
      <c r="F391" s="7" t="s">
        <v>270</v>
      </c>
      <c r="G391" s="7" t="s">
        <v>85</v>
      </c>
      <c r="H391" s="6" t="n">
        <v>0.0909</v>
      </c>
      <c r="I391" s="8" t="n">
        <v>8</v>
      </c>
      <c r="J391" s="6"/>
      <c r="K391" s="6" t="s">
        <v>86</v>
      </c>
      <c r="L391" s="6" t="s">
        <v>87</v>
      </c>
      <c r="M391" s="6" t="s">
        <v>88</v>
      </c>
      <c r="N391" s="6" t="s">
        <v>89</v>
      </c>
    </row>
    <row r="392" customFormat="false" ht="15" hidden="false" customHeight="false" outlineLevel="0" collapsed="false">
      <c r="A392" s="6" t="s">
        <v>1244</v>
      </c>
      <c r="B392" s="6" t="s">
        <v>1237</v>
      </c>
      <c r="C392" s="6" t="s">
        <v>81</v>
      </c>
      <c r="D392" s="7" t="s">
        <v>1245</v>
      </c>
      <c r="E392" s="6" t="s">
        <v>1246</v>
      </c>
      <c r="F392" s="7" t="s">
        <v>302</v>
      </c>
      <c r="G392" s="6" t="s">
        <v>1096</v>
      </c>
      <c r="H392" s="6" t="n">
        <v>0.0727</v>
      </c>
      <c r="I392" s="8" t="n">
        <v>8</v>
      </c>
      <c r="J392" s="6"/>
      <c r="K392" s="6" t="s">
        <v>86</v>
      </c>
      <c r="L392" s="6" t="s">
        <v>87</v>
      </c>
      <c r="M392" s="6" t="s">
        <v>279</v>
      </c>
      <c r="N392" s="6" t="s">
        <v>89</v>
      </c>
    </row>
    <row r="393" customFormat="false" ht="15" hidden="false" customHeight="false" outlineLevel="0" collapsed="false">
      <c r="A393" s="6" t="s">
        <v>1247</v>
      </c>
      <c r="B393" s="6" t="s">
        <v>1237</v>
      </c>
      <c r="C393" s="6" t="s">
        <v>108</v>
      </c>
      <c r="D393" s="7" t="s">
        <v>1009</v>
      </c>
      <c r="E393" s="6" t="s">
        <v>105</v>
      </c>
      <c r="F393" s="7" t="s">
        <v>177</v>
      </c>
      <c r="G393" s="7" t="s">
        <v>85</v>
      </c>
      <c r="H393" s="6" t="n">
        <v>0.105</v>
      </c>
      <c r="I393" s="8" t="n">
        <v>6</v>
      </c>
      <c r="J393" s="6"/>
      <c r="K393" s="6" t="s">
        <v>86</v>
      </c>
      <c r="L393" s="6" t="s">
        <v>112</v>
      </c>
      <c r="M393" s="6" t="s">
        <v>213</v>
      </c>
      <c r="N393" s="6" t="s">
        <v>89</v>
      </c>
    </row>
    <row r="394" customFormat="false" ht="15" hidden="false" customHeight="false" outlineLevel="0" collapsed="false">
      <c r="A394" s="6" t="s">
        <v>1248</v>
      </c>
      <c r="B394" s="6" t="s">
        <v>1237</v>
      </c>
      <c r="C394" s="6" t="s">
        <v>108</v>
      </c>
      <c r="D394" s="7" t="s">
        <v>1249</v>
      </c>
      <c r="E394" s="6" t="s">
        <v>1250</v>
      </c>
      <c r="F394" s="7" t="s">
        <v>1251</v>
      </c>
      <c r="G394" s="7" t="s">
        <v>85</v>
      </c>
      <c r="H394" s="6" t="n">
        <v>0.0875</v>
      </c>
      <c r="I394" s="8" t="n">
        <v>8</v>
      </c>
      <c r="J394" s="6"/>
      <c r="K394" s="6" t="s">
        <v>86</v>
      </c>
      <c r="L394" s="6" t="s">
        <v>112</v>
      </c>
      <c r="M394" s="6" t="s">
        <v>213</v>
      </c>
      <c r="N394" s="6" t="s">
        <v>89</v>
      </c>
    </row>
    <row r="395" customFormat="false" ht="15" hidden="false" customHeight="false" outlineLevel="0" collapsed="false">
      <c r="A395" s="6" t="s">
        <v>1252</v>
      </c>
      <c r="B395" s="6" t="s">
        <v>1237</v>
      </c>
      <c r="C395" s="6" t="s">
        <v>108</v>
      </c>
      <c r="D395" s="7" t="s">
        <v>1253</v>
      </c>
      <c r="E395" s="6" t="s">
        <v>101</v>
      </c>
      <c r="F395" s="7" t="s">
        <v>266</v>
      </c>
      <c r="G395" s="7" t="s">
        <v>85</v>
      </c>
      <c r="H395" s="6" t="n">
        <v>0.0875</v>
      </c>
      <c r="I395" s="8" t="n">
        <v>8</v>
      </c>
      <c r="J395" s="6"/>
      <c r="K395" s="6" t="s">
        <v>86</v>
      </c>
      <c r="L395" s="6" t="s">
        <v>112</v>
      </c>
      <c r="M395" s="6" t="s">
        <v>88</v>
      </c>
      <c r="N395" s="6" t="s">
        <v>89</v>
      </c>
    </row>
    <row r="396" customFormat="false" ht="15" hidden="false" customHeight="false" outlineLevel="0" collapsed="false">
      <c r="A396" s="6" t="s">
        <v>1254</v>
      </c>
      <c r="B396" s="6" t="s">
        <v>1237</v>
      </c>
      <c r="C396" s="6" t="s">
        <v>108</v>
      </c>
      <c r="D396" s="7" t="s">
        <v>1255</v>
      </c>
      <c r="E396" s="6" t="s">
        <v>105</v>
      </c>
      <c r="F396" s="7" t="s">
        <v>177</v>
      </c>
      <c r="G396" s="7" t="s">
        <v>85</v>
      </c>
      <c r="H396" s="6" t="n">
        <v>0.07</v>
      </c>
      <c r="I396" s="8" t="n">
        <v>6</v>
      </c>
      <c r="J396" s="6"/>
      <c r="K396" s="6" t="s">
        <v>86</v>
      </c>
      <c r="L396" s="6" t="s">
        <v>112</v>
      </c>
      <c r="M396" s="6" t="s">
        <v>213</v>
      </c>
      <c r="N396" s="6" t="s">
        <v>89</v>
      </c>
    </row>
    <row r="397" customFormat="false" ht="15" hidden="false" customHeight="false" outlineLevel="0" collapsed="false">
      <c r="A397" s="6" t="s">
        <v>1256</v>
      </c>
      <c r="B397" s="6" t="s">
        <v>1237</v>
      </c>
      <c r="C397" s="6" t="s">
        <v>125</v>
      </c>
      <c r="D397" s="7" t="s">
        <v>1257</v>
      </c>
      <c r="E397" s="6" t="s">
        <v>127</v>
      </c>
      <c r="F397" s="7" t="s">
        <v>449</v>
      </c>
      <c r="G397" s="6" t="s">
        <v>217</v>
      </c>
      <c r="H397" s="6" t="n">
        <v>0.06</v>
      </c>
      <c r="I397" s="8" t="n">
        <v>6</v>
      </c>
      <c r="J397" s="6"/>
      <c r="K397" s="6" t="s">
        <v>86</v>
      </c>
      <c r="L397" s="6" t="s">
        <v>130</v>
      </c>
      <c r="M397" s="6" t="s">
        <v>131</v>
      </c>
      <c r="N397" s="6" t="s">
        <v>89</v>
      </c>
    </row>
    <row r="398" customFormat="false" ht="26.85" hidden="false" customHeight="false" outlineLevel="0" collapsed="false">
      <c r="A398" s="6" t="s">
        <v>1258</v>
      </c>
      <c r="B398" s="6" t="s">
        <v>1237</v>
      </c>
      <c r="C398" s="6" t="s">
        <v>125</v>
      </c>
      <c r="D398" s="7" t="s">
        <v>1259</v>
      </c>
      <c r="E398" s="6" t="s">
        <v>127</v>
      </c>
      <c r="F398" s="7" t="s">
        <v>302</v>
      </c>
      <c r="G398" s="7" t="s">
        <v>129</v>
      </c>
      <c r="H398" s="6" t="n">
        <v>0.048</v>
      </c>
      <c r="I398" s="8" t="n">
        <v>6</v>
      </c>
      <c r="J398" s="6"/>
      <c r="K398" s="6" t="s">
        <v>86</v>
      </c>
      <c r="L398" s="6" t="s">
        <v>130</v>
      </c>
      <c r="M398" s="6" t="s">
        <v>94</v>
      </c>
      <c r="N398" s="6" t="s">
        <v>89</v>
      </c>
    </row>
    <row r="399" customFormat="false" ht="15" hidden="false" customHeight="false" outlineLevel="0" collapsed="false">
      <c r="A399" s="6" t="s">
        <v>1260</v>
      </c>
      <c r="B399" s="6" t="s">
        <v>1237</v>
      </c>
      <c r="C399" s="6" t="s">
        <v>125</v>
      </c>
      <c r="D399" s="7" t="s">
        <v>1261</v>
      </c>
      <c r="E399" s="6" t="s">
        <v>105</v>
      </c>
      <c r="F399" s="7" t="s">
        <v>402</v>
      </c>
      <c r="G399" s="7" t="s">
        <v>129</v>
      </c>
      <c r="H399" s="6" t="n">
        <v>0.042</v>
      </c>
      <c r="I399" s="8" t="n">
        <v>6</v>
      </c>
      <c r="J399" s="6"/>
      <c r="K399" s="6" t="s">
        <v>86</v>
      </c>
      <c r="L399" s="6" t="s">
        <v>130</v>
      </c>
      <c r="M399" s="6" t="s">
        <v>131</v>
      </c>
      <c r="N399" s="6" t="s">
        <v>89</v>
      </c>
    </row>
    <row r="400" customFormat="false" ht="15" hidden="false" customHeight="false" outlineLevel="0" collapsed="false">
      <c r="A400" s="6" t="s">
        <v>1262</v>
      </c>
      <c r="B400" s="6" t="s">
        <v>1263</v>
      </c>
      <c r="C400" s="6" t="s">
        <v>81</v>
      </c>
      <c r="D400" s="7" t="s">
        <v>1264</v>
      </c>
      <c r="E400" s="6" t="s">
        <v>1265</v>
      </c>
      <c r="F400" s="7" t="s">
        <v>1266</v>
      </c>
      <c r="G400" s="6" t="s">
        <v>1267</v>
      </c>
      <c r="H400" s="6" t="n">
        <v>0.15</v>
      </c>
      <c r="I400" s="8" t="n">
        <v>8</v>
      </c>
      <c r="J400" s="6"/>
      <c r="K400" s="6" t="s">
        <v>86</v>
      </c>
      <c r="L400" s="6" t="s">
        <v>87</v>
      </c>
      <c r="M400" s="6" t="s">
        <v>88</v>
      </c>
      <c r="N400" s="6" t="s">
        <v>89</v>
      </c>
    </row>
    <row r="401" customFormat="false" ht="15" hidden="false" customHeight="false" outlineLevel="0" collapsed="false">
      <c r="A401" s="6" t="s">
        <v>1268</v>
      </c>
      <c r="B401" s="6" t="s">
        <v>1263</v>
      </c>
      <c r="C401" s="6" t="s">
        <v>81</v>
      </c>
      <c r="D401" s="7" t="s">
        <v>1269</v>
      </c>
      <c r="E401" s="6" t="s">
        <v>1270</v>
      </c>
      <c r="F401" s="7" t="s">
        <v>1271</v>
      </c>
      <c r="G401" s="7" t="s">
        <v>85</v>
      </c>
      <c r="H401" s="6" t="n">
        <v>0.12</v>
      </c>
      <c r="I401" s="8" t="n">
        <v>10</v>
      </c>
      <c r="J401" s="6"/>
      <c r="K401" s="6" t="s">
        <v>86</v>
      </c>
      <c r="L401" s="6" t="s">
        <v>87</v>
      </c>
      <c r="M401" s="6" t="s">
        <v>279</v>
      </c>
      <c r="N401" s="6" t="s">
        <v>89</v>
      </c>
    </row>
    <row r="402" customFormat="false" ht="26.85" hidden="false" customHeight="false" outlineLevel="0" collapsed="false">
      <c r="A402" s="6" t="s">
        <v>1272</v>
      </c>
      <c r="B402" s="6" t="s">
        <v>1263</v>
      </c>
      <c r="C402" s="6" t="s">
        <v>81</v>
      </c>
      <c r="D402" s="7" t="s">
        <v>1273</v>
      </c>
      <c r="E402" s="6" t="s">
        <v>1159</v>
      </c>
      <c r="F402" s="7" t="s">
        <v>550</v>
      </c>
      <c r="G402" s="7" t="s">
        <v>85</v>
      </c>
      <c r="H402" s="6" t="n">
        <v>0.1</v>
      </c>
      <c r="I402" s="8" t="n">
        <v>8</v>
      </c>
      <c r="J402" s="6"/>
      <c r="K402" s="6" t="s">
        <v>86</v>
      </c>
      <c r="L402" s="6" t="s">
        <v>87</v>
      </c>
      <c r="M402" s="6" t="s">
        <v>94</v>
      </c>
      <c r="N402" s="6" t="s">
        <v>89</v>
      </c>
    </row>
    <row r="403" customFormat="false" ht="15" hidden="false" customHeight="false" outlineLevel="0" collapsed="false">
      <c r="A403" s="6" t="s">
        <v>1274</v>
      </c>
      <c r="B403" s="6" t="s">
        <v>1263</v>
      </c>
      <c r="C403" s="6" t="s">
        <v>81</v>
      </c>
      <c r="D403" s="7" t="s">
        <v>1275</v>
      </c>
      <c r="E403" s="6" t="s">
        <v>1276</v>
      </c>
      <c r="F403" s="7" t="s">
        <v>806</v>
      </c>
      <c r="G403" s="7" t="s">
        <v>85</v>
      </c>
      <c r="H403" s="6" t="n">
        <v>0.1</v>
      </c>
      <c r="I403" s="8" t="n">
        <v>8</v>
      </c>
      <c r="J403" s="6"/>
      <c r="K403" s="6" t="s">
        <v>86</v>
      </c>
      <c r="L403" s="6" t="s">
        <v>87</v>
      </c>
      <c r="M403" s="6" t="s">
        <v>213</v>
      </c>
      <c r="N403" s="6" t="s">
        <v>89</v>
      </c>
    </row>
    <row r="404" customFormat="false" ht="15" hidden="false" customHeight="false" outlineLevel="0" collapsed="false">
      <c r="A404" s="6" t="s">
        <v>1277</v>
      </c>
      <c r="B404" s="6" t="s">
        <v>1263</v>
      </c>
      <c r="C404" s="6" t="s">
        <v>81</v>
      </c>
      <c r="D404" s="7" t="s">
        <v>1278</v>
      </c>
      <c r="E404" s="7" t="s">
        <v>1279</v>
      </c>
      <c r="F404" s="7" t="s">
        <v>1280</v>
      </c>
      <c r="G404" s="6" t="s">
        <v>1281</v>
      </c>
      <c r="H404" s="6" t="n">
        <v>0.08</v>
      </c>
      <c r="I404" s="8" t="n">
        <v>8</v>
      </c>
      <c r="J404" s="6"/>
      <c r="K404" s="6" t="s">
        <v>86</v>
      </c>
      <c r="L404" s="6" t="s">
        <v>87</v>
      </c>
      <c r="M404" s="6" t="s">
        <v>88</v>
      </c>
      <c r="N404" s="6" t="s">
        <v>89</v>
      </c>
    </row>
    <row r="405" customFormat="false" ht="15" hidden="false" customHeight="false" outlineLevel="0" collapsed="false">
      <c r="A405" s="6" t="s">
        <v>1282</v>
      </c>
      <c r="B405" s="6" t="s">
        <v>1263</v>
      </c>
      <c r="C405" s="6" t="s">
        <v>108</v>
      </c>
      <c r="D405" s="7" t="s">
        <v>1283</v>
      </c>
      <c r="E405" s="6" t="s">
        <v>788</v>
      </c>
      <c r="F405" s="7" t="s">
        <v>940</v>
      </c>
      <c r="G405" s="6" t="s">
        <v>1284</v>
      </c>
      <c r="H405" s="6" t="n">
        <v>0.1047</v>
      </c>
      <c r="I405" s="8" t="n">
        <v>8</v>
      </c>
      <c r="J405" s="6"/>
      <c r="K405" s="6" t="s">
        <v>86</v>
      </c>
      <c r="L405" s="6" t="s">
        <v>112</v>
      </c>
      <c r="M405" s="6" t="s">
        <v>213</v>
      </c>
      <c r="N405" s="6" t="s">
        <v>89</v>
      </c>
    </row>
    <row r="406" customFormat="false" ht="15" hidden="false" customHeight="false" outlineLevel="0" collapsed="false">
      <c r="A406" s="6" t="s">
        <v>1285</v>
      </c>
      <c r="B406" s="6" t="s">
        <v>1263</v>
      </c>
      <c r="C406" s="6" t="s">
        <v>108</v>
      </c>
      <c r="D406" s="7" t="s">
        <v>1286</v>
      </c>
      <c r="E406" s="6" t="s">
        <v>1159</v>
      </c>
      <c r="F406" s="7" t="s">
        <v>141</v>
      </c>
      <c r="G406" s="7" t="s">
        <v>129</v>
      </c>
      <c r="H406" s="6" t="n">
        <v>0.0698</v>
      </c>
      <c r="I406" s="8" t="n">
        <v>8</v>
      </c>
      <c r="J406" s="6"/>
      <c r="K406" s="6" t="s">
        <v>86</v>
      </c>
      <c r="L406" s="6" t="s">
        <v>112</v>
      </c>
      <c r="M406" s="6" t="s">
        <v>88</v>
      </c>
      <c r="N406" s="6" t="s">
        <v>89</v>
      </c>
    </row>
    <row r="407" customFormat="false" ht="15" hidden="false" customHeight="false" outlineLevel="0" collapsed="false">
      <c r="A407" s="6" t="s">
        <v>1287</v>
      </c>
      <c r="B407" s="6" t="s">
        <v>1263</v>
      </c>
      <c r="C407" s="6" t="s">
        <v>108</v>
      </c>
      <c r="D407" s="7" t="s">
        <v>1288</v>
      </c>
      <c r="E407" s="6" t="s">
        <v>1159</v>
      </c>
      <c r="F407" s="7" t="s">
        <v>685</v>
      </c>
      <c r="G407" s="6" t="s">
        <v>1289</v>
      </c>
      <c r="H407" s="6" t="n">
        <v>0.0558</v>
      </c>
      <c r="I407" s="8" t="n">
        <v>6</v>
      </c>
      <c r="J407" s="6"/>
      <c r="K407" s="6" t="s">
        <v>86</v>
      </c>
      <c r="L407" s="6" t="s">
        <v>112</v>
      </c>
      <c r="M407" s="6" t="s">
        <v>88</v>
      </c>
      <c r="N407" s="6" t="s">
        <v>89</v>
      </c>
    </row>
    <row r="408" customFormat="false" ht="15" hidden="false" customHeight="false" outlineLevel="0" collapsed="false">
      <c r="A408" s="6" t="s">
        <v>1290</v>
      </c>
      <c r="B408" s="6" t="s">
        <v>1263</v>
      </c>
      <c r="C408" s="6" t="s">
        <v>108</v>
      </c>
      <c r="D408" s="7" t="s">
        <v>1291</v>
      </c>
      <c r="E408" s="6" t="s">
        <v>127</v>
      </c>
      <c r="F408" s="7" t="s">
        <v>872</v>
      </c>
      <c r="G408" s="7" t="s">
        <v>85</v>
      </c>
      <c r="H408" s="6" t="n">
        <v>0.0698</v>
      </c>
      <c r="I408" s="8" t="n">
        <v>8</v>
      </c>
      <c r="J408" s="6"/>
      <c r="K408" s="6" t="s">
        <v>86</v>
      </c>
      <c r="L408" s="6" t="s">
        <v>112</v>
      </c>
      <c r="M408" s="6" t="s">
        <v>213</v>
      </c>
      <c r="N408" s="6" t="s">
        <v>89</v>
      </c>
    </row>
    <row r="409" customFormat="false" ht="15" hidden="false" customHeight="false" outlineLevel="0" collapsed="false">
      <c r="A409" s="6" t="s">
        <v>1292</v>
      </c>
      <c r="B409" s="6" t="s">
        <v>1263</v>
      </c>
      <c r="C409" s="6" t="s">
        <v>125</v>
      </c>
      <c r="D409" s="7" t="s">
        <v>1293</v>
      </c>
      <c r="E409" s="6" t="s">
        <v>127</v>
      </c>
      <c r="F409" s="7" t="s">
        <v>600</v>
      </c>
      <c r="G409" s="6" t="s">
        <v>217</v>
      </c>
      <c r="H409" s="6" t="n">
        <v>0.06</v>
      </c>
      <c r="I409" s="8" t="n">
        <v>4</v>
      </c>
      <c r="J409" s="6"/>
      <c r="K409" s="6" t="s">
        <v>86</v>
      </c>
      <c r="L409" s="6" t="s">
        <v>130</v>
      </c>
      <c r="M409" s="6" t="s">
        <v>131</v>
      </c>
      <c r="N409" s="6" t="s">
        <v>89</v>
      </c>
    </row>
    <row r="410" customFormat="false" ht="26.85" hidden="false" customHeight="false" outlineLevel="0" collapsed="false">
      <c r="A410" s="6" t="s">
        <v>1294</v>
      </c>
      <c r="B410" s="6" t="s">
        <v>1263</v>
      </c>
      <c r="C410" s="6" t="s">
        <v>125</v>
      </c>
      <c r="D410" s="7" t="s">
        <v>1295</v>
      </c>
      <c r="E410" s="6" t="s">
        <v>127</v>
      </c>
      <c r="F410" s="7" t="s">
        <v>677</v>
      </c>
      <c r="G410" s="7" t="s">
        <v>129</v>
      </c>
      <c r="H410" s="6" t="n">
        <v>0.048</v>
      </c>
      <c r="I410" s="8" t="n">
        <v>6</v>
      </c>
      <c r="J410" s="6"/>
      <c r="K410" s="6" t="s">
        <v>86</v>
      </c>
      <c r="L410" s="6" t="s">
        <v>130</v>
      </c>
      <c r="M410" s="6" t="s">
        <v>94</v>
      </c>
      <c r="N410" s="6" t="s">
        <v>89</v>
      </c>
    </row>
    <row r="411" customFormat="false" ht="15" hidden="false" customHeight="false" outlineLevel="0" collapsed="false">
      <c r="A411" s="6" t="s">
        <v>1296</v>
      </c>
      <c r="B411" s="6" t="s">
        <v>1263</v>
      </c>
      <c r="C411" s="6" t="s">
        <v>125</v>
      </c>
      <c r="D411" s="7" t="s">
        <v>1297</v>
      </c>
      <c r="E411" s="6" t="s">
        <v>127</v>
      </c>
      <c r="F411" s="7" t="s">
        <v>166</v>
      </c>
      <c r="G411" s="7" t="s">
        <v>129</v>
      </c>
      <c r="H411" s="6" t="n">
        <v>0.042</v>
      </c>
      <c r="I411" s="8" t="n">
        <v>8</v>
      </c>
      <c r="J411" s="6"/>
      <c r="K411" s="6" t="s">
        <v>86</v>
      </c>
      <c r="L411" s="6" t="s">
        <v>130</v>
      </c>
      <c r="M411" s="6" t="s">
        <v>88</v>
      </c>
      <c r="N411" s="6" t="s">
        <v>89</v>
      </c>
    </row>
    <row r="412" customFormat="false" ht="15" hidden="false" customHeight="false" outlineLevel="0" collapsed="false">
      <c r="A412" s="7" t="s">
        <v>1298</v>
      </c>
      <c r="B412" s="7" t="s">
        <v>1299</v>
      </c>
      <c r="C412" s="6" t="s">
        <v>81</v>
      </c>
      <c r="D412" s="7" t="s">
        <v>1300</v>
      </c>
      <c r="E412" s="7" t="s">
        <v>805</v>
      </c>
      <c r="F412" s="7" t="s">
        <v>1301</v>
      </c>
      <c r="G412" s="7" t="s">
        <v>85</v>
      </c>
      <c r="H412" s="6" t="n">
        <v>0.15</v>
      </c>
      <c r="I412" s="8" t="n">
        <v>10</v>
      </c>
      <c r="J412" s="6"/>
      <c r="K412" s="6" t="s">
        <v>86</v>
      </c>
      <c r="L412" s="6" t="s">
        <v>87</v>
      </c>
      <c r="M412" s="6" t="s">
        <v>213</v>
      </c>
      <c r="N412" s="6" t="s">
        <v>89</v>
      </c>
    </row>
    <row r="413" customFormat="false" ht="15" hidden="false" customHeight="false" outlineLevel="0" collapsed="false">
      <c r="A413" s="7" t="s">
        <v>1302</v>
      </c>
      <c r="B413" s="7" t="s">
        <v>1299</v>
      </c>
      <c r="C413" s="6" t="s">
        <v>81</v>
      </c>
      <c r="D413" s="7" t="s">
        <v>1303</v>
      </c>
      <c r="E413" s="6" t="s">
        <v>1304</v>
      </c>
      <c r="F413" s="7" t="s">
        <v>1305</v>
      </c>
      <c r="G413" s="7" t="s">
        <v>85</v>
      </c>
      <c r="H413" s="6" t="n">
        <v>0.12</v>
      </c>
      <c r="I413" s="8" t="n">
        <v>10</v>
      </c>
      <c r="J413" s="6"/>
      <c r="K413" s="6" t="s">
        <v>86</v>
      </c>
      <c r="L413" s="6" t="s">
        <v>87</v>
      </c>
      <c r="M413" s="6" t="s">
        <v>213</v>
      </c>
      <c r="N413" s="6" t="s">
        <v>89</v>
      </c>
    </row>
    <row r="414" customFormat="false" ht="15" hidden="false" customHeight="false" outlineLevel="0" collapsed="false">
      <c r="A414" s="7" t="s">
        <v>1306</v>
      </c>
      <c r="B414" s="7" t="s">
        <v>1299</v>
      </c>
      <c r="C414" s="6" t="s">
        <v>81</v>
      </c>
      <c r="D414" s="7" t="s">
        <v>870</v>
      </c>
      <c r="E414" s="7" t="s">
        <v>871</v>
      </c>
      <c r="F414" s="7" t="s">
        <v>1307</v>
      </c>
      <c r="G414" s="7" t="s">
        <v>85</v>
      </c>
      <c r="H414" s="6" t="n">
        <v>0.1</v>
      </c>
      <c r="I414" s="8" t="n">
        <v>10</v>
      </c>
      <c r="J414" s="6"/>
      <c r="K414" s="6" t="s">
        <v>86</v>
      </c>
      <c r="L414" s="6" t="s">
        <v>87</v>
      </c>
      <c r="M414" s="6" t="s">
        <v>213</v>
      </c>
      <c r="N414" s="6" t="s">
        <v>89</v>
      </c>
    </row>
    <row r="415" customFormat="false" ht="15" hidden="false" customHeight="false" outlineLevel="0" collapsed="false">
      <c r="A415" s="7" t="s">
        <v>1308</v>
      </c>
      <c r="B415" s="7" t="s">
        <v>1299</v>
      </c>
      <c r="C415" s="6" t="s">
        <v>81</v>
      </c>
      <c r="D415" s="7" t="s">
        <v>874</v>
      </c>
      <c r="E415" s="6" t="s">
        <v>809</v>
      </c>
      <c r="F415" s="7" t="s">
        <v>1309</v>
      </c>
      <c r="G415" s="6" t="s">
        <v>876</v>
      </c>
      <c r="H415" s="6" t="n">
        <v>0.1</v>
      </c>
      <c r="I415" s="8" t="n">
        <v>10</v>
      </c>
      <c r="J415" s="6"/>
      <c r="K415" s="6" t="s">
        <v>86</v>
      </c>
      <c r="L415" s="6" t="s">
        <v>87</v>
      </c>
      <c r="M415" s="6" t="s">
        <v>88</v>
      </c>
      <c r="N415" s="6" t="s">
        <v>89</v>
      </c>
    </row>
    <row r="416" customFormat="false" ht="15" hidden="false" customHeight="false" outlineLevel="0" collapsed="false">
      <c r="A416" s="7" t="s">
        <v>1310</v>
      </c>
      <c r="B416" s="7" t="s">
        <v>1299</v>
      </c>
      <c r="C416" s="6" t="s">
        <v>81</v>
      </c>
      <c r="D416" s="7" t="s">
        <v>1311</v>
      </c>
      <c r="E416" s="6" t="s">
        <v>1159</v>
      </c>
      <c r="F416" s="7" t="s">
        <v>232</v>
      </c>
      <c r="G416" s="7" t="s">
        <v>129</v>
      </c>
      <c r="H416" s="6" t="n">
        <v>0.08</v>
      </c>
      <c r="I416" s="8" t="n">
        <v>6</v>
      </c>
      <c r="J416" s="6"/>
      <c r="K416" s="6" t="s">
        <v>86</v>
      </c>
      <c r="L416" s="6" t="s">
        <v>87</v>
      </c>
      <c r="M416" s="6" t="s">
        <v>88</v>
      </c>
      <c r="N416" s="6" t="s">
        <v>89</v>
      </c>
    </row>
    <row r="417" customFormat="false" ht="26.85" hidden="false" customHeight="false" outlineLevel="0" collapsed="false">
      <c r="A417" s="7" t="s">
        <v>1312</v>
      </c>
      <c r="B417" s="7" t="s">
        <v>1299</v>
      </c>
      <c r="C417" s="6" t="s">
        <v>108</v>
      </c>
      <c r="D417" s="7" t="s">
        <v>1313</v>
      </c>
      <c r="E417" s="6" t="s">
        <v>1125</v>
      </c>
      <c r="F417" s="7" t="s">
        <v>308</v>
      </c>
      <c r="G417" s="7" t="s">
        <v>163</v>
      </c>
      <c r="H417" s="6" t="n">
        <v>0.09</v>
      </c>
      <c r="I417" s="8" t="n">
        <v>8</v>
      </c>
      <c r="J417" s="6"/>
      <c r="K417" s="6" t="s">
        <v>86</v>
      </c>
      <c r="L417" s="6" t="s">
        <v>112</v>
      </c>
      <c r="M417" s="6" t="s">
        <v>94</v>
      </c>
      <c r="N417" s="6" t="s">
        <v>89</v>
      </c>
    </row>
    <row r="418" customFormat="false" ht="15" hidden="false" customHeight="false" outlineLevel="0" collapsed="false">
      <c r="A418" s="7" t="s">
        <v>1314</v>
      </c>
      <c r="B418" s="7" t="s">
        <v>1299</v>
      </c>
      <c r="C418" s="6" t="s">
        <v>108</v>
      </c>
      <c r="D418" s="7" t="s">
        <v>1315</v>
      </c>
      <c r="E418" s="6" t="s">
        <v>1316</v>
      </c>
      <c r="F418" s="7" t="s">
        <v>278</v>
      </c>
      <c r="G418" s="7" t="s">
        <v>85</v>
      </c>
      <c r="H418" s="6" t="n">
        <v>0.075</v>
      </c>
      <c r="I418" s="8" t="n">
        <v>8</v>
      </c>
      <c r="J418" s="6"/>
      <c r="K418" s="6" t="s">
        <v>86</v>
      </c>
      <c r="L418" s="6" t="s">
        <v>112</v>
      </c>
      <c r="M418" s="6" t="s">
        <v>213</v>
      </c>
      <c r="N418" s="6" t="s">
        <v>89</v>
      </c>
    </row>
    <row r="419" customFormat="false" ht="15" hidden="false" customHeight="false" outlineLevel="0" collapsed="false">
      <c r="A419" s="7" t="s">
        <v>1317</v>
      </c>
      <c r="B419" s="7" t="s">
        <v>1299</v>
      </c>
      <c r="C419" s="6" t="s">
        <v>108</v>
      </c>
      <c r="D419" s="7" t="s">
        <v>1318</v>
      </c>
      <c r="E419" s="6" t="s">
        <v>809</v>
      </c>
      <c r="F419" s="7" t="s">
        <v>1319</v>
      </c>
      <c r="G419" s="6"/>
      <c r="H419" s="6" t="n">
        <v>0.06</v>
      </c>
      <c r="I419" s="8" t="n">
        <v>8</v>
      </c>
      <c r="J419" s="6"/>
      <c r="K419" s="6" t="s">
        <v>86</v>
      </c>
      <c r="L419" s="6" t="s">
        <v>112</v>
      </c>
      <c r="M419" s="6" t="s">
        <v>88</v>
      </c>
      <c r="N419" s="6" t="s">
        <v>89</v>
      </c>
    </row>
    <row r="420" customFormat="false" ht="15" hidden="false" customHeight="false" outlineLevel="0" collapsed="false">
      <c r="A420" s="7" t="s">
        <v>1320</v>
      </c>
      <c r="B420" s="7" t="s">
        <v>1299</v>
      </c>
      <c r="C420" s="6" t="s">
        <v>108</v>
      </c>
      <c r="D420" s="7" t="s">
        <v>1321</v>
      </c>
      <c r="E420" s="6" t="s">
        <v>1322</v>
      </c>
      <c r="F420" s="7" t="s">
        <v>1271</v>
      </c>
      <c r="G420" s="7" t="s">
        <v>85</v>
      </c>
      <c r="H420" s="6" t="n">
        <v>0.075</v>
      </c>
      <c r="I420" s="8" t="n">
        <v>10</v>
      </c>
      <c r="J420" s="6"/>
      <c r="K420" s="6" t="s">
        <v>86</v>
      </c>
      <c r="L420" s="6" t="s">
        <v>112</v>
      </c>
      <c r="M420" s="6" t="s">
        <v>213</v>
      </c>
      <c r="N420" s="6" t="s">
        <v>89</v>
      </c>
    </row>
    <row r="421" customFormat="false" ht="15" hidden="false" customHeight="false" outlineLevel="0" collapsed="false">
      <c r="A421" s="7" t="s">
        <v>1323</v>
      </c>
      <c r="B421" s="7" t="s">
        <v>1299</v>
      </c>
      <c r="C421" s="6" t="s">
        <v>125</v>
      </c>
      <c r="D421" s="7" t="s">
        <v>1324</v>
      </c>
      <c r="E421" s="6" t="s">
        <v>127</v>
      </c>
      <c r="F421" s="7" t="s">
        <v>744</v>
      </c>
      <c r="G421" s="6" t="s">
        <v>217</v>
      </c>
      <c r="H421" s="6" t="n">
        <v>0.06</v>
      </c>
      <c r="I421" s="8" t="n">
        <v>8</v>
      </c>
      <c r="J421" s="6"/>
      <c r="K421" s="6" t="s">
        <v>86</v>
      </c>
      <c r="L421" s="6" t="s">
        <v>130</v>
      </c>
      <c r="M421" s="6" t="s">
        <v>131</v>
      </c>
      <c r="N421" s="6" t="s">
        <v>89</v>
      </c>
    </row>
    <row r="422" customFormat="false" ht="26.85" hidden="false" customHeight="false" outlineLevel="0" collapsed="false">
      <c r="A422" s="7" t="s">
        <v>1325</v>
      </c>
      <c r="B422" s="7" t="s">
        <v>1299</v>
      </c>
      <c r="C422" s="6" t="s">
        <v>125</v>
      </c>
      <c r="D422" s="7" t="s">
        <v>1326</v>
      </c>
      <c r="E422" s="6" t="s">
        <v>127</v>
      </c>
      <c r="F422" s="7" t="s">
        <v>1141</v>
      </c>
      <c r="G422" s="7" t="s">
        <v>129</v>
      </c>
      <c r="H422" s="6" t="n">
        <v>0.048</v>
      </c>
      <c r="I422" s="8" t="n">
        <v>8</v>
      </c>
      <c r="J422" s="6"/>
      <c r="K422" s="6" t="s">
        <v>86</v>
      </c>
      <c r="L422" s="6" t="s">
        <v>130</v>
      </c>
      <c r="M422" s="6" t="s">
        <v>94</v>
      </c>
      <c r="N422" s="6" t="s">
        <v>89</v>
      </c>
    </row>
    <row r="423" customFormat="false" ht="15" hidden="false" customHeight="false" outlineLevel="0" collapsed="false">
      <c r="A423" s="7" t="s">
        <v>1327</v>
      </c>
      <c r="B423" s="7" t="s">
        <v>1299</v>
      </c>
      <c r="C423" s="6" t="s">
        <v>125</v>
      </c>
      <c r="D423" s="7" t="s">
        <v>1328</v>
      </c>
      <c r="E423" s="6" t="s">
        <v>1159</v>
      </c>
      <c r="F423" s="7" t="s">
        <v>287</v>
      </c>
      <c r="G423" s="7" t="s">
        <v>129</v>
      </c>
      <c r="H423" s="6" t="n">
        <v>0.042</v>
      </c>
      <c r="I423" s="8" t="n">
        <v>8</v>
      </c>
      <c r="J423" s="6"/>
      <c r="K423" s="6" t="s">
        <v>86</v>
      </c>
      <c r="L423" s="6" t="s">
        <v>130</v>
      </c>
      <c r="M423" s="6" t="s">
        <v>131</v>
      </c>
      <c r="N423" s="6" t="s">
        <v>89</v>
      </c>
    </row>
    <row r="424" customFormat="false" ht="26.85" hidden="false" customHeight="false" outlineLevel="0" collapsed="false">
      <c r="A424" s="6" t="s">
        <v>1329</v>
      </c>
      <c r="B424" s="6" t="s">
        <v>1330</v>
      </c>
      <c r="C424" s="6" t="s">
        <v>81</v>
      </c>
      <c r="D424" s="7" t="s">
        <v>1331</v>
      </c>
      <c r="E424" s="7" t="s">
        <v>1332</v>
      </c>
      <c r="F424" s="7" t="s">
        <v>765</v>
      </c>
      <c r="G424" s="6" t="s">
        <v>1333</v>
      </c>
      <c r="H424" s="6" t="n">
        <v>0.1056</v>
      </c>
      <c r="I424" s="8" t="n">
        <v>8</v>
      </c>
      <c r="J424" s="6"/>
      <c r="K424" s="6" t="s">
        <v>86</v>
      </c>
      <c r="L424" s="6" t="s">
        <v>87</v>
      </c>
      <c r="M424" s="6" t="s">
        <v>94</v>
      </c>
      <c r="N424" s="6" t="s">
        <v>89</v>
      </c>
    </row>
    <row r="425" customFormat="false" ht="26.85" hidden="false" customHeight="false" outlineLevel="0" collapsed="false">
      <c r="A425" s="6" t="s">
        <v>1334</v>
      </c>
      <c r="B425" s="6" t="s">
        <v>1330</v>
      </c>
      <c r="C425" s="6" t="s">
        <v>81</v>
      </c>
      <c r="D425" s="7" t="s">
        <v>1335</v>
      </c>
      <c r="E425" s="7" t="s">
        <v>231</v>
      </c>
      <c r="F425" s="7" t="s">
        <v>335</v>
      </c>
      <c r="G425" s="6" t="s">
        <v>1333</v>
      </c>
      <c r="H425" s="6" t="n">
        <v>0.0563</v>
      </c>
      <c r="I425" s="8" t="n">
        <v>8</v>
      </c>
      <c r="J425" s="6"/>
      <c r="K425" s="6" t="s">
        <v>86</v>
      </c>
      <c r="L425" s="6" t="s">
        <v>87</v>
      </c>
      <c r="M425" s="6" t="s">
        <v>94</v>
      </c>
      <c r="N425" s="6" t="s">
        <v>89</v>
      </c>
    </row>
    <row r="426" customFormat="false" ht="26.85" hidden="false" customHeight="false" outlineLevel="0" collapsed="false">
      <c r="A426" s="6" t="s">
        <v>1336</v>
      </c>
      <c r="B426" s="6" t="s">
        <v>1330</v>
      </c>
      <c r="C426" s="6" t="s">
        <v>81</v>
      </c>
      <c r="D426" s="7" t="s">
        <v>1337</v>
      </c>
      <c r="E426" s="7" t="s">
        <v>1338</v>
      </c>
      <c r="F426" s="7" t="s">
        <v>312</v>
      </c>
      <c r="G426" s="7" t="s">
        <v>85</v>
      </c>
      <c r="H426" s="6" t="n">
        <v>0.0563</v>
      </c>
      <c r="I426" s="8" t="n">
        <v>8</v>
      </c>
      <c r="J426" s="6"/>
      <c r="K426" s="6" t="s">
        <v>86</v>
      </c>
      <c r="L426" s="6" t="s">
        <v>87</v>
      </c>
      <c r="M426" s="6" t="s">
        <v>94</v>
      </c>
      <c r="N426" s="6" t="s">
        <v>89</v>
      </c>
    </row>
    <row r="427" customFormat="false" ht="15" hidden="false" customHeight="false" outlineLevel="0" collapsed="false">
      <c r="A427" s="6" t="s">
        <v>1339</v>
      </c>
      <c r="B427" s="6" t="s">
        <v>1330</v>
      </c>
      <c r="C427" s="6" t="s">
        <v>81</v>
      </c>
      <c r="D427" s="7" t="s">
        <v>1340</v>
      </c>
      <c r="E427" s="6" t="s">
        <v>1341</v>
      </c>
      <c r="F427" s="7" t="s">
        <v>624</v>
      </c>
      <c r="G427" s="7" t="s">
        <v>85</v>
      </c>
      <c r="H427" s="6" t="n">
        <v>0.0704</v>
      </c>
      <c r="I427" s="8" t="n">
        <v>8</v>
      </c>
      <c r="J427" s="6"/>
      <c r="K427" s="6" t="s">
        <v>86</v>
      </c>
      <c r="L427" s="6" t="s">
        <v>87</v>
      </c>
      <c r="M427" s="6" t="s">
        <v>279</v>
      </c>
      <c r="N427" s="6" t="s">
        <v>89</v>
      </c>
    </row>
    <row r="428" customFormat="false" ht="15" hidden="false" customHeight="false" outlineLevel="0" collapsed="false">
      <c r="A428" s="6" t="s">
        <v>1342</v>
      </c>
      <c r="B428" s="6" t="s">
        <v>1330</v>
      </c>
      <c r="C428" s="6" t="s">
        <v>81</v>
      </c>
      <c r="D428" s="7" t="s">
        <v>1343</v>
      </c>
      <c r="E428" s="6" t="s">
        <v>1344</v>
      </c>
      <c r="F428" s="7" t="s">
        <v>966</v>
      </c>
      <c r="G428" s="7" t="s">
        <v>129</v>
      </c>
      <c r="H428" s="6" t="n">
        <v>0.0845</v>
      </c>
      <c r="I428" s="8" t="n">
        <v>8</v>
      </c>
      <c r="J428" s="6"/>
      <c r="K428" s="6" t="s">
        <v>86</v>
      </c>
      <c r="L428" s="6" t="s">
        <v>87</v>
      </c>
      <c r="M428" s="6" t="s">
        <v>88</v>
      </c>
      <c r="N428" s="6" t="s">
        <v>89</v>
      </c>
    </row>
    <row r="429" customFormat="false" ht="15" hidden="false" customHeight="false" outlineLevel="0" collapsed="false">
      <c r="A429" s="6" t="s">
        <v>1345</v>
      </c>
      <c r="B429" s="6" t="s">
        <v>1330</v>
      </c>
      <c r="C429" s="6" t="s">
        <v>81</v>
      </c>
      <c r="D429" s="7" t="s">
        <v>1346</v>
      </c>
      <c r="E429" s="6" t="s">
        <v>1347</v>
      </c>
      <c r="F429" s="7" t="s">
        <v>93</v>
      </c>
      <c r="G429" s="7" t="s">
        <v>85</v>
      </c>
      <c r="H429" s="6" t="n">
        <v>0.0704</v>
      </c>
      <c r="I429" s="8" t="n">
        <v>8</v>
      </c>
      <c r="J429" s="6"/>
      <c r="K429" s="6" t="s">
        <v>86</v>
      </c>
      <c r="L429" s="6" t="s">
        <v>87</v>
      </c>
      <c r="M429" s="6" t="s">
        <v>279</v>
      </c>
      <c r="N429" s="6" t="s">
        <v>89</v>
      </c>
    </row>
    <row r="430" customFormat="false" ht="15" hidden="false" customHeight="false" outlineLevel="0" collapsed="false">
      <c r="A430" s="6" t="s">
        <v>1348</v>
      </c>
      <c r="B430" s="6" t="s">
        <v>1330</v>
      </c>
      <c r="C430" s="6" t="s">
        <v>81</v>
      </c>
      <c r="D430" s="7" t="s">
        <v>1349</v>
      </c>
      <c r="E430" s="6" t="s">
        <v>1341</v>
      </c>
      <c r="F430" s="7" t="s">
        <v>177</v>
      </c>
      <c r="G430" s="7" t="s">
        <v>198</v>
      </c>
      <c r="H430" s="6" t="n">
        <v>0.0563</v>
      </c>
      <c r="I430" s="8" t="n">
        <v>6</v>
      </c>
      <c r="J430" s="6"/>
      <c r="K430" s="6" t="s">
        <v>86</v>
      </c>
      <c r="L430" s="6" t="s">
        <v>87</v>
      </c>
      <c r="M430" s="6" t="s">
        <v>88</v>
      </c>
      <c r="N430" s="6" t="s">
        <v>89</v>
      </c>
    </row>
    <row r="431" customFormat="false" ht="15" hidden="false" customHeight="false" outlineLevel="0" collapsed="false">
      <c r="A431" s="6" t="s">
        <v>1350</v>
      </c>
      <c r="B431" s="6" t="s">
        <v>1330</v>
      </c>
      <c r="C431" s="6" t="s">
        <v>108</v>
      </c>
      <c r="D431" s="7" t="s">
        <v>1351</v>
      </c>
      <c r="E431" s="6" t="s">
        <v>969</v>
      </c>
      <c r="F431" s="7" t="s">
        <v>970</v>
      </c>
      <c r="G431" s="7" t="s">
        <v>85</v>
      </c>
      <c r="H431" s="6" t="n">
        <v>0.0905</v>
      </c>
      <c r="I431" s="8" t="n">
        <v>8</v>
      </c>
      <c r="J431" s="6"/>
      <c r="K431" s="6" t="s">
        <v>86</v>
      </c>
      <c r="L431" s="6" t="s">
        <v>112</v>
      </c>
      <c r="M431" s="6" t="s">
        <v>88</v>
      </c>
      <c r="N431" s="6" t="s">
        <v>89</v>
      </c>
    </row>
    <row r="432" customFormat="false" ht="15" hidden="false" customHeight="false" outlineLevel="0" collapsed="false">
      <c r="A432" s="6" t="s">
        <v>1352</v>
      </c>
      <c r="B432" s="6" t="s">
        <v>1330</v>
      </c>
      <c r="C432" s="6" t="s">
        <v>108</v>
      </c>
      <c r="D432" s="7" t="s">
        <v>1353</v>
      </c>
      <c r="E432" s="6" t="s">
        <v>969</v>
      </c>
      <c r="F432" s="7" t="s">
        <v>93</v>
      </c>
      <c r="G432" s="7" t="s">
        <v>85</v>
      </c>
      <c r="H432" s="6" t="n">
        <v>0.0603</v>
      </c>
      <c r="I432" s="8" t="n">
        <v>8</v>
      </c>
      <c r="J432" s="6"/>
      <c r="K432" s="6" t="s">
        <v>86</v>
      </c>
      <c r="L432" s="6" t="s">
        <v>112</v>
      </c>
      <c r="M432" s="6" t="s">
        <v>213</v>
      </c>
      <c r="N432" s="6" t="s">
        <v>89</v>
      </c>
    </row>
    <row r="433" customFormat="false" ht="15" hidden="false" customHeight="false" outlineLevel="0" collapsed="false">
      <c r="A433" s="6" t="s">
        <v>1354</v>
      </c>
      <c r="B433" s="6" t="s">
        <v>1330</v>
      </c>
      <c r="C433" s="6" t="s">
        <v>108</v>
      </c>
      <c r="D433" s="7" t="s">
        <v>1355</v>
      </c>
      <c r="E433" s="6" t="s">
        <v>101</v>
      </c>
      <c r="F433" s="7" t="s">
        <v>1356</v>
      </c>
      <c r="G433" s="7" t="s">
        <v>85</v>
      </c>
      <c r="H433" s="6" t="n">
        <v>0.0603</v>
      </c>
      <c r="I433" s="8" t="n">
        <v>8</v>
      </c>
      <c r="J433" s="6"/>
      <c r="K433" s="6" t="s">
        <v>86</v>
      </c>
      <c r="L433" s="6" t="s">
        <v>112</v>
      </c>
      <c r="M433" s="6" t="s">
        <v>88</v>
      </c>
      <c r="N433" s="6" t="s">
        <v>89</v>
      </c>
    </row>
    <row r="434" customFormat="false" ht="15" hidden="false" customHeight="false" outlineLevel="0" collapsed="false">
      <c r="A434" s="6" t="s">
        <v>1357</v>
      </c>
      <c r="B434" s="6" t="s">
        <v>1330</v>
      </c>
      <c r="C434" s="6" t="s">
        <v>108</v>
      </c>
      <c r="D434" s="7" t="s">
        <v>1358</v>
      </c>
      <c r="E434" s="6" t="s">
        <v>1341</v>
      </c>
      <c r="F434" s="7" t="s">
        <v>270</v>
      </c>
      <c r="G434" s="7" t="s">
        <v>85</v>
      </c>
      <c r="H434" s="6" t="n">
        <v>0.0483</v>
      </c>
      <c r="I434" s="8" t="n">
        <v>8</v>
      </c>
      <c r="J434" s="6"/>
      <c r="K434" s="6" t="s">
        <v>86</v>
      </c>
      <c r="L434" s="6" t="s">
        <v>112</v>
      </c>
      <c r="M434" s="6" t="s">
        <v>213</v>
      </c>
      <c r="N434" s="6" t="s">
        <v>89</v>
      </c>
    </row>
    <row r="435" customFormat="false" ht="15" hidden="false" customHeight="false" outlineLevel="0" collapsed="false">
      <c r="A435" s="6" t="s">
        <v>1359</v>
      </c>
      <c r="B435" s="6" t="s">
        <v>1330</v>
      </c>
      <c r="C435" s="6" t="s">
        <v>108</v>
      </c>
      <c r="D435" s="7" t="s">
        <v>1360</v>
      </c>
      <c r="E435" s="6" t="s">
        <v>1341</v>
      </c>
      <c r="F435" s="7" t="s">
        <v>240</v>
      </c>
      <c r="G435" s="7" t="s">
        <v>85</v>
      </c>
      <c r="H435" s="6" t="n">
        <v>0.0483</v>
      </c>
      <c r="I435" s="8" t="n">
        <v>8</v>
      </c>
      <c r="J435" s="6"/>
      <c r="K435" s="6" t="s">
        <v>86</v>
      </c>
      <c r="L435" s="6" t="s">
        <v>112</v>
      </c>
      <c r="M435" s="6" t="s">
        <v>213</v>
      </c>
      <c r="N435" s="6" t="s">
        <v>89</v>
      </c>
    </row>
    <row r="436" customFormat="false" ht="15" hidden="false" customHeight="false" outlineLevel="0" collapsed="false">
      <c r="A436" s="6" t="s">
        <v>1361</v>
      </c>
      <c r="B436" s="6" t="s">
        <v>1330</v>
      </c>
      <c r="C436" s="6" t="s">
        <v>108</v>
      </c>
      <c r="D436" s="7" t="s">
        <v>1362</v>
      </c>
      <c r="E436" s="6" t="s">
        <v>1341</v>
      </c>
      <c r="F436" s="7" t="s">
        <v>1251</v>
      </c>
      <c r="G436" s="7" t="s">
        <v>85</v>
      </c>
      <c r="H436" s="6" t="n">
        <v>0.0422</v>
      </c>
      <c r="I436" s="8" t="n">
        <v>8</v>
      </c>
      <c r="J436" s="6"/>
      <c r="K436" s="6" t="s">
        <v>86</v>
      </c>
      <c r="L436" s="6" t="s">
        <v>112</v>
      </c>
      <c r="M436" s="6" t="s">
        <v>213</v>
      </c>
      <c r="N436" s="6" t="s">
        <v>89</v>
      </c>
    </row>
    <row r="437" customFormat="false" ht="26.85" hidden="false" customHeight="false" outlineLevel="0" collapsed="false">
      <c r="A437" s="6" t="s">
        <v>1363</v>
      </c>
      <c r="B437" s="6" t="s">
        <v>1330</v>
      </c>
      <c r="C437" s="6" t="s">
        <v>125</v>
      </c>
      <c r="D437" s="7" t="s">
        <v>1364</v>
      </c>
      <c r="E437" s="6" t="s">
        <v>127</v>
      </c>
      <c r="F437" s="7" t="s">
        <v>1365</v>
      </c>
      <c r="G437" s="7" t="s">
        <v>129</v>
      </c>
      <c r="H437" s="6" t="n">
        <v>0.0455</v>
      </c>
      <c r="I437" s="8" t="n">
        <v>6</v>
      </c>
      <c r="J437" s="6"/>
      <c r="K437" s="6" t="s">
        <v>86</v>
      </c>
      <c r="L437" s="6" t="s">
        <v>130</v>
      </c>
      <c r="M437" s="6" t="s">
        <v>94</v>
      </c>
      <c r="N437" s="6" t="s">
        <v>89</v>
      </c>
    </row>
    <row r="438" customFormat="false" ht="15" hidden="false" customHeight="false" outlineLevel="0" collapsed="false">
      <c r="A438" s="6" t="s">
        <v>1366</v>
      </c>
      <c r="B438" s="6" t="s">
        <v>1330</v>
      </c>
      <c r="C438" s="6" t="s">
        <v>125</v>
      </c>
      <c r="D438" s="7" t="s">
        <v>1367</v>
      </c>
      <c r="E438" s="6" t="s">
        <v>127</v>
      </c>
      <c r="F438" s="7" t="s">
        <v>538</v>
      </c>
      <c r="G438" s="6" t="s">
        <v>217</v>
      </c>
      <c r="H438" s="6" t="n">
        <v>0.0364</v>
      </c>
      <c r="I438" s="8" t="n">
        <v>6</v>
      </c>
      <c r="J438" s="6"/>
      <c r="K438" s="6" t="s">
        <v>86</v>
      </c>
      <c r="L438" s="6" t="s">
        <v>130</v>
      </c>
      <c r="M438" s="6" t="s">
        <v>131</v>
      </c>
      <c r="N438" s="6" t="s">
        <v>89</v>
      </c>
    </row>
    <row r="439" customFormat="false" ht="15" hidden="false" customHeight="false" outlineLevel="0" collapsed="false">
      <c r="A439" s="6" t="s">
        <v>1368</v>
      </c>
      <c r="B439" s="6" t="s">
        <v>1330</v>
      </c>
      <c r="C439" s="6" t="s">
        <v>125</v>
      </c>
      <c r="D439" s="7" t="s">
        <v>1369</v>
      </c>
      <c r="E439" s="6" t="s">
        <v>1341</v>
      </c>
      <c r="F439" s="7" t="s">
        <v>408</v>
      </c>
      <c r="G439" s="7" t="s">
        <v>129</v>
      </c>
      <c r="H439" s="6" t="n">
        <v>0.0364</v>
      </c>
      <c r="I439" s="8" t="n">
        <v>4</v>
      </c>
      <c r="J439" s="6"/>
      <c r="K439" s="6" t="s">
        <v>86</v>
      </c>
      <c r="L439" s="6" t="s">
        <v>130</v>
      </c>
      <c r="M439" s="6" t="s">
        <v>131</v>
      </c>
      <c r="N439" s="6" t="s">
        <v>89</v>
      </c>
    </row>
    <row r="440" customFormat="false" ht="15" hidden="false" customHeight="false" outlineLevel="0" collapsed="false">
      <c r="A440" s="6" t="s">
        <v>1370</v>
      </c>
      <c r="B440" s="6" t="s">
        <v>1330</v>
      </c>
      <c r="C440" s="6" t="s">
        <v>125</v>
      </c>
      <c r="D440" s="7" t="s">
        <v>1371</v>
      </c>
      <c r="E440" s="6" t="s">
        <v>127</v>
      </c>
      <c r="F440" s="7" t="s">
        <v>185</v>
      </c>
      <c r="G440" s="6" t="s">
        <v>167</v>
      </c>
      <c r="H440" s="6" t="n">
        <v>0.0318</v>
      </c>
      <c r="I440" s="8" t="n">
        <v>6</v>
      </c>
      <c r="J440" s="6"/>
      <c r="K440" s="6" t="s">
        <v>86</v>
      </c>
      <c r="L440" s="6" t="s">
        <v>130</v>
      </c>
      <c r="M440" s="6" t="s">
        <v>168</v>
      </c>
      <c r="N440" s="6" t="s">
        <v>89</v>
      </c>
    </row>
    <row r="441" customFormat="false" ht="26.85" hidden="false" customHeight="false" outlineLevel="0" collapsed="false">
      <c r="A441" s="6" t="s">
        <v>1372</v>
      </c>
      <c r="B441" s="6" t="s">
        <v>1373</v>
      </c>
      <c r="C441" s="6" t="s">
        <v>81</v>
      </c>
      <c r="D441" s="7" t="s">
        <v>1374</v>
      </c>
      <c r="E441" s="6" t="s">
        <v>729</v>
      </c>
      <c r="F441" s="7" t="s">
        <v>338</v>
      </c>
      <c r="G441" s="6" t="s">
        <v>730</v>
      </c>
      <c r="H441" s="6" t="n">
        <v>0.1103</v>
      </c>
      <c r="I441" s="8" t="n">
        <v>8</v>
      </c>
      <c r="J441" s="6"/>
      <c r="K441" s="6" t="s">
        <v>86</v>
      </c>
      <c r="L441" s="6" t="s">
        <v>87</v>
      </c>
      <c r="M441" s="6" t="s">
        <v>94</v>
      </c>
      <c r="N441" s="6" t="s">
        <v>89</v>
      </c>
    </row>
    <row r="442" customFormat="false" ht="26.85" hidden="false" customHeight="false" outlineLevel="0" collapsed="false">
      <c r="A442" s="6" t="s">
        <v>1375</v>
      </c>
      <c r="B442" s="6" t="s">
        <v>1373</v>
      </c>
      <c r="C442" s="6" t="s">
        <v>81</v>
      </c>
      <c r="D442" s="7" t="s">
        <v>1376</v>
      </c>
      <c r="E442" s="7" t="s">
        <v>724</v>
      </c>
      <c r="F442" s="7" t="s">
        <v>962</v>
      </c>
      <c r="G442" s="6" t="s">
        <v>1377</v>
      </c>
      <c r="H442" s="6" t="n">
        <v>0.0735</v>
      </c>
      <c r="I442" s="8" t="n">
        <v>6</v>
      </c>
      <c r="J442" s="6"/>
      <c r="K442" s="6" t="s">
        <v>86</v>
      </c>
      <c r="L442" s="6" t="s">
        <v>87</v>
      </c>
      <c r="M442" s="6" t="s">
        <v>94</v>
      </c>
      <c r="N442" s="6" t="s">
        <v>89</v>
      </c>
    </row>
    <row r="443" customFormat="false" ht="26.85" hidden="false" customHeight="false" outlineLevel="0" collapsed="false">
      <c r="A443" s="6" t="s">
        <v>1378</v>
      </c>
      <c r="B443" s="6" t="s">
        <v>1373</v>
      </c>
      <c r="C443" s="6" t="s">
        <v>81</v>
      </c>
      <c r="D443" s="7" t="s">
        <v>1379</v>
      </c>
      <c r="E443" s="7" t="s">
        <v>724</v>
      </c>
      <c r="F443" s="7" t="s">
        <v>725</v>
      </c>
      <c r="G443" s="6" t="s">
        <v>726</v>
      </c>
      <c r="H443" s="6" t="n">
        <v>0.0882</v>
      </c>
      <c r="I443" s="8" t="n">
        <v>8</v>
      </c>
      <c r="J443" s="6"/>
      <c r="K443" s="6" t="s">
        <v>86</v>
      </c>
      <c r="L443" s="6" t="s">
        <v>87</v>
      </c>
      <c r="M443" s="6" t="s">
        <v>94</v>
      </c>
      <c r="N443" s="6" t="s">
        <v>89</v>
      </c>
    </row>
    <row r="444" customFormat="false" ht="15" hidden="false" customHeight="false" outlineLevel="0" collapsed="false">
      <c r="A444" s="6" t="s">
        <v>1380</v>
      </c>
      <c r="B444" s="6" t="s">
        <v>1373</v>
      </c>
      <c r="C444" s="6" t="s">
        <v>81</v>
      </c>
      <c r="D444" s="7" t="s">
        <v>1381</v>
      </c>
      <c r="E444" s="6" t="s">
        <v>729</v>
      </c>
      <c r="F444" s="7" t="s">
        <v>469</v>
      </c>
      <c r="G444" s="6" t="s">
        <v>1025</v>
      </c>
      <c r="H444" s="6" t="n">
        <v>0.0588</v>
      </c>
      <c r="I444" s="8" t="n">
        <v>8</v>
      </c>
      <c r="J444" s="6"/>
      <c r="K444" s="6" t="s">
        <v>86</v>
      </c>
      <c r="L444" s="6" t="s">
        <v>87</v>
      </c>
      <c r="M444" s="6" t="s">
        <v>88</v>
      </c>
      <c r="N444" s="6" t="s">
        <v>89</v>
      </c>
    </row>
    <row r="445" customFormat="false" ht="26.85" hidden="false" customHeight="false" outlineLevel="0" collapsed="false">
      <c r="A445" s="6" t="s">
        <v>1382</v>
      </c>
      <c r="B445" s="6" t="s">
        <v>1373</v>
      </c>
      <c r="C445" s="6" t="s">
        <v>81</v>
      </c>
      <c r="D445" s="7" t="s">
        <v>1383</v>
      </c>
      <c r="E445" s="6" t="s">
        <v>150</v>
      </c>
      <c r="F445" s="7" t="s">
        <v>1384</v>
      </c>
      <c r="G445" s="6" t="s">
        <v>1385</v>
      </c>
      <c r="H445" s="6" t="n">
        <v>0.0588</v>
      </c>
      <c r="I445" s="8" t="n">
        <v>8</v>
      </c>
      <c r="J445" s="6"/>
      <c r="K445" s="6" t="s">
        <v>86</v>
      </c>
      <c r="L445" s="6" t="s">
        <v>87</v>
      </c>
      <c r="M445" s="6" t="s">
        <v>94</v>
      </c>
      <c r="N445" s="6" t="s">
        <v>89</v>
      </c>
    </row>
    <row r="446" customFormat="false" ht="26.85" hidden="false" customHeight="false" outlineLevel="0" collapsed="false">
      <c r="A446" s="6" t="s">
        <v>1386</v>
      </c>
      <c r="B446" s="6" t="s">
        <v>1373</v>
      </c>
      <c r="C446" s="6" t="s">
        <v>81</v>
      </c>
      <c r="D446" s="7" t="s">
        <v>1387</v>
      </c>
      <c r="E446" s="6" t="s">
        <v>150</v>
      </c>
      <c r="F446" s="7" t="s">
        <v>1388</v>
      </c>
      <c r="G446" s="6" t="s">
        <v>1385</v>
      </c>
      <c r="H446" s="6" t="n">
        <v>0.0515</v>
      </c>
      <c r="I446" s="8" t="n">
        <v>8</v>
      </c>
      <c r="J446" s="6"/>
      <c r="K446" s="6" t="s">
        <v>86</v>
      </c>
      <c r="L446" s="6" t="s">
        <v>87</v>
      </c>
      <c r="M446" s="6" t="s">
        <v>94</v>
      </c>
      <c r="N446" s="6" t="s">
        <v>89</v>
      </c>
    </row>
    <row r="447" customFormat="false" ht="15" hidden="false" customHeight="false" outlineLevel="0" collapsed="false">
      <c r="A447" s="6" t="s">
        <v>1389</v>
      </c>
      <c r="B447" s="6" t="s">
        <v>1373</v>
      </c>
      <c r="C447" s="6" t="s">
        <v>81</v>
      </c>
      <c r="D447" s="7" t="s">
        <v>1390</v>
      </c>
      <c r="E447" s="7" t="s">
        <v>724</v>
      </c>
      <c r="F447" s="7" t="s">
        <v>305</v>
      </c>
      <c r="G447" s="7" t="s">
        <v>198</v>
      </c>
      <c r="H447" s="6" t="n">
        <v>0.0588</v>
      </c>
      <c r="I447" s="8" t="n">
        <v>8</v>
      </c>
      <c r="J447" s="6"/>
      <c r="K447" s="6" t="s">
        <v>86</v>
      </c>
      <c r="L447" s="6" t="s">
        <v>87</v>
      </c>
      <c r="M447" s="6" t="s">
        <v>88</v>
      </c>
      <c r="N447" s="6" t="s">
        <v>89</v>
      </c>
    </row>
    <row r="448" customFormat="false" ht="15" hidden="false" customHeight="false" outlineLevel="0" collapsed="false">
      <c r="A448" s="6" t="s">
        <v>1391</v>
      </c>
      <c r="B448" s="6" t="s">
        <v>1373</v>
      </c>
      <c r="C448" s="6" t="s">
        <v>108</v>
      </c>
      <c r="D448" s="7" t="s">
        <v>1392</v>
      </c>
      <c r="E448" s="6" t="s">
        <v>485</v>
      </c>
      <c r="F448" s="7" t="s">
        <v>744</v>
      </c>
      <c r="G448" s="7" t="s">
        <v>745</v>
      </c>
      <c r="H448" s="6" t="n">
        <v>0.0905</v>
      </c>
      <c r="I448" s="8" t="n">
        <v>6</v>
      </c>
      <c r="J448" s="6"/>
      <c r="K448" s="6" t="s">
        <v>86</v>
      </c>
      <c r="L448" s="6" t="s">
        <v>112</v>
      </c>
      <c r="M448" s="6" t="s">
        <v>213</v>
      </c>
      <c r="N448" s="6" t="s">
        <v>89</v>
      </c>
    </row>
    <row r="449" customFormat="false" ht="15" hidden="false" customHeight="false" outlineLevel="0" collapsed="false">
      <c r="A449" s="6" t="s">
        <v>1393</v>
      </c>
      <c r="B449" s="6" t="s">
        <v>1373</v>
      </c>
      <c r="C449" s="6" t="s">
        <v>108</v>
      </c>
      <c r="D449" s="7" t="s">
        <v>1394</v>
      </c>
      <c r="E449" s="7" t="s">
        <v>724</v>
      </c>
      <c r="F449" s="7" t="s">
        <v>278</v>
      </c>
      <c r="G449" s="7" t="s">
        <v>85</v>
      </c>
      <c r="H449" s="6" t="n">
        <v>0.0603</v>
      </c>
      <c r="I449" s="8" t="n">
        <v>8</v>
      </c>
      <c r="J449" s="6"/>
      <c r="K449" s="6" t="s">
        <v>86</v>
      </c>
      <c r="L449" s="6" t="s">
        <v>112</v>
      </c>
      <c r="M449" s="6" t="s">
        <v>213</v>
      </c>
      <c r="N449" s="6" t="s">
        <v>89</v>
      </c>
    </row>
    <row r="450" customFormat="false" ht="15" hidden="false" customHeight="false" outlineLevel="0" collapsed="false">
      <c r="A450" s="6" t="s">
        <v>1395</v>
      </c>
      <c r="B450" s="6" t="s">
        <v>1373</v>
      </c>
      <c r="C450" s="6" t="s">
        <v>108</v>
      </c>
      <c r="D450" s="7" t="s">
        <v>1396</v>
      </c>
      <c r="E450" s="7" t="s">
        <v>724</v>
      </c>
      <c r="F450" s="7" t="s">
        <v>270</v>
      </c>
      <c r="G450" s="7" t="s">
        <v>85</v>
      </c>
      <c r="H450" s="6" t="n">
        <v>0.0483</v>
      </c>
      <c r="I450" s="8" t="n">
        <v>8</v>
      </c>
      <c r="J450" s="6"/>
      <c r="K450" s="6" t="s">
        <v>86</v>
      </c>
      <c r="L450" s="6" t="s">
        <v>112</v>
      </c>
      <c r="M450" s="6" t="s">
        <v>213</v>
      </c>
      <c r="N450" s="6" t="s">
        <v>89</v>
      </c>
    </row>
    <row r="451" customFormat="false" ht="15" hidden="false" customHeight="false" outlineLevel="0" collapsed="false">
      <c r="A451" s="6" t="s">
        <v>1397</v>
      </c>
      <c r="B451" s="6" t="s">
        <v>1373</v>
      </c>
      <c r="C451" s="6" t="s">
        <v>108</v>
      </c>
      <c r="D451" s="7" t="s">
        <v>1398</v>
      </c>
      <c r="E451" s="6" t="s">
        <v>101</v>
      </c>
      <c r="F451" s="7" t="s">
        <v>240</v>
      </c>
      <c r="G451" s="7" t="s">
        <v>85</v>
      </c>
      <c r="H451" s="6" t="n">
        <v>0.0603</v>
      </c>
      <c r="I451" s="8" t="n">
        <v>8</v>
      </c>
      <c r="J451" s="6"/>
      <c r="K451" s="6" t="s">
        <v>86</v>
      </c>
      <c r="L451" s="6" t="s">
        <v>112</v>
      </c>
      <c r="M451" s="6" t="s">
        <v>88</v>
      </c>
      <c r="N451" s="6" t="s">
        <v>89</v>
      </c>
    </row>
    <row r="452" customFormat="false" ht="15" hidden="false" customHeight="false" outlineLevel="0" collapsed="false">
      <c r="A452" s="6" t="s">
        <v>1399</v>
      </c>
      <c r="B452" s="6" t="s">
        <v>1373</v>
      </c>
      <c r="C452" s="6" t="s">
        <v>108</v>
      </c>
      <c r="D452" s="7" t="s">
        <v>1400</v>
      </c>
      <c r="E452" s="6" t="s">
        <v>485</v>
      </c>
      <c r="F452" s="7" t="s">
        <v>503</v>
      </c>
      <c r="G452" s="7" t="s">
        <v>129</v>
      </c>
      <c r="H452" s="6" t="n">
        <v>0.0422</v>
      </c>
      <c r="I452" s="8" t="n">
        <v>8</v>
      </c>
      <c r="J452" s="6"/>
      <c r="K452" s="6" t="s">
        <v>86</v>
      </c>
      <c r="L452" s="6" t="s">
        <v>112</v>
      </c>
      <c r="M452" s="6" t="s">
        <v>213</v>
      </c>
      <c r="N452" s="6" t="s">
        <v>89</v>
      </c>
    </row>
    <row r="453" customFormat="false" ht="15" hidden="false" customHeight="false" outlineLevel="0" collapsed="false">
      <c r="A453" s="6" t="s">
        <v>1401</v>
      </c>
      <c r="B453" s="6" t="s">
        <v>1373</v>
      </c>
      <c r="C453" s="6" t="s">
        <v>108</v>
      </c>
      <c r="D453" s="7" t="s">
        <v>1402</v>
      </c>
      <c r="E453" s="7" t="s">
        <v>239</v>
      </c>
      <c r="F453" s="7" t="s">
        <v>1356</v>
      </c>
      <c r="G453" s="7" t="s">
        <v>85</v>
      </c>
      <c r="H453" s="6" t="n">
        <v>0.0483</v>
      </c>
      <c r="I453" s="8" t="n">
        <v>8</v>
      </c>
      <c r="J453" s="6"/>
      <c r="K453" s="6" t="s">
        <v>86</v>
      </c>
      <c r="L453" s="6" t="s">
        <v>112</v>
      </c>
      <c r="M453" s="6" t="s">
        <v>213</v>
      </c>
      <c r="N453" s="6" t="s">
        <v>89</v>
      </c>
    </row>
    <row r="454" customFormat="false" ht="26.85" hidden="false" customHeight="false" outlineLevel="0" collapsed="false">
      <c r="A454" s="6" t="s">
        <v>1403</v>
      </c>
      <c r="B454" s="6" t="s">
        <v>1373</v>
      </c>
      <c r="C454" s="6" t="s">
        <v>125</v>
      </c>
      <c r="D454" s="7" t="s">
        <v>1404</v>
      </c>
      <c r="E454" s="6" t="s">
        <v>127</v>
      </c>
      <c r="F454" s="7" t="s">
        <v>1405</v>
      </c>
      <c r="G454" s="7" t="s">
        <v>129</v>
      </c>
      <c r="H454" s="6" t="n">
        <v>0.0455</v>
      </c>
      <c r="I454" s="8" t="n">
        <v>4</v>
      </c>
      <c r="J454" s="6"/>
      <c r="K454" s="6" t="s">
        <v>86</v>
      </c>
      <c r="L454" s="6" t="s">
        <v>130</v>
      </c>
      <c r="M454" s="6" t="s">
        <v>94</v>
      </c>
      <c r="N454" s="6" t="s">
        <v>89</v>
      </c>
    </row>
    <row r="455" customFormat="false" ht="15" hidden="false" customHeight="false" outlineLevel="0" collapsed="false">
      <c r="A455" s="6" t="s">
        <v>1406</v>
      </c>
      <c r="B455" s="6" t="s">
        <v>1373</v>
      </c>
      <c r="C455" s="6" t="s">
        <v>125</v>
      </c>
      <c r="D455" s="7" t="s">
        <v>1407</v>
      </c>
      <c r="E455" s="6" t="s">
        <v>127</v>
      </c>
      <c r="F455" s="7" t="s">
        <v>232</v>
      </c>
      <c r="G455" s="6" t="s">
        <v>217</v>
      </c>
      <c r="H455" s="6" t="n">
        <v>0.0364</v>
      </c>
      <c r="I455" s="8" t="n">
        <v>4</v>
      </c>
      <c r="J455" s="6"/>
      <c r="K455" s="6" t="s">
        <v>86</v>
      </c>
      <c r="L455" s="6" t="s">
        <v>130</v>
      </c>
      <c r="M455" s="6" t="s">
        <v>131</v>
      </c>
      <c r="N455" s="6" t="s">
        <v>89</v>
      </c>
    </row>
    <row r="456" customFormat="false" ht="15" hidden="false" customHeight="false" outlineLevel="0" collapsed="false">
      <c r="A456" s="6" t="s">
        <v>1408</v>
      </c>
      <c r="B456" s="6" t="s">
        <v>1373</v>
      </c>
      <c r="C456" s="6" t="s">
        <v>125</v>
      </c>
      <c r="D456" s="7" t="s">
        <v>1409</v>
      </c>
      <c r="E456" s="7" t="s">
        <v>724</v>
      </c>
      <c r="F456" s="7" t="s">
        <v>408</v>
      </c>
      <c r="G456" s="7" t="s">
        <v>129</v>
      </c>
      <c r="H456" s="6" t="n">
        <v>0.0364</v>
      </c>
      <c r="I456" s="8" t="n">
        <v>4</v>
      </c>
      <c r="J456" s="6"/>
      <c r="K456" s="6" t="s">
        <v>86</v>
      </c>
      <c r="L456" s="6" t="s">
        <v>130</v>
      </c>
      <c r="M456" s="6" t="s">
        <v>131</v>
      </c>
      <c r="N456" s="6" t="s">
        <v>89</v>
      </c>
    </row>
    <row r="457" customFormat="false" ht="15" hidden="false" customHeight="false" outlineLevel="0" collapsed="false">
      <c r="A457" s="6" t="s">
        <v>1410</v>
      </c>
      <c r="B457" s="6" t="s">
        <v>1373</v>
      </c>
      <c r="C457" s="6" t="s">
        <v>125</v>
      </c>
      <c r="D457" s="7" t="s">
        <v>1411</v>
      </c>
      <c r="E457" s="6" t="s">
        <v>127</v>
      </c>
      <c r="F457" s="7" t="s">
        <v>503</v>
      </c>
      <c r="G457" s="7" t="s">
        <v>129</v>
      </c>
      <c r="H457" s="6" t="n">
        <v>0.0318</v>
      </c>
      <c r="I457" s="8" t="n">
        <v>6</v>
      </c>
      <c r="J457" s="6"/>
      <c r="K457" s="6" t="s">
        <v>86</v>
      </c>
      <c r="L457" s="6" t="s">
        <v>130</v>
      </c>
      <c r="M457" s="6" t="s">
        <v>168</v>
      </c>
      <c r="N457" s="6" t="s">
        <v>89</v>
      </c>
    </row>
    <row r="458" customFormat="false" ht="15" hidden="false" customHeight="false" outlineLevel="0" collapsed="false">
      <c r="A458" s="6" t="s">
        <v>1412</v>
      </c>
      <c r="B458" s="6" t="s">
        <v>1413</v>
      </c>
      <c r="C458" s="6" t="s">
        <v>81</v>
      </c>
      <c r="D458" s="7" t="s">
        <v>1414</v>
      </c>
      <c r="E458" s="6" t="s">
        <v>737</v>
      </c>
      <c r="F458" s="7" t="s">
        <v>538</v>
      </c>
      <c r="G458" s="7" t="s">
        <v>487</v>
      </c>
      <c r="H458" s="6" t="n">
        <v>0.0964</v>
      </c>
      <c r="I458" s="8" t="n">
        <v>10</v>
      </c>
      <c r="J458" s="6"/>
      <c r="K458" s="6" t="s">
        <v>86</v>
      </c>
      <c r="L458" s="6" t="s">
        <v>87</v>
      </c>
      <c r="M458" s="6" t="s">
        <v>279</v>
      </c>
      <c r="N458" s="6" t="s">
        <v>89</v>
      </c>
    </row>
    <row r="459" customFormat="false" ht="26.85" hidden="false" customHeight="false" outlineLevel="0" collapsed="false">
      <c r="A459" s="6" t="s">
        <v>1415</v>
      </c>
      <c r="B459" s="6" t="s">
        <v>1413</v>
      </c>
      <c r="C459" s="6" t="s">
        <v>81</v>
      </c>
      <c r="D459" s="7" t="s">
        <v>1416</v>
      </c>
      <c r="E459" s="6" t="s">
        <v>1417</v>
      </c>
      <c r="F459" s="7" t="s">
        <v>1418</v>
      </c>
      <c r="G459" s="6" t="s">
        <v>1419</v>
      </c>
      <c r="H459" s="6" t="n">
        <v>0.0771</v>
      </c>
      <c r="I459" s="8" t="n">
        <v>10</v>
      </c>
      <c r="J459" s="6"/>
      <c r="K459" s="6" t="s">
        <v>86</v>
      </c>
      <c r="L459" s="6" t="s">
        <v>87</v>
      </c>
      <c r="M459" s="6" t="s">
        <v>94</v>
      </c>
      <c r="N459" s="6" t="s">
        <v>89</v>
      </c>
    </row>
    <row r="460" customFormat="false" ht="26.85" hidden="false" customHeight="false" outlineLevel="0" collapsed="false">
      <c r="A460" s="6" t="s">
        <v>1420</v>
      </c>
      <c r="B460" s="6" t="s">
        <v>1413</v>
      </c>
      <c r="C460" s="6" t="s">
        <v>81</v>
      </c>
      <c r="D460" s="7" t="s">
        <v>1421</v>
      </c>
      <c r="E460" s="6" t="s">
        <v>201</v>
      </c>
      <c r="F460" s="7" t="s">
        <v>312</v>
      </c>
      <c r="G460" s="7" t="s">
        <v>85</v>
      </c>
      <c r="H460" s="6" t="n">
        <v>0.0643</v>
      </c>
      <c r="I460" s="8" t="n">
        <v>8</v>
      </c>
      <c r="J460" s="6"/>
      <c r="K460" s="6" t="s">
        <v>86</v>
      </c>
      <c r="L460" s="6" t="s">
        <v>87</v>
      </c>
      <c r="M460" s="6" t="s">
        <v>94</v>
      </c>
      <c r="N460" s="6" t="s">
        <v>89</v>
      </c>
    </row>
    <row r="461" customFormat="false" ht="15" hidden="false" customHeight="false" outlineLevel="0" collapsed="false">
      <c r="A461" s="6" t="s">
        <v>1422</v>
      </c>
      <c r="B461" s="6" t="s">
        <v>1413</v>
      </c>
      <c r="C461" s="6" t="s">
        <v>81</v>
      </c>
      <c r="D461" s="7" t="s">
        <v>1423</v>
      </c>
      <c r="E461" s="6" t="s">
        <v>1424</v>
      </c>
      <c r="F461" s="7" t="s">
        <v>208</v>
      </c>
      <c r="G461" s="7" t="s">
        <v>487</v>
      </c>
      <c r="H461" s="6" t="n">
        <v>0.0643</v>
      </c>
      <c r="I461" s="8" t="n">
        <v>10</v>
      </c>
      <c r="J461" s="6"/>
      <c r="K461" s="6" t="s">
        <v>86</v>
      </c>
      <c r="L461" s="6" t="s">
        <v>87</v>
      </c>
      <c r="M461" s="6" t="s">
        <v>279</v>
      </c>
      <c r="N461" s="6" t="s">
        <v>89</v>
      </c>
    </row>
    <row r="462" customFormat="false" ht="15" hidden="false" customHeight="false" outlineLevel="0" collapsed="false">
      <c r="A462" s="6" t="s">
        <v>1425</v>
      </c>
      <c r="B462" s="6" t="s">
        <v>1413</v>
      </c>
      <c r="C462" s="6" t="s">
        <v>81</v>
      </c>
      <c r="D462" s="7" t="s">
        <v>1426</v>
      </c>
      <c r="E462" s="6" t="s">
        <v>485</v>
      </c>
      <c r="F462" s="7" t="s">
        <v>449</v>
      </c>
      <c r="G462" s="7" t="s">
        <v>487</v>
      </c>
      <c r="H462" s="6" t="n">
        <v>0.0514</v>
      </c>
      <c r="I462" s="8" t="n">
        <v>8</v>
      </c>
      <c r="J462" s="6"/>
      <c r="K462" s="6" t="s">
        <v>86</v>
      </c>
      <c r="L462" s="6" t="s">
        <v>87</v>
      </c>
      <c r="M462" s="6" t="s">
        <v>279</v>
      </c>
      <c r="N462" s="6" t="s">
        <v>89</v>
      </c>
    </row>
    <row r="463" customFormat="false" ht="15" hidden="false" customHeight="false" outlineLevel="0" collapsed="false">
      <c r="A463" s="6" t="s">
        <v>1427</v>
      </c>
      <c r="B463" s="6" t="s">
        <v>1413</v>
      </c>
      <c r="C463" s="6" t="s">
        <v>81</v>
      </c>
      <c r="D463" s="7" t="s">
        <v>1428</v>
      </c>
      <c r="E463" s="6" t="s">
        <v>768</v>
      </c>
      <c r="F463" s="7" t="s">
        <v>93</v>
      </c>
      <c r="G463" s="7" t="s">
        <v>85</v>
      </c>
      <c r="H463" s="6" t="n">
        <v>0.0514</v>
      </c>
      <c r="I463" s="8" t="n">
        <v>8</v>
      </c>
      <c r="J463" s="6"/>
      <c r="K463" s="6" t="s">
        <v>86</v>
      </c>
      <c r="L463" s="6" t="s">
        <v>87</v>
      </c>
      <c r="M463" s="6" t="s">
        <v>279</v>
      </c>
      <c r="N463" s="6" t="s">
        <v>89</v>
      </c>
    </row>
    <row r="464" customFormat="false" ht="15" hidden="false" customHeight="false" outlineLevel="0" collapsed="false">
      <c r="A464" s="6" t="s">
        <v>1429</v>
      </c>
      <c r="B464" s="6" t="s">
        <v>1413</v>
      </c>
      <c r="C464" s="6" t="s">
        <v>81</v>
      </c>
      <c r="D464" s="7" t="s">
        <v>1430</v>
      </c>
      <c r="E464" s="6" t="s">
        <v>1159</v>
      </c>
      <c r="F464" s="7" t="s">
        <v>308</v>
      </c>
      <c r="G464" s="7" t="s">
        <v>198</v>
      </c>
      <c r="H464" s="6" t="n">
        <v>0.045</v>
      </c>
      <c r="I464" s="8" t="n">
        <v>8</v>
      </c>
      <c r="J464" s="6"/>
      <c r="K464" s="6" t="s">
        <v>86</v>
      </c>
      <c r="L464" s="6" t="s">
        <v>87</v>
      </c>
      <c r="M464" s="6" t="s">
        <v>88</v>
      </c>
      <c r="N464" s="6" t="s">
        <v>89</v>
      </c>
    </row>
    <row r="465" customFormat="false" ht="15" hidden="false" customHeight="false" outlineLevel="0" collapsed="false">
      <c r="A465" s="6" t="s">
        <v>1431</v>
      </c>
      <c r="B465" s="6" t="s">
        <v>1413</v>
      </c>
      <c r="C465" s="6" t="s">
        <v>108</v>
      </c>
      <c r="D465" s="7" t="s">
        <v>1432</v>
      </c>
      <c r="E465" s="6" t="s">
        <v>485</v>
      </c>
      <c r="F465" s="7" t="s">
        <v>302</v>
      </c>
      <c r="G465" s="7" t="s">
        <v>745</v>
      </c>
      <c r="H465" s="6" t="n">
        <v>0.0905</v>
      </c>
      <c r="I465" s="8" t="n">
        <v>6</v>
      </c>
      <c r="J465" s="6"/>
      <c r="K465" s="6" t="s">
        <v>86</v>
      </c>
      <c r="L465" s="6" t="s">
        <v>112</v>
      </c>
      <c r="M465" s="6" t="s">
        <v>213</v>
      </c>
      <c r="N465" s="6" t="s">
        <v>89</v>
      </c>
    </row>
    <row r="466" customFormat="false" ht="15" hidden="false" customHeight="false" outlineLevel="0" collapsed="false">
      <c r="A466" s="6" t="s">
        <v>1433</v>
      </c>
      <c r="B466" s="6" t="s">
        <v>1413</v>
      </c>
      <c r="C466" s="6" t="s">
        <v>108</v>
      </c>
      <c r="D466" s="7" t="s">
        <v>1434</v>
      </c>
      <c r="E466" s="6" t="s">
        <v>1435</v>
      </c>
      <c r="F466" s="7" t="s">
        <v>270</v>
      </c>
      <c r="G466" s="7" t="s">
        <v>85</v>
      </c>
      <c r="H466" s="6" t="n">
        <v>0.0603</v>
      </c>
      <c r="I466" s="8" t="n">
        <v>8</v>
      </c>
      <c r="J466" s="6"/>
      <c r="K466" s="6" t="s">
        <v>86</v>
      </c>
      <c r="L466" s="6" t="s">
        <v>112</v>
      </c>
      <c r="M466" s="6" t="s">
        <v>213</v>
      </c>
      <c r="N466" s="6" t="s">
        <v>89</v>
      </c>
    </row>
    <row r="467" customFormat="false" ht="15" hidden="false" customHeight="false" outlineLevel="0" collapsed="false">
      <c r="A467" s="6" t="s">
        <v>1436</v>
      </c>
      <c r="B467" s="6" t="s">
        <v>1413</v>
      </c>
      <c r="C467" s="6" t="s">
        <v>108</v>
      </c>
      <c r="D467" s="7" t="s">
        <v>1437</v>
      </c>
      <c r="E467" s="6" t="s">
        <v>485</v>
      </c>
      <c r="F467" s="7" t="s">
        <v>240</v>
      </c>
      <c r="G467" s="7" t="s">
        <v>85</v>
      </c>
      <c r="H467" s="6" t="n">
        <v>0.0603</v>
      </c>
      <c r="I467" s="8" t="n">
        <v>8</v>
      </c>
      <c r="J467" s="6"/>
      <c r="K467" s="6" t="s">
        <v>86</v>
      </c>
      <c r="L467" s="6" t="s">
        <v>112</v>
      </c>
      <c r="M467" s="6" t="s">
        <v>88</v>
      </c>
      <c r="N467" s="6" t="s">
        <v>89</v>
      </c>
    </row>
    <row r="468" customFormat="false" ht="15" hidden="false" customHeight="false" outlineLevel="0" collapsed="false">
      <c r="A468" s="6" t="s">
        <v>1438</v>
      </c>
      <c r="B468" s="6" t="s">
        <v>1413</v>
      </c>
      <c r="C468" s="6" t="s">
        <v>108</v>
      </c>
      <c r="D468" s="7" t="s">
        <v>1439</v>
      </c>
      <c r="E468" s="6" t="s">
        <v>485</v>
      </c>
      <c r="F468" s="7" t="s">
        <v>1440</v>
      </c>
      <c r="G468" s="7" t="s">
        <v>129</v>
      </c>
      <c r="H468" s="6" t="n">
        <v>0.0483</v>
      </c>
      <c r="I468" s="8" t="n">
        <v>8</v>
      </c>
      <c r="J468" s="6"/>
      <c r="K468" s="6" t="s">
        <v>86</v>
      </c>
      <c r="L468" s="6" t="s">
        <v>112</v>
      </c>
      <c r="M468" s="6" t="s">
        <v>131</v>
      </c>
      <c r="N468" s="6" t="s">
        <v>89</v>
      </c>
    </row>
    <row r="469" customFormat="false" ht="15" hidden="false" customHeight="false" outlineLevel="0" collapsed="false">
      <c r="A469" s="6" t="s">
        <v>1441</v>
      </c>
      <c r="B469" s="6" t="s">
        <v>1413</v>
      </c>
      <c r="C469" s="6" t="s">
        <v>108</v>
      </c>
      <c r="D469" s="7" t="s">
        <v>1442</v>
      </c>
      <c r="E469" s="6" t="s">
        <v>485</v>
      </c>
      <c r="F469" s="7" t="s">
        <v>335</v>
      </c>
      <c r="G469" s="7" t="s">
        <v>745</v>
      </c>
      <c r="H469" s="6" t="n">
        <v>0.0483</v>
      </c>
      <c r="I469" s="8" t="n">
        <v>6</v>
      </c>
      <c r="J469" s="6"/>
      <c r="K469" s="6" t="s">
        <v>86</v>
      </c>
      <c r="L469" s="6" t="s">
        <v>112</v>
      </c>
      <c r="M469" s="6" t="s">
        <v>213</v>
      </c>
      <c r="N469" s="6" t="s">
        <v>89</v>
      </c>
    </row>
    <row r="470" customFormat="false" ht="15" hidden="false" customHeight="false" outlineLevel="0" collapsed="false">
      <c r="A470" s="6" t="s">
        <v>1443</v>
      </c>
      <c r="B470" s="6" t="s">
        <v>1413</v>
      </c>
      <c r="C470" s="6" t="s">
        <v>108</v>
      </c>
      <c r="D470" s="7" t="s">
        <v>1444</v>
      </c>
      <c r="E470" s="6" t="s">
        <v>101</v>
      </c>
      <c r="F470" s="7" t="s">
        <v>624</v>
      </c>
      <c r="G470" s="7" t="s">
        <v>85</v>
      </c>
      <c r="H470" s="6" t="n">
        <v>0.0422</v>
      </c>
      <c r="I470" s="8" t="n">
        <v>8</v>
      </c>
      <c r="J470" s="6"/>
      <c r="K470" s="6" t="s">
        <v>86</v>
      </c>
      <c r="L470" s="6" t="s">
        <v>112</v>
      </c>
      <c r="M470" s="6" t="s">
        <v>88</v>
      </c>
      <c r="N470" s="6" t="s">
        <v>89</v>
      </c>
    </row>
    <row r="471" customFormat="false" ht="26.85" hidden="false" customHeight="false" outlineLevel="0" collapsed="false">
      <c r="A471" s="6" t="s">
        <v>1445</v>
      </c>
      <c r="B471" s="6" t="s">
        <v>1413</v>
      </c>
      <c r="C471" s="6" t="s">
        <v>125</v>
      </c>
      <c r="D471" s="7" t="s">
        <v>1446</v>
      </c>
      <c r="E471" s="6" t="s">
        <v>127</v>
      </c>
      <c r="F471" s="7" t="s">
        <v>1447</v>
      </c>
      <c r="G471" s="7" t="s">
        <v>129</v>
      </c>
      <c r="H471" s="6" t="n">
        <v>0.0606</v>
      </c>
      <c r="I471" s="8" t="n">
        <v>8</v>
      </c>
      <c r="J471" s="6"/>
      <c r="K471" s="6" t="s">
        <v>86</v>
      </c>
      <c r="L471" s="6" t="s">
        <v>130</v>
      </c>
      <c r="M471" s="6" t="s">
        <v>94</v>
      </c>
      <c r="N471" s="6" t="s">
        <v>89</v>
      </c>
    </row>
    <row r="472" customFormat="false" ht="15" hidden="false" customHeight="false" outlineLevel="0" collapsed="false">
      <c r="A472" s="6" t="s">
        <v>1448</v>
      </c>
      <c r="B472" s="6" t="s">
        <v>1413</v>
      </c>
      <c r="C472" s="6" t="s">
        <v>125</v>
      </c>
      <c r="D472" s="7" t="s">
        <v>1449</v>
      </c>
      <c r="E472" s="6" t="s">
        <v>127</v>
      </c>
      <c r="F472" s="7" t="s">
        <v>216</v>
      </c>
      <c r="G472" s="6" t="s">
        <v>217</v>
      </c>
      <c r="H472" s="6" t="n">
        <v>0.0485</v>
      </c>
      <c r="I472" s="8" t="n">
        <v>6</v>
      </c>
      <c r="J472" s="6"/>
      <c r="K472" s="6" t="s">
        <v>86</v>
      </c>
      <c r="L472" s="6" t="s">
        <v>130</v>
      </c>
      <c r="M472" s="6" t="s">
        <v>131</v>
      </c>
      <c r="N472" s="6" t="s">
        <v>89</v>
      </c>
    </row>
    <row r="473" customFormat="false" ht="15" hidden="false" customHeight="false" outlineLevel="0" collapsed="false">
      <c r="A473" s="6" t="s">
        <v>1450</v>
      </c>
      <c r="B473" s="6" t="s">
        <v>1413</v>
      </c>
      <c r="C473" s="6" t="s">
        <v>125</v>
      </c>
      <c r="D473" s="7" t="s">
        <v>1451</v>
      </c>
      <c r="E473" s="6" t="s">
        <v>127</v>
      </c>
      <c r="F473" s="7" t="s">
        <v>888</v>
      </c>
      <c r="G473" s="6" t="s">
        <v>167</v>
      </c>
      <c r="H473" s="6" t="n">
        <v>0.0485</v>
      </c>
      <c r="I473" s="8" t="n">
        <v>6</v>
      </c>
      <c r="J473" s="6"/>
      <c r="K473" s="6" t="s">
        <v>86</v>
      </c>
      <c r="L473" s="6" t="s">
        <v>130</v>
      </c>
      <c r="M473" s="6" t="s">
        <v>168</v>
      </c>
      <c r="N473" s="6" t="s">
        <v>89</v>
      </c>
    </row>
    <row r="474" customFormat="false" ht="15" hidden="false" customHeight="false" outlineLevel="0" collapsed="false">
      <c r="A474" s="6" t="s">
        <v>1452</v>
      </c>
      <c r="B474" s="6" t="s">
        <v>1413</v>
      </c>
      <c r="C474" s="6" t="s">
        <v>125</v>
      </c>
      <c r="D474" s="7" t="s">
        <v>1453</v>
      </c>
      <c r="E474" s="6" t="s">
        <v>127</v>
      </c>
      <c r="F474" s="7" t="s">
        <v>503</v>
      </c>
      <c r="G474" s="7" t="s">
        <v>129</v>
      </c>
      <c r="H474" s="6" t="n">
        <v>0.0424</v>
      </c>
      <c r="I474" s="8" t="n">
        <v>6</v>
      </c>
      <c r="J474" s="6"/>
      <c r="K474" s="6" t="s">
        <v>86</v>
      </c>
      <c r="L474" s="6" t="s">
        <v>130</v>
      </c>
      <c r="M474" s="6" t="s">
        <v>168</v>
      </c>
      <c r="N474" s="6" t="s">
        <v>89</v>
      </c>
    </row>
    <row r="475" customFormat="false" ht="15" hidden="false" customHeight="false" outlineLevel="0" collapsed="false">
      <c r="A475" s="6" t="s">
        <v>1454</v>
      </c>
      <c r="B475" s="6" t="s">
        <v>1455</v>
      </c>
      <c r="C475" s="6" t="s">
        <v>81</v>
      </c>
      <c r="D475" s="7" t="s">
        <v>1456</v>
      </c>
      <c r="E475" s="7" t="s">
        <v>1457</v>
      </c>
      <c r="F475" s="7" t="s">
        <v>408</v>
      </c>
      <c r="G475" s="7" t="s">
        <v>1185</v>
      </c>
      <c r="H475" s="6" t="n">
        <v>0.0925</v>
      </c>
      <c r="I475" s="8" t="n">
        <v>10</v>
      </c>
      <c r="J475" s="6"/>
      <c r="K475" s="6" t="s">
        <v>86</v>
      </c>
      <c r="L475" s="6" t="s">
        <v>87</v>
      </c>
      <c r="M475" s="6" t="s">
        <v>279</v>
      </c>
      <c r="N475" s="6" t="s">
        <v>89</v>
      </c>
    </row>
    <row r="476" customFormat="false" ht="26.85" hidden="false" customHeight="false" outlineLevel="0" collapsed="false">
      <c r="A476" s="6" t="s">
        <v>1458</v>
      </c>
      <c r="B476" s="6" t="s">
        <v>1455</v>
      </c>
      <c r="C476" s="6" t="s">
        <v>81</v>
      </c>
      <c r="D476" s="7" t="s">
        <v>1459</v>
      </c>
      <c r="E476" s="7" t="s">
        <v>750</v>
      </c>
      <c r="F476" s="7" t="s">
        <v>1460</v>
      </c>
      <c r="G476" s="6" t="s">
        <v>734</v>
      </c>
      <c r="H476" s="6" t="n">
        <v>0.074</v>
      </c>
      <c r="I476" s="8" t="n">
        <v>10</v>
      </c>
      <c r="J476" s="6"/>
      <c r="K476" s="6" t="s">
        <v>86</v>
      </c>
      <c r="L476" s="6" t="s">
        <v>87</v>
      </c>
      <c r="M476" s="6" t="s">
        <v>94</v>
      </c>
      <c r="N476" s="6" t="s">
        <v>89</v>
      </c>
    </row>
    <row r="477" customFormat="false" ht="26.85" hidden="false" customHeight="false" outlineLevel="0" collapsed="false">
      <c r="A477" s="6" t="s">
        <v>1461</v>
      </c>
      <c r="B477" s="6" t="s">
        <v>1455</v>
      </c>
      <c r="C477" s="6" t="s">
        <v>81</v>
      </c>
      <c r="D477" s="7" t="s">
        <v>732</v>
      </c>
      <c r="E477" s="7" t="s">
        <v>231</v>
      </c>
      <c r="F477" s="7" t="s">
        <v>733</v>
      </c>
      <c r="G477" s="6" t="s">
        <v>734</v>
      </c>
      <c r="H477" s="6" t="n">
        <v>0.0616</v>
      </c>
      <c r="I477" s="8" t="n">
        <v>8</v>
      </c>
      <c r="J477" s="6"/>
      <c r="K477" s="6" t="s">
        <v>86</v>
      </c>
      <c r="L477" s="6" t="s">
        <v>87</v>
      </c>
      <c r="M477" s="6" t="s">
        <v>94</v>
      </c>
      <c r="N477" s="6" t="s">
        <v>89</v>
      </c>
    </row>
    <row r="478" customFormat="false" ht="15" hidden="false" customHeight="false" outlineLevel="0" collapsed="false">
      <c r="A478" s="6" t="s">
        <v>1462</v>
      </c>
      <c r="B478" s="6" t="s">
        <v>1455</v>
      </c>
      <c r="C478" s="6" t="s">
        <v>81</v>
      </c>
      <c r="D478" s="7" t="s">
        <v>1463</v>
      </c>
      <c r="E478" s="6" t="s">
        <v>485</v>
      </c>
      <c r="F478" s="7" t="s">
        <v>208</v>
      </c>
      <c r="G478" s="7" t="s">
        <v>487</v>
      </c>
      <c r="H478" s="6" t="n">
        <v>0.0616</v>
      </c>
      <c r="I478" s="8" t="n">
        <v>10</v>
      </c>
      <c r="J478" s="6"/>
      <c r="K478" s="6" t="s">
        <v>86</v>
      </c>
      <c r="L478" s="6" t="s">
        <v>87</v>
      </c>
      <c r="M478" s="6" t="s">
        <v>279</v>
      </c>
      <c r="N478" s="6" t="s">
        <v>89</v>
      </c>
    </row>
    <row r="479" customFormat="false" ht="15" hidden="false" customHeight="false" outlineLevel="0" collapsed="false">
      <c r="A479" s="6" t="s">
        <v>1464</v>
      </c>
      <c r="B479" s="6" t="s">
        <v>1455</v>
      </c>
      <c r="C479" s="6" t="s">
        <v>81</v>
      </c>
      <c r="D479" s="7" t="s">
        <v>1465</v>
      </c>
      <c r="E479" s="6" t="s">
        <v>1466</v>
      </c>
      <c r="F479" s="7" t="s">
        <v>677</v>
      </c>
      <c r="G479" s="6" t="s">
        <v>1096</v>
      </c>
      <c r="H479" s="6" t="n">
        <v>0.0493</v>
      </c>
      <c r="I479" s="8" t="n">
        <v>10</v>
      </c>
      <c r="J479" s="6"/>
      <c r="K479" s="6" t="s">
        <v>86</v>
      </c>
      <c r="L479" s="6" t="s">
        <v>87</v>
      </c>
      <c r="M479" s="6" t="s">
        <v>279</v>
      </c>
      <c r="N479" s="6" t="s">
        <v>89</v>
      </c>
    </row>
    <row r="480" customFormat="false" ht="15" hidden="false" customHeight="false" outlineLevel="0" collapsed="false">
      <c r="A480" s="6" t="s">
        <v>1467</v>
      </c>
      <c r="B480" s="6" t="s">
        <v>1455</v>
      </c>
      <c r="C480" s="6" t="s">
        <v>81</v>
      </c>
      <c r="D480" s="7" t="s">
        <v>1468</v>
      </c>
      <c r="E480" s="6" t="s">
        <v>1159</v>
      </c>
      <c r="F480" s="7" t="s">
        <v>1405</v>
      </c>
      <c r="G480" s="7" t="s">
        <v>129</v>
      </c>
      <c r="H480" s="6" t="n">
        <v>0.0616</v>
      </c>
      <c r="I480" s="8" t="n">
        <v>8</v>
      </c>
      <c r="J480" s="6"/>
      <c r="K480" s="6" t="s">
        <v>86</v>
      </c>
      <c r="L480" s="6" t="s">
        <v>87</v>
      </c>
      <c r="M480" s="6" t="s">
        <v>131</v>
      </c>
      <c r="N480" s="6" t="s">
        <v>89</v>
      </c>
    </row>
    <row r="481" customFormat="false" ht="15" hidden="false" customHeight="false" outlineLevel="0" collapsed="false">
      <c r="A481" s="6" t="s">
        <v>1469</v>
      </c>
      <c r="B481" s="6" t="s">
        <v>1455</v>
      </c>
      <c r="C481" s="6" t="s">
        <v>81</v>
      </c>
      <c r="D481" s="7" t="s">
        <v>1470</v>
      </c>
      <c r="E481" s="6" t="s">
        <v>1471</v>
      </c>
      <c r="F481" s="7" t="s">
        <v>806</v>
      </c>
      <c r="G481" s="7" t="s">
        <v>85</v>
      </c>
      <c r="H481" s="6" t="n">
        <v>0.0493</v>
      </c>
      <c r="I481" s="8" t="n">
        <v>8</v>
      </c>
      <c r="J481" s="6"/>
      <c r="K481" s="6" t="s">
        <v>86</v>
      </c>
      <c r="L481" s="6" t="s">
        <v>87</v>
      </c>
      <c r="M481" s="6" t="s">
        <v>279</v>
      </c>
      <c r="N481" s="6" t="s">
        <v>89</v>
      </c>
    </row>
    <row r="482" customFormat="false" ht="15" hidden="false" customHeight="false" outlineLevel="0" collapsed="false">
      <c r="A482" s="6" t="s">
        <v>1472</v>
      </c>
      <c r="B482" s="6" t="s">
        <v>1455</v>
      </c>
      <c r="C482" s="6" t="s">
        <v>108</v>
      </c>
      <c r="D482" s="7" t="s">
        <v>1473</v>
      </c>
      <c r="E482" s="7" t="s">
        <v>750</v>
      </c>
      <c r="F482" s="7" t="s">
        <v>166</v>
      </c>
      <c r="G482" s="7" t="s">
        <v>751</v>
      </c>
      <c r="H482" s="6" t="n">
        <v>0.0905</v>
      </c>
      <c r="I482" s="8" t="n">
        <v>6</v>
      </c>
      <c r="J482" s="6"/>
      <c r="K482" s="6" t="s">
        <v>86</v>
      </c>
      <c r="L482" s="6" t="s">
        <v>112</v>
      </c>
      <c r="M482" s="6" t="s">
        <v>213</v>
      </c>
      <c r="N482" s="6" t="s">
        <v>89</v>
      </c>
    </row>
    <row r="483" customFormat="false" ht="15" hidden="false" customHeight="false" outlineLevel="0" collapsed="false">
      <c r="A483" s="6" t="s">
        <v>1474</v>
      </c>
      <c r="B483" s="6" t="s">
        <v>1455</v>
      </c>
      <c r="C483" s="6" t="s">
        <v>108</v>
      </c>
      <c r="D483" s="7" t="s">
        <v>1475</v>
      </c>
      <c r="E483" s="6" t="s">
        <v>485</v>
      </c>
      <c r="F483" s="7" t="s">
        <v>633</v>
      </c>
      <c r="G483" s="7" t="s">
        <v>751</v>
      </c>
      <c r="H483" s="6" t="n">
        <v>0.0603</v>
      </c>
      <c r="I483" s="8" t="n">
        <v>6</v>
      </c>
      <c r="J483" s="6"/>
      <c r="K483" s="6" t="s">
        <v>86</v>
      </c>
      <c r="L483" s="6" t="s">
        <v>112</v>
      </c>
      <c r="M483" s="6" t="s">
        <v>88</v>
      </c>
      <c r="N483" s="6" t="s">
        <v>89</v>
      </c>
    </row>
    <row r="484" customFormat="false" ht="15" hidden="false" customHeight="false" outlineLevel="0" collapsed="false">
      <c r="A484" s="6" t="s">
        <v>1476</v>
      </c>
      <c r="B484" s="6" t="s">
        <v>1455</v>
      </c>
      <c r="C484" s="6" t="s">
        <v>108</v>
      </c>
      <c r="D484" s="7" t="s">
        <v>1477</v>
      </c>
      <c r="E484" s="6" t="s">
        <v>1159</v>
      </c>
      <c r="F484" s="7" t="s">
        <v>335</v>
      </c>
      <c r="G484" s="7" t="s">
        <v>129</v>
      </c>
      <c r="H484" s="6" t="n">
        <v>0.0603</v>
      </c>
      <c r="I484" s="8" t="n">
        <v>6</v>
      </c>
      <c r="J484" s="6"/>
      <c r="K484" s="6" t="s">
        <v>86</v>
      </c>
      <c r="L484" s="6" t="s">
        <v>112</v>
      </c>
      <c r="M484" s="6" t="s">
        <v>88</v>
      </c>
      <c r="N484" s="6" t="s">
        <v>89</v>
      </c>
    </row>
    <row r="485" customFormat="false" ht="15" hidden="false" customHeight="false" outlineLevel="0" collapsed="false">
      <c r="A485" s="6" t="s">
        <v>1478</v>
      </c>
      <c r="B485" s="6" t="s">
        <v>1455</v>
      </c>
      <c r="C485" s="6" t="s">
        <v>108</v>
      </c>
      <c r="D485" s="7" t="s">
        <v>1479</v>
      </c>
      <c r="E485" s="6" t="s">
        <v>101</v>
      </c>
      <c r="F485" s="7" t="s">
        <v>806</v>
      </c>
      <c r="G485" s="7" t="s">
        <v>85</v>
      </c>
      <c r="H485" s="6" t="n">
        <v>0.0483</v>
      </c>
      <c r="I485" s="8" t="n">
        <v>10</v>
      </c>
      <c r="J485" s="6"/>
      <c r="K485" s="6" t="s">
        <v>86</v>
      </c>
      <c r="L485" s="6" t="s">
        <v>112</v>
      </c>
      <c r="M485" s="6" t="s">
        <v>88</v>
      </c>
      <c r="N485" s="6" t="s">
        <v>89</v>
      </c>
    </row>
    <row r="486" customFormat="false" ht="15" hidden="false" customHeight="false" outlineLevel="0" collapsed="false">
      <c r="A486" s="6" t="s">
        <v>1480</v>
      </c>
      <c r="B486" s="6" t="s">
        <v>1455</v>
      </c>
      <c r="C486" s="6" t="s">
        <v>108</v>
      </c>
      <c r="D486" s="7" t="s">
        <v>1481</v>
      </c>
      <c r="E486" s="6" t="s">
        <v>485</v>
      </c>
      <c r="F486" s="7" t="s">
        <v>1233</v>
      </c>
      <c r="G486" s="7" t="s">
        <v>129</v>
      </c>
      <c r="H486" s="6" t="n">
        <v>0.0483</v>
      </c>
      <c r="I486" s="8" t="n">
        <v>8</v>
      </c>
      <c r="J486" s="6"/>
      <c r="K486" s="6" t="s">
        <v>86</v>
      </c>
      <c r="L486" s="6" t="s">
        <v>112</v>
      </c>
      <c r="M486" s="6" t="s">
        <v>88</v>
      </c>
      <c r="N486" s="6" t="s">
        <v>89</v>
      </c>
    </row>
    <row r="487" customFormat="false" ht="15" hidden="false" customHeight="false" outlineLevel="0" collapsed="false">
      <c r="A487" s="6" t="s">
        <v>1482</v>
      </c>
      <c r="B487" s="6" t="s">
        <v>1455</v>
      </c>
      <c r="C487" s="6" t="s">
        <v>108</v>
      </c>
      <c r="D487" s="7" t="s">
        <v>1483</v>
      </c>
      <c r="E487" s="7" t="s">
        <v>750</v>
      </c>
      <c r="F487" s="7" t="s">
        <v>1141</v>
      </c>
      <c r="G487" s="7" t="s">
        <v>1185</v>
      </c>
      <c r="H487" s="6" t="n">
        <v>0.0422</v>
      </c>
      <c r="I487" s="8" t="n">
        <v>8</v>
      </c>
      <c r="J487" s="6"/>
      <c r="K487" s="6" t="s">
        <v>86</v>
      </c>
      <c r="L487" s="6" t="s">
        <v>112</v>
      </c>
      <c r="M487" s="6" t="s">
        <v>88</v>
      </c>
      <c r="N487" s="6" t="s">
        <v>89</v>
      </c>
    </row>
    <row r="488" customFormat="false" ht="26.85" hidden="false" customHeight="false" outlineLevel="0" collapsed="false">
      <c r="A488" s="6" t="s">
        <v>1484</v>
      </c>
      <c r="B488" s="6" t="s">
        <v>1455</v>
      </c>
      <c r="C488" s="6" t="s">
        <v>125</v>
      </c>
      <c r="D488" s="7" t="s">
        <v>1485</v>
      </c>
      <c r="E488" s="6" t="s">
        <v>127</v>
      </c>
      <c r="F488" s="7" t="s">
        <v>677</v>
      </c>
      <c r="G488" s="7" t="s">
        <v>129</v>
      </c>
      <c r="H488" s="6" t="n">
        <v>0.0606</v>
      </c>
      <c r="I488" s="8" t="n">
        <v>8</v>
      </c>
      <c r="J488" s="6"/>
      <c r="K488" s="6" t="s">
        <v>86</v>
      </c>
      <c r="L488" s="6" t="s">
        <v>130</v>
      </c>
      <c r="M488" s="6" t="s">
        <v>94</v>
      </c>
      <c r="N488" s="6" t="s">
        <v>89</v>
      </c>
    </row>
    <row r="489" customFormat="false" ht="15" hidden="false" customHeight="false" outlineLevel="0" collapsed="false">
      <c r="A489" s="6" t="s">
        <v>1486</v>
      </c>
      <c r="B489" s="6" t="s">
        <v>1455</v>
      </c>
      <c r="C489" s="6" t="s">
        <v>125</v>
      </c>
      <c r="D489" s="7" t="s">
        <v>1487</v>
      </c>
      <c r="E489" s="6" t="s">
        <v>127</v>
      </c>
      <c r="F489" s="7" t="s">
        <v>166</v>
      </c>
      <c r="G489" s="6" t="s">
        <v>217</v>
      </c>
      <c r="H489" s="6" t="n">
        <v>0.0485</v>
      </c>
      <c r="I489" s="8" t="n">
        <v>6</v>
      </c>
      <c r="J489" s="6"/>
      <c r="K489" s="6" t="s">
        <v>86</v>
      </c>
      <c r="L489" s="6" t="s">
        <v>130</v>
      </c>
      <c r="M489" s="6" t="s">
        <v>131</v>
      </c>
      <c r="N489" s="6" t="s">
        <v>89</v>
      </c>
    </row>
    <row r="490" customFormat="false" ht="15" hidden="false" customHeight="false" outlineLevel="0" collapsed="false">
      <c r="A490" s="6" t="s">
        <v>1488</v>
      </c>
      <c r="B490" s="6" t="s">
        <v>1455</v>
      </c>
      <c r="C490" s="6" t="s">
        <v>125</v>
      </c>
      <c r="D490" s="7" t="s">
        <v>1489</v>
      </c>
      <c r="E490" s="6" t="s">
        <v>1159</v>
      </c>
      <c r="F490" s="7" t="s">
        <v>881</v>
      </c>
      <c r="G490" s="7" t="s">
        <v>129</v>
      </c>
      <c r="H490" s="6" t="n">
        <v>0.0485</v>
      </c>
      <c r="I490" s="8" t="n">
        <v>8</v>
      </c>
      <c r="J490" s="6"/>
      <c r="K490" s="6" t="s">
        <v>86</v>
      </c>
      <c r="L490" s="6" t="s">
        <v>130</v>
      </c>
      <c r="M490" s="6" t="s">
        <v>131</v>
      </c>
      <c r="N490" s="6" t="s">
        <v>89</v>
      </c>
    </row>
    <row r="491" customFormat="false" ht="15" hidden="false" customHeight="false" outlineLevel="0" collapsed="false">
      <c r="A491" s="6" t="s">
        <v>1490</v>
      </c>
      <c r="B491" s="6" t="s">
        <v>1455</v>
      </c>
      <c r="C491" s="6" t="s">
        <v>125</v>
      </c>
      <c r="D491" s="7" t="s">
        <v>1491</v>
      </c>
      <c r="E491" s="7" t="s">
        <v>750</v>
      </c>
      <c r="F491" s="7" t="s">
        <v>141</v>
      </c>
      <c r="G491" s="7" t="s">
        <v>129</v>
      </c>
      <c r="H491" s="6" t="n">
        <v>0.0424</v>
      </c>
      <c r="I491" s="8" t="n">
        <v>6</v>
      </c>
      <c r="J491" s="6"/>
      <c r="K491" s="6" t="s">
        <v>86</v>
      </c>
      <c r="L491" s="6" t="s">
        <v>130</v>
      </c>
      <c r="M491" s="6" t="s">
        <v>131</v>
      </c>
      <c r="N491" s="6" t="s">
        <v>89</v>
      </c>
    </row>
    <row r="492" customFormat="false" ht="15" hidden="false" customHeight="false" outlineLevel="0" collapsed="false">
      <c r="A492" s="7" t="s">
        <v>1492</v>
      </c>
      <c r="B492" s="7" t="s">
        <v>1493</v>
      </c>
      <c r="C492" s="6" t="s">
        <v>81</v>
      </c>
      <c r="D492" s="7" t="s">
        <v>1494</v>
      </c>
      <c r="E492" s="7" t="s">
        <v>455</v>
      </c>
      <c r="F492" s="7" t="s">
        <v>240</v>
      </c>
      <c r="G492" s="7" t="s">
        <v>85</v>
      </c>
      <c r="H492" s="6" t="n">
        <v>0.1086</v>
      </c>
      <c r="I492" s="8" t="n">
        <v>8</v>
      </c>
      <c r="J492" s="6"/>
      <c r="K492" s="6" t="s">
        <v>86</v>
      </c>
      <c r="L492" s="6" t="s">
        <v>87</v>
      </c>
      <c r="M492" s="6" t="s">
        <v>279</v>
      </c>
      <c r="N492" s="6" t="s">
        <v>89</v>
      </c>
    </row>
    <row r="493" customFormat="false" ht="15" hidden="false" customHeight="false" outlineLevel="0" collapsed="false">
      <c r="A493" s="7" t="s">
        <v>1495</v>
      </c>
      <c r="B493" s="7" t="s">
        <v>1493</v>
      </c>
      <c r="C493" s="6" t="s">
        <v>81</v>
      </c>
      <c r="D493" s="7" t="s">
        <v>1496</v>
      </c>
      <c r="E493" s="7" t="s">
        <v>1497</v>
      </c>
      <c r="F493" s="7" t="s">
        <v>302</v>
      </c>
      <c r="G493" s="6" t="s">
        <v>1220</v>
      </c>
      <c r="H493" s="6" t="n">
        <v>0.0724</v>
      </c>
      <c r="I493" s="8" t="n">
        <v>8</v>
      </c>
      <c r="J493" s="6"/>
      <c r="K493" s="6" t="s">
        <v>86</v>
      </c>
      <c r="L493" s="6" t="s">
        <v>87</v>
      </c>
      <c r="M493" s="6" t="s">
        <v>279</v>
      </c>
      <c r="N493" s="6" t="s">
        <v>89</v>
      </c>
    </row>
    <row r="494" customFormat="false" ht="15" hidden="false" customHeight="false" outlineLevel="0" collapsed="false">
      <c r="A494" s="7" t="s">
        <v>1498</v>
      </c>
      <c r="B494" s="7" t="s">
        <v>1493</v>
      </c>
      <c r="C494" s="6" t="s">
        <v>81</v>
      </c>
      <c r="D494" s="7" t="s">
        <v>1499</v>
      </c>
      <c r="E494" s="6" t="s">
        <v>1500</v>
      </c>
      <c r="F494" s="7" t="s">
        <v>270</v>
      </c>
      <c r="G494" s="7" t="s">
        <v>85</v>
      </c>
      <c r="H494" s="6" t="n">
        <v>0.1086</v>
      </c>
      <c r="I494" s="8" t="n">
        <v>8</v>
      </c>
      <c r="J494" s="6"/>
      <c r="K494" s="6" t="s">
        <v>86</v>
      </c>
      <c r="L494" s="6" t="s">
        <v>87</v>
      </c>
      <c r="M494" s="6" t="s">
        <v>279</v>
      </c>
      <c r="N494" s="6" t="s">
        <v>89</v>
      </c>
    </row>
    <row r="495" customFormat="false" ht="15" hidden="false" customHeight="false" outlineLevel="0" collapsed="false">
      <c r="A495" s="7" t="s">
        <v>1501</v>
      </c>
      <c r="B495" s="7" t="s">
        <v>1493</v>
      </c>
      <c r="C495" s="6" t="s">
        <v>81</v>
      </c>
      <c r="D495" s="7" t="s">
        <v>1502</v>
      </c>
      <c r="E495" s="7" t="s">
        <v>1503</v>
      </c>
      <c r="F495" s="7" t="s">
        <v>305</v>
      </c>
      <c r="G495" s="7" t="s">
        <v>85</v>
      </c>
      <c r="H495" s="6" t="n">
        <v>0.0724</v>
      </c>
      <c r="I495" s="8" t="n">
        <v>8</v>
      </c>
      <c r="J495" s="6"/>
      <c r="K495" s="6" t="s">
        <v>86</v>
      </c>
      <c r="L495" s="6" t="s">
        <v>87</v>
      </c>
      <c r="M495" s="6" t="s">
        <v>279</v>
      </c>
      <c r="N495" s="6" t="s">
        <v>89</v>
      </c>
    </row>
    <row r="496" customFormat="false" ht="15" hidden="false" customHeight="false" outlineLevel="0" collapsed="false">
      <c r="A496" s="7" t="s">
        <v>1504</v>
      </c>
      <c r="B496" s="7" t="s">
        <v>1493</v>
      </c>
      <c r="C496" s="6" t="s">
        <v>81</v>
      </c>
      <c r="D496" s="7" t="s">
        <v>1505</v>
      </c>
      <c r="E496" s="7" t="s">
        <v>443</v>
      </c>
      <c r="F496" s="7" t="s">
        <v>444</v>
      </c>
      <c r="G496" s="6" t="s">
        <v>445</v>
      </c>
      <c r="H496" s="6" t="n">
        <v>0.0724</v>
      </c>
      <c r="I496" s="8" t="n">
        <v>8</v>
      </c>
      <c r="J496" s="6"/>
      <c r="K496" s="6" t="s">
        <v>86</v>
      </c>
      <c r="L496" s="6" t="s">
        <v>87</v>
      </c>
      <c r="M496" s="6" t="s">
        <v>88</v>
      </c>
      <c r="N496" s="6" t="s">
        <v>89</v>
      </c>
    </row>
    <row r="497" customFormat="false" ht="15" hidden="false" customHeight="false" outlineLevel="0" collapsed="false">
      <c r="A497" s="7" t="s">
        <v>1506</v>
      </c>
      <c r="B497" s="7" t="s">
        <v>1493</v>
      </c>
      <c r="C497" s="6" t="s">
        <v>81</v>
      </c>
      <c r="D497" s="7" t="s">
        <v>1507</v>
      </c>
      <c r="E497" s="6" t="s">
        <v>788</v>
      </c>
      <c r="F497" s="6" t="s">
        <v>1508</v>
      </c>
      <c r="G497" s="6"/>
      <c r="H497" s="6" t="n">
        <v>0.0579</v>
      </c>
      <c r="I497" s="8" t="n">
        <v>8</v>
      </c>
      <c r="J497" s="6"/>
      <c r="K497" s="6" t="s">
        <v>86</v>
      </c>
      <c r="L497" s="6" t="s">
        <v>87</v>
      </c>
      <c r="M497" s="6" t="s">
        <v>88</v>
      </c>
      <c r="N497" s="6" t="s">
        <v>89</v>
      </c>
    </row>
    <row r="498" customFormat="false" ht="15" hidden="false" customHeight="false" outlineLevel="0" collapsed="false">
      <c r="A498" s="7" t="s">
        <v>1509</v>
      </c>
      <c r="B498" s="7" t="s">
        <v>1493</v>
      </c>
      <c r="C498" s="6" t="s">
        <v>81</v>
      </c>
      <c r="D498" s="7" t="s">
        <v>1510</v>
      </c>
      <c r="E498" s="6" t="s">
        <v>777</v>
      </c>
      <c r="F498" s="7" t="s">
        <v>744</v>
      </c>
      <c r="G498" s="6" t="s">
        <v>120</v>
      </c>
      <c r="H498" s="6" t="n">
        <v>0.0579</v>
      </c>
      <c r="I498" s="8" t="n">
        <v>6</v>
      </c>
      <c r="J498" s="6"/>
      <c r="K498" s="6" t="s">
        <v>86</v>
      </c>
      <c r="L498" s="6" t="s">
        <v>87</v>
      </c>
      <c r="M498" s="6" t="s">
        <v>88</v>
      </c>
      <c r="N498" s="6" t="s">
        <v>89</v>
      </c>
    </row>
    <row r="499" customFormat="false" ht="15" hidden="false" customHeight="false" outlineLevel="0" collapsed="false">
      <c r="A499" s="7" t="s">
        <v>1511</v>
      </c>
      <c r="B499" s="7" t="s">
        <v>1493</v>
      </c>
      <c r="C499" s="6" t="s">
        <v>108</v>
      </c>
      <c r="D499" s="7" t="s">
        <v>1512</v>
      </c>
      <c r="E499" s="6" t="s">
        <v>127</v>
      </c>
      <c r="F499" s="7" t="s">
        <v>528</v>
      </c>
      <c r="G499" s="7" t="s">
        <v>85</v>
      </c>
      <c r="H499" s="6" t="n">
        <v>0.075</v>
      </c>
      <c r="I499" s="8" t="n">
        <v>8</v>
      </c>
      <c r="J499" s="6"/>
      <c r="K499" s="6" t="s">
        <v>86</v>
      </c>
      <c r="L499" s="6" t="s">
        <v>112</v>
      </c>
      <c r="M499" s="6" t="s">
        <v>213</v>
      </c>
      <c r="N499" s="6" t="s">
        <v>89</v>
      </c>
    </row>
    <row r="500" customFormat="false" ht="15" hidden="false" customHeight="false" outlineLevel="0" collapsed="false">
      <c r="A500" s="7" t="s">
        <v>1513</v>
      </c>
      <c r="B500" s="7" t="s">
        <v>1493</v>
      </c>
      <c r="C500" s="6" t="s">
        <v>108</v>
      </c>
      <c r="D500" s="7" t="s">
        <v>1514</v>
      </c>
      <c r="E500" s="6" t="s">
        <v>1159</v>
      </c>
      <c r="F500" s="7" t="s">
        <v>402</v>
      </c>
      <c r="G500" s="7" t="s">
        <v>129</v>
      </c>
      <c r="H500" s="6" t="n">
        <v>0.05</v>
      </c>
      <c r="I500" s="8" t="n">
        <v>6</v>
      </c>
      <c r="J500" s="6"/>
      <c r="K500" s="6" t="s">
        <v>86</v>
      </c>
      <c r="L500" s="6" t="s">
        <v>112</v>
      </c>
      <c r="M500" s="6" t="s">
        <v>131</v>
      </c>
      <c r="N500" s="6" t="s">
        <v>89</v>
      </c>
    </row>
    <row r="501" customFormat="false" ht="15" hidden="false" customHeight="false" outlineLevel="0" collapsed="false">
      <c r="A501" s="7" t="s">
        <v>1515</v>
      </c>
      <c r="B501" s="7" t="s">
        <v>1493</v>
      </c>
      <c r="C501" s="6" t="s">
        <v>108</v>
      </c>
      <c r="D501" s="7" t="s">
        <v>1516</v>
      </c>
      <c r="E501" s="6" t="s">
        <v>1517</v>
      </c>
      <c r="F501" s="7" t="s">
        <v>240</v>
      </c>
      <c r="G501" s="7" t="s">
        <v>85</v>
      </c>
      <c r="H501" s="6" t="n">
        <v>0.05</v>
      </c>
      <c r="I501" s="8" t="n">
        <v>8</v>
      </c>
      <c r="J501" s="6"/>
      <c r="K501" s="6" t="s">
        <v>86</v>
      </c>
      <c r="L501" s="6" t="s">
        <v>112</v>
      </c>
      <c r="M501" s="6" t="s">
        <v>213</v>
      </c>
      <c r="N501" s="6" t="s">
        <v>89</v>
      </c>
    </row>
    <row r="502" customFormat="false" ht="15" hidden="false" customHeight="false" outlineLevel="0" collapsed="false">
      <c r="A502" s="7" t="s">
        <v>1518</v>
      </c>
      <c r="B502" s="7" t="s">
        <v>1493</v>
      </c>
      <c r="C502" s="6" t="s">
        <v>108</v>
      </c>
      <c r="D502" s="7" t="s">
        <v>1519</v>
      </c>
      <c r="E502" s="6" t="s">
        <v>1520</v>
      </c>
      <c r="F502" s="7" t="s">
        <v>308</v>
      </c>
      <c r="G502" s="7" t="s">
        <v>85</v>
      </c>
      <c r="H502" s="6" t="n">
        <v>0.04</v>
      </c>
      <c r="I502" s="8" t="n">
        <v>8</v>
      </c>
      <c r="J502" s="6"/>
      <c r="K502" s="6" t="s">
        <v>86</v>
      </c>
      <c r="L502" s="6" t="s">
        <v>112</v>
      </c>
      <c r="M502" s="6" t="s">
        <v>88</v>
      </c>
      <c r="N502" s="6" t="s">
        <v>89</v>
      </c>
    </row>
    <row r="503" customFormat="false" ht="15" hidden="false" customHeight="false" outlineLevel="0" collapsed="false">
      <c r="A503" s="7" t="s">
        <v>1521</v>
      </c>
      <c r="B503" s="7" t="s">
        <v>1493</v>
      </c>
      <c r="C503" s="6" t="s">
        <v>108</v>
      </c>
      <c r="D503" s="7" t="s">
        <v>1522</v>
      </c>
      <c r="E503" s="6" t="s">
        <v>127</v>
      </c>
      <c r="F503" s="7" t="s">
        <v>278</v>
      </c>
      <c r="G503" s="7" t="s">
        <v>85</v>
      </c>
      <c r="H503" s="6" t="n">
        <v>0.05</v>
      </c>
      <c r="I503" s="8" t="n">
        <v>8</v>
      </c>
      <c r="J503" s="6"/>
      <c r="K503" s="6" t="s">
        <v>86</v>
      </c>
      <c r="L503" s="6" t="s">
        <v>112</v>
      </c>
      <c r="M503" s="6" t="s">
        <v>279</v>
      </c>
      <c r="N503" s="6" t="s">
        <v>89</v>
      </c>
    </row>
    <row r="504" customFormat="false" ht="15" hidden="false" customHeight="false" outlineLevel="0" collapsed="false">
      <c r="A504" s="7" t="s">
        <v>1523</v>
      </c>
      <c r="B504" s="7" t="s">
        <v>1493</v>
      </c>
      <c r="C504" s="6" t="s">
        <v>108</v>
      </c>
      <c r="D504" s="7" t="s">
        <v>1524</v>
      </c>
      <c r="E504" s="6" t="s">
        <v>127</v>
      </c>
      <c r="F504" s="7" t="s">
        <v>402</v>
      </c>
      <c r="G504" s="7" t="s">
        <v>129</v>
      </c>
      <c r="H504" s="6" t="n">
        <v>0.035</v>
      </c>
      <c r="I504" s="8" t="n">
        <v>6</v>
      </c>
      <c r="J504" s="6"/>
      <c r="K504" s="6" t="s">
        <v>86</v>
      </c>
      <c r="L504" s="6" t="s">
        <v>112</v>
      </c>
      <c r="M504" s="6" t="s">
        <v>213</v>
      </c>
      <c r="N504" s="6" t="s">
        <v>89</v>
      </c>
    </row>
    <row r="505" customFormat="false" ht="26.85" hidden="false" customHeight="false" outlineLevel="0" collapsed="false">
      <c r="A505" s="7" t="s">
        <v>1525</v>
      </c>
      <c r="B505" s="7" t="s">
        <v>1493</v>
      </c>
      <c r="C505" s="6" t="s">
        <v>125</v>
      </c>
      <c r="D505" s="7" t="s">
        <v>1526</v>
      </c>
      <c r="E505" s="6" t="s">
        <v>127</v>
      </c>
      <c r="F505" s="7" t="s">
        <v>1527</v>
      </c>
      <c r="G505" s="7" t="s">
        <v>129</v>
      </c>
      <c r="H505" s="6" t="n">
        <v>0.0429</v>
      </c>
      <c r="I505" s="8" t="n">
        <v>8</v>
      </c>
      <c r="J505" s="6"/>
      <c r="K505" s="6" t="s">
        <v>86</v>
      </c>
      <c r="L505" s="6" t="s">
        <v>130</v>
      </c>
      <c r="M505" s="6" t="s">
        <v>94</v>
      </c>
      <c r="N505" s="6" t="s">
        <v>89</v>
      </c>
    </row>
    <row r="506" customFormat="false" ht="15" hidden="false" customHeight="false" outlineLevel="0" collapsed="false">
      <c r="A506" s="7" t="s">
        <v>1528</v>
      </c>
      <c r="B506" s="7" t="s">
        <v>1493</v>
      </c>
      <c r="C506" s="6" t="s">
        <v>125</v>
      </c>
      <c r="D506" s="7" t="s">
        <v>1529</v>
      </c>
      <c r="E506" s="6" t="s">
        <v>127</v>
      </c>
      <c r="F506" s="7" t="s">
        <v>270</v>
      </c>
      <c r="G506" s="7" t="s">
        <v>85</v>
      </c>
      <c r="H506" s="6" t="n">
        <v>0.0429</v>
      </c>
      <c r="I506" s="8" t="n">
        <v>8</v>
      </c>
      <c r="J506" s="6"/>
      <c r="K506" s="6" t="s">
        <v>86</v>
      </c>
      <c r="L506" s="6" t="s">
        <v>130</v>
      </c>
      <c r="M506" s="6" t="s">
        <v>131</v>
      </c>
      <c r="N506" s="6" t="s">
        <v>89</v>
      </c>
    </row>
    <row r="507" customFormat="false" ht="15" hidden="false" customHeight="false" outlineLevel="0" collapsed="false">
      <c r="A507" s="7" t="s">
        <v>1530</v>
      </c>
      <c r="B507" s="7" t="s">
        <v>1493</v>
      </c>
      <c r="C507" s="6" t="s">
        <v>125</v>
      </c>
      <c r="D507" s="7" t="s">
        <v>1531</v>
      </c>
      <c r="E507" s="6" t="s">
        <v>127</v>
      </c>
      <c r="F507" s="7" t="s">
        <v>744</v>
      </c>
      <c r="G507" s="6" t="s">
        <v>859</v>
      </c>
      <c r="H507" s="6" t="n">
        <v>0.0343</v>
      </c>
      <c r="I507" s="8" t="n">
        <v>6</v>
      </c>
      <c r="J507" s="6"/>
      <c r="K507" s="6" t="s">
        <v>86</v>
      </c>
      <c r="L507" s="6" t="s">
        <v>130</v>
      </c>
      <c r="M507" s="6" t="s">
        <v>88</v>
      </c>
      <c r="N507" s="6" t="s">
        <v>89</v>
      </c>
    </row>
    <row r="508" customFormat="false" ht="15" hidden="false" customHeight="false" outlineLevel="0" collapsed="false">
      <c r="A508" s="7" t="s">
        <v>1532</v>
      </c>
      <c r="B508" s="7" t="s">
        <v>1493</v>
      </c>
      <c r="C508" s="6" t="s">
        <v>125</v>
      </c>
      <c r="D508" s="7" t="s">
        <v>1533</v>
      </c>
      <c r="E508" s="6" t="s">
        <v>768</v>
      </c>
      <c r="F508" s="7" t="s">
        <v>308</v>
      </c>
      <c r="G508" s="7" t="s">
        <v>85</v>
      </c>
      <c r="H508" s="6" t="n">
        <v>0.03</v>
      </c>
      <c r="I508" s="8" t="n">
        <v>6</v>
      </c>
      <c r="J508" s="6"/>
      <c r="K508" s="6" t="s">
        <v>86</v>
      </c>
      <c r="L508" s="6" t="s">
        <v>130</v>
      </c>
      <c r="M508" s="6" t="s">
        <v>88</v>
      </c>
      <c r="N508" s="6" t="s">
        <v>89</v>
      </c>
    </row>
    <row r="509" customFormat="false" ht="15" hidden="false" customHeight="false" outlineLevel="0" collapsed="false">
      <c r="A509" s="6" t="s">
        <v>1534</v>
      </c>
      <c r="B509" s="6" t="s">
        <v>1535</v>
      </c>
      <c r="C509" s="6" t="s">
        <v>81</v>
      </c>
      <c r="D509" s="7" t="s">
        <v>1494</v>
      </c>
      <c r="E509" s="7" t="s">
        <v>455</v>
      </c>
      <c r="F509" s="7" t="s">
        <v>240</v>
      </c>
      <c r="G509" s="7" t="s">
        <v>85</v>
      </c>
      <c r="H509" s="6" t="n">
        <v>0.1058</v>
      </c>
      <c r="I509" s="8" t="n">
        <v>8</v>
      </c>
      <c r="J509" s="6"/>
      <c r="K509" s="6" t="s">
        <v>86</v>
      </c>
      <c r="L509" s="6" t="s">
        <v>87</v>
      </c>
      <c r="M509" s="6" t="s">
        <v>279</v>
      </c>
      <c r="N509" s="6" t="s">
        <v>89</v>
      </c>
    </row>
    <row r="510" customFormat="false" ht="15" hidden="false" customHeight="false" outlineLevel="0" collapsed="false">
      <c r="A510" s="6" t="s">
        <v>1536</v>
      </c>
      <c r="B510" s="6" t="s">
        <v>1535</v>
      </c>
      <c r="C510" s="6" t="s">
        <v>81</v>
      </c>
      <c r="D510" s="7" t="s">
        <v>1537</v>
      </c>
      <c r="E510" s="7" t="s">
        <v>443</v>
      </c>
      <c r="F510" s="7" t="s">
        <v>444</v>
      </c>
      <c r="G510" s="6" t="s">
        <v>445</v>
      </c>
      <c r="H510" s="6" t="n">
        <v>0.1058</v>
      </c>
      <c r="I510" s="8" t="n">
        <v>8</v>
      </c>
      <c r="J510" s="6"/>
      <c r="K510" s="6" t="s">
        <v>86</v>
      </c>
      <c r="L510" s="6" t="s">
        <v>87</v>
      </c>
      <c r="M510" s="6" t="s">
        <v>88</v>
      </c>
      <c r="N510" s="6" t="s">
        <v>89</v>
      </c>
    </row>
    <row r="511" customFormat="false" ht="15" hidden="false" customHeight="false" outlineLevel="0" collapsed="false">
      <c r="A511" s="6" t="s">
        <v>1538</v>
      </c>
      <c r="B511" s="6" t="s">
        <v>1535</v>
      </c>
      <c r="C511" s="6" t="s">
        <v>81</v>
      </c>
      <c r="D511" s="7" t="s">
        <v>1539</v>
      </c>
      <c r="E511" s="7" t="s">
        <v>443</v>
      </c>
      <c r="F511" s="7" t="s">
        <v>338</v>
      </c>
      <c r="G511" s="6" t="s">
        <v>445</v>
      </c>
      <c r="H511" s="6" t="n">
        <v>0.0705</v>
      </c>
      <c r="I511" s="8" t="n">
        <v>8</v>
      </c>
      <c r="J511" s="6"/>
      <c r="K511" s="6" t="s">
        <v>86</v>
      </c>
      <c r="L511" s="6" t="s">
        <v>87</v>
      </c>
      <c r="M511" s="6" t="s">
        <v>88</v>
      </c>
      <c r="N511" s="6" t="s">
        <v>89</v>
      </c>
    </row>
    <row r="512" customFormat="false" ht="15" hidden="false" customHeight="false" outlineLevel="0" collapsed="false">
      <c r="A512" s="6" t="s">
        <v>1540</v>
      </c>
      <c r="B512" s="6" t="s">
        <v>1535</v>
      </c>
      <c r="C512" s="6" t="s">
        <v>81</v>
      </c>
      <c r="D512" s="7" t="s">
        <v>1541</v>
      </c>
      <c r="E512" s="7" t="s">
        <v>1542</v>
      </c>
      <c r="F512" s="7" t="s">
        <v>308</v>
      </c>
      <c r="G512" s="7" t="s">
        <v>85</v>
      </c>
      <c r="H512" s="6" t="n">
        <v>0.0705</v>
      </c>
      <c r="I512" s="8" t="n">
        <v>8</v>
      </c>
      <c r="J512" s="6"/>
      <c r="K512" s="6" t="s">
        <v>86</v>
      </c>
      <c r="L512" s="6" t="s">
        <v>87</v>
      </c>
      <c r="M512" s="6" t="s">
        <v>279</v>
      </c>
      <c r="N512" s="6" t="s">
        <v>89</v>
      </c>
    </row>
    <row r="513" customFormat="false" ht="15" hidden="false" customHeight="false" outlineLevel="0" collapsed="false">
      <c r="A513" s="6" t="s">
        <v>1543</v>
      </c>
      <c r="B513" s="6" t="s">
        <v>1535</v>
      </c>
      <c r="C513" s="6" t="s">
        <v>81</v>
      </c>
      <c r="D513" s="7" t="s">
        <v>1544</v>
      </c>
      <c r="E513" s="6" t="s">
        <v>1545</v>
      </c>
      <c r="F513" s="7" t="s">
        <v>93</v>
      </c>
      <c r="G513" s="7" t="s">
        <v>85</v>
      </c>
      <c r="H513" s="6" t="n">
        <v>0.0846</v>
      </c>
      <c r="I513" s="8" t="n">
        <v>8</v>
      </c>
      <c r="J513" s="6"/>
      <c r="K513" s="6" t="s">
        <v>86</v>
      </c>
      <c r="L513" s="6" t="s">
        <v>87</v>
      </c>
      <c r="M513" s="6" t="s">
        <v>88</v>
      </c>
      <c r="N513" s="6" t="s">
        <v>89</v>
      </c>
    </row>
    <row r="514" customFormat="false" ht="15" hidden="false" customHeight="false" outlineLevel="0" collapsed="false">
      <c r="A514" s="6" t="s">
        <v>1546</v>
      </c>
      <c r="B514" s="6" t="s">
        <v>1535</v>
      </c>
      <c r="C514" s="6" t="s">
        <v>81</v>
      </c>
      <c r="D514" s="7" t="s">
        <v>1547</v>
      </c>
      <c r="E514" s="6" t="s">
        <v>448</v>
      </c>
      <c r="F514" s="7" t="s">
        <v>449</v>
      </c>
      <c r="G514" s="7" t="s">
        <v>129</v>
      </c>
      <c r="H514" s="6" t="n">
        <v>0.0564</v>
      </c>
      <c r="I514" s="8" t="n">
        <v>8</v>
      </c>
      <c r="J514" s="6"/>
      <c r="K514" s="6" t="s">
        <v>86</v>
      </c>
      <c r="L514" s="6" t="s">
        <v>87</v>
      </c>
      <c r="M514" s="6" t="s">
        <v>88</v>
      </c>
      <c r="N514" s="6" t="s">
        <v>89</v>
      </c>
    </row>
    <row r="515" customFormat="false" ht="15" hidden="false" customHeight="false" outlineLevel="0" collapsed="false">
      <c r="A515" s="6" t="s">
        <v>1548</v>
      </c>
      <c r="B515" s="6" t="s">
        <v>1535</v>
      </c>
      <c r="C515" s="6" t="s">
        <v>81</v>
      </c>
      <c r="D515" s="7" t="s">
        <v>1549</v>
      </c>
      <c r="E515" s="6" t="s">
        <v>127</v>
      </c>
      <c r="F515" s="7" t="s">
        <v>270</v>
      </c>
      <c r="G515" s="7" t="s">
        <v>85</v>
      </c>
      <c r="H515" s="6" t="n">
        <v>0.0564</v>
      </c>
      <c r="I515" s="8" t="n">
        <v>8</v>
      </c>
      <c r="J515" s="6"/>
      <c r="K515" s="6" t="s">
        <v>86</v>
      </c>
      <c r="L515" s="6" t="s">
        <v>87</v>
      </c>
      <c r="M515" s="6" t="s">
        <v>88</v>
      </c>
      <c r="N515" s="6" t="s">
        <v>89</v>
      </c>
    </row>
    <row r="516" customFormat="false" ht="15" hidden="false" customHeight="false" outlineLevel="0" collapsed="false">
      <c r="A516" s="6" t="s">
        <v>1550</v>
      </c>
      <c r="B516" s="6" t="s">
        <v>1535</v>
      </c>
      <c r="C516" s="6" t="s">
        <v>108</v>
      </c>
      <c r="D516" s="7" t="s">
        <v>1551</v>
      </c>
      <c r="E516" s="7" t="s">
        <v>1212</v>
      </c>
      <c r="F516" s="7" t="s">
        <v>302</v>
      </c>
      <c r="G516" s="6" t="s">
        <v>1220</v>
      </c>
      <c r="H516" s="6" t="n">
        <v>0.0726</v>
      </c>
      <c r="I516" s="8" t="n">
        <v>8</v>
      </c>
      <c r="J516" s="6"/>
      <c r="K516" s="6" t="s">
        <v>86</v>
      </c>
      <c r="L516" s="6" t="s">
        <v>112</v>
      </c>
      <c r="M516" s="6" t="s">
        <v>88</v>
      </c>
      <c r="N516" s="6" t="s">
        <v>89</v>
      </c>
    </row>
    <row r="517" customFormat="false" ht="15" hidden="false" customHeight="false" outlineLevel="0" collapsed="false">
      <c r="A517" s="6" t="s">
        <v>1552</v>
      </c>
      <c r="B517" s="6" t="s">
        <v>1535</v>
      </c>
      <c r="C517" s="6" t="s">
        <v>108</v>
      </c>
      <c r="D517" s="7" t="s">
        <v>1553</v>
      </c>
      <c r="E517" s="7" t="s">
        <v>1554</v>
      </c>
      <c r="F517" s="7" t="s">
        <v>624</v>
      </c>
      <c r="G517" s="7" t="s">
        <v>85</v>
      </c>
      <c r="H517" s="6" t="n">
        <v>0.0581</v>
      </c>
      <c r="I517" s="8" t="n">
        <v>8</v>
      </c>
      <c r="J517" s="6"/>
      <c r="K517" s="6" t="s">
        <v>86</v>
      </c>
      <c r="L517" s="6" t="s">
        <v>112</v>
      </c>
      <c r="M517" s="6" t="s">
        <v>88</v>
      </c>
      <c r="N517" s="6" t="s">
        <v>89</v>
      </c>
    </row>
    <row r="518" customFormat="false" ht="15" hidden="false" customHeight="false" outlineLevel="0" collapsed="false">
      <c r="A518" s="6" t="s">
        <v>1555</v>
      </c>
      <c r="B518" s="6" t="s">
        <v>1535</v>
      </c>
      <c r="C518" s="6" t="s">
        <v>108</v>
      </c>
      <c r="D518" s="7" t="s">
        <v>1556</v>
      </c>
      <c r="E518" s="6" t="s">
        <v>1159</v>
      </c>
      <c r="F518" s="7" t="s">
        <v>240</v>
      </c>
      <c r="G518" s="7" t="s">
        <v>85</v>
      </c>
      <c r="H518" s="6" t="n">
        <v>0.0484</v>
      </c>
      <c r="I518" s="8" t="n">
        <v>8</v>
      </c>
      <c r="J518" s="6"/>
      <c r="K518" s="6" t="s">
        <v>86</v>
      </c>
      <c r="L518" s="6" t="s">
        <v>112</v>
      </c>
      <c r="M518" s="6" t="s">
        <v>88</v>
      </c>
      <c r="N518" s="6" t="s">
        <v>89</v>
      </c>
    </row>
    <row r="519" customFormat="false" ht="15" hidden="false" customHeight="false" outlineLevel="0" collapsed="false">
      <c r="A519" s="6" t="s">
        <v>1557</v>
      </c>
      <c r="B519" s="6" t="s">
        <v>1535</v>
      </c>
      <c r="C519" s="6" t="s">
        <v>108</v>
      </c>
      <c r="D519" s="7" t="s">
        <v>1558</v>
      </c>
      <c r="E519" s="7" t="s">
        <v>1559</v>
      </c>
      <c r="F519" s="7" t="s">
        <v>270</v>
      </c>
      <c r="G519" s="7" t="s">
        <v>85</v>
      </c>
      <c r="H519" s="6" t="n">
        <v>0.0484</v>
      </c>
      <c r="I519" s="8" t="n">
        <v>8</v>
      </c>
      <c r="J519" s="6"/>
      <c r="K519" s="6" t="s">
        <v>86</v>
      </c>
      <c r="L519" s="6" t="s">
        <v>112</v>
      </c>
      <c r="M519" s="6" t="s">
        <v>88</v>
      </c>
      <c r="N519" s="6" t="s">
        <v>89</v>
      </c>
    </row>
    <row r="520" customFormat="false" ht="15" hidden="false" customHeight="false" outlineLevel="0" collapsed="false">
      <c r="A520" s="6" t="s">
        <v>1560</v>
      </c>
      <c r="B520" s="6" t="s">
        <v>1535</v>
      </c>
      <c r="C520" s="6" t="s">
        <v>108</v>
      </c>
      <c r="D520" s="7" t="s">
        <v>1561</v>
      </c>
      <c r="E520" s="6" t="s">
        <v>101</v>
      </c>
      <c r="F520" s="7" t="s">
        <v>872</v>
      </c>
      <c r="G520" s="7" t="s">
        <v>85</v>
      </c>
      <c r="H520" s="6" t="n">
        <v>0.0387</v>
      </c>
      <c r="I520" s="8" t="n">
        <v>10</v>
      </c>
      <c r="J520" s="6"/>
      <c r="K520" s="6" t="s">
        <v>86</v>
      </c>
      <c r="L520" s="6" t="s">
        <v>112</v>
      </c>
      <c r="M520" s="6" t="s">
        <v>88</v>
      </c>
      <c r="N520" s="6" t="s">
        <v>89</v>
      </c>
    </row>
    <row r="521" customFormat="false" ht="15" hidden="false" customHeight="false" outlineLevel="0" collapsed="false">
      <c r="A521" s="6" t="s">
        <v>1562</v>
      </c>
      <c r="B521" s="6" t="s">
        <v>1535</v>
      </c>
      <c r="C521" s="6" t="s">
        <v>108</v>
      </c>
      <c r="D521" s="7" t="s">
        <v>1563</v>
      </c>
      <c r="E521" s="7" t="s">
        <v>1212</v>
      </c>
      <c r="F521" s="7" t="s">
        <v>685</v>
      </c>
      <c r="G521" s="6" t="s">
        <v>1220</v>
      </c>
      <c r="H521" s="6" t="n">
        <v>0.0339</v>
      </c>
      <c r="I521" s="8" t="n">
        <v>6</v>
      </c>
      <c r="J521" s="6"/>
      <c r="K521" s="6" t="s">
        <v>86</v>
      </c>
      <c r="L521" s="6" t="s">
        <v>112</v>
      </c>
      <c r="M521" s="6" t="s">
        <v>88</v>
      </c>
      <c r="N521" s="6" t="s">
        <v>89</v>
      </c>
    </row>
    <row r="522" customFormat="false" ht="26.85" hidden="false" customHeight="false" outlineLevel="0" collapsed="false">
      <c r="A522" s="6" t="s">
        <v>1564</v>
      </c>
      <c r="B522" s="6" t="s">
        <v>1535</v>
      </c>
      <c r="C522" s="6" t="s">
        <v>125</v>
      </c>
      <c r="D522" s="7" t="s">
        <v>1565</v>
      </c>
      <c r="E522" s="6" t="s">
        <v>127</v>
      </c>
      <c r="F522" s="7" t="s">
        <v>194</v>
      </c>
      <c r="G522" s="7" t="s">
        <v>129</v>
      </c>
      <c r="H522" s="6" t="n">
        <v>0.0349</v>
      </c>
      <c r="I522" s="8" t="n">
        <v>10</v>
      </c>
      <c r="J522" s="6"/>
      <c r="K522" s="6" t="s">
        <v>86</v>
      </c>
      <c r="L522" s="6" t="s">
        <v>130</v>
      </c>
      <c r="M522" s="6" t="s">
        <v>94</v>
      </c>
      <c r="N522" s="6" t="s">
        <v>89</v>
      </c>
    </row>
    <row r="523" customFormat="false" ht="15" hidden="false" customHeight="false" outlineLevel="0" collapsed="false">
      <c r="A523" s="6" t="s">
        <v>1566</v>
      </c>
      <c r="B523" s="6" t="s">
        <v>1535</v>
      </c>
      <c r="C523" s="6" t="s">
        <v>125</v>
      </c>
      <c r="D523" s="7" t="s">
        <v>1567</v>
      </c>
      <c r="E523" s="6" t="s">
        <v>127</v>
      </c>
      <c r="F523" s="7" t="s">
        <v>93</v>
      </c>
      <c r="G523" s="7" t="s">
        <v>85</v>
      </c>
      <c r="H523" s="6" t="n">
        <v>0.0349</v>
      </c>
      <c r="I523" s="8" t="n">
        <v>8</v>
      </c>
      <c r="J523" s="6"/>
      <c r="K523" s="6" t="s">
        <v>86</v>
      </c>
      <c r="L523" s="6" t="s">
        <v>130</v>
      </c>
      <c r="M523" s="6" t="s">
        <v>131</v>
      </c>
      <c r="N523" s="6" t="s">
        <v>89</v>
      </c>
    </row>
    <row r="524" customFormat="false" ht="15" hidden="false" customHeight="false" outlineLevel="0" collapsed="false">
      <c r="A524" s="6" t="s">
        <v>1568</v>
      </c>
      <c r="B524" s="6" t="s">
        <v>1535</v>
      </c>
      <c r="C524" s="6" t="s">
        <v>125</v>
      </c>
      <c r="D524" s="7" t="s">
        <v>1569</v>
      </c>
      <c r="E524" s="6" t="s">
        <v>127</v>
      </c>
      <c r="F524" s="7" t="s">
        <v>302</v>
      </c>
      <c r="G524" s="7" t="s">
        <v>129</v>
      </c>
      <c r="H524" s="6" t="n">
        <v>0.0279</v>
      </c>
      <c r="I524" s="8" t="n">
        <v>6</v>
      </c>
      <c r="J524" s="6"/>
      <c r="K524" s="6" t="s">
        <v>86</v>
      </c>
      <c r="L524" s="6" t="s">
        <v>130</v>
      </c>
      <c r="M524" s="6" t="s">
        <v>88</v>
      </c>
      <c r="N524" s="6" t="s">
        <v>89</v>
      </c>
    </row>
    <row r="525" customFormat="false" ht="15" hidden="false" customHeight="false" outlineLevel="0" collapsed="false">
      <c r="A525" s="6" t="s">
        <v>1570</v>
      </c>
      <c r="B525" s="6" t="s">
        <v>1535</v>
      </c>
      <c r="C525" s="6" t="s">
        <v>125</v>
      </c>
      <c r="D525" s="7" t="s">
        <v>1571</v>
      </c>
      <c r="E525" s="6" t="s">
        <v>127</v>
      </c>
      <c r="F525" s="7" t="s">
        <v>259</v>
      </c>
      <c r="G525" s="7" t="s">
        <v>129</v>
      </c>
      <c r="H525" s="6" t="n">
        <v>0.0244</v>
      </c>
      <c r="I525" s="8" t="n">
        <v>8</v>
      </c>
      <c r="J525" s="6"/>
      <c r="K525" s="6" t="s">
        <v>86</v>
      </c>
      <c r="L525" s="6" t="s">
        <v>130</v>
      </c>
      <c r="M525" s="6" t="s">
        <v>88</v>
      </c>
      <c r="N525" s="6" t="s">
        <v>89</v>
      </c>
    </row>
    <row r="526" customFormat="false" ht="15" hidden="false" customHeight="false" outlineLevel="0" collapsed="false">
      <c r="A526" s="6" t="s">
        <v>1572</v>
      </c>
      <c r="B526" s="6" t="s">
        <v>1535</v>
      </c>
      <c r="C526" s="6" t="s">
        <v>125</v>
      </c>
      <c r="D526" s="7" t="s">
        <v>1573</v>
      </c>
      <c r="E526" s="6" t="s">
        <v>127</v>
      </c>
      <c r="F526" s="7" t="s">
        <v>278</v>
      </c>
      <c r="G526" s="7" t="s">
        <v>85</v>
      </c>
      <c r="H526" s="6" t="n">
        <v>0.0279</v>
      </c>
      <c r="I526" s="8" t="n">
        <v>8</v>
      </c>
      <c r="J526" s="6"/>
      <c r="K526" s="6" t="s">
        <v>86</v>
      </c>
      <c r="L526" s="6" t="s">
        <v>130</v>
      </c>
      <c r="M526" s="6" t="s">
        <v>131</v>
      </c>
      <c r="N526" s="6" t="s">
        <v>89</v>
      </c>
    </row>
  </sheetData>
  <autoFilter ref="A1:N526"/>
  <dataValidations count="2">
    <dataValidation allowBlank="false" errorStyle="stop" operator="between" showDropDown="false" showErrorMessage="false" showInputMessage="false" sqref="I2:I526" type="decimal">
      <formula1>1</formula1>
      <formula2>10</formula2>
    </dataValidation>
    <dataValidation allowBlank="false" errorStyle="stop" operator="between" showDropDown="false" showErrorMessage="false" showInputMessage="false" sqref="K2:K526" type="list">
      <formula1>"已核验,待更新,口径变更,缺失"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</cols>
  <sheetData>
    <row r="1" customFormat="false" ht="27.6" hidden="false" customHeight="false" outlineLevel="0" collapsed="false">
      <c r="A1" s="9" t="s">
        <v>66</v>
      </c>
      <c r="B1" s="9" t="s">
        <v>1574</v>
      </c>
      <c r="C1" s="9" t="s">
        <v>1575</v>
      </c>
      <c r="D1" s="9" t="s">
        <v>1576</v>
      </c>
      <c r="E1" s="9" t="s">
        <v>1577</v>
      </c>
      <c r="F1" s="9" t="s">
        <v>1578</v>
      </c>
      <c r="G1" s="9" t="s">
        <v>1579</v>
      </c>
      <c r="H1" s="9" t="s">
        <v>1580</v>
      </c>
      <c r="I1" s="9" t="s">
        <v>1581</v>
      </c>
      <c r="J1" s="9" t="s">
        <v>1582</v>
      </c>
      <c r="K1" s="9" t="s">
        <v>1583</v>
      </c>
    </row>
    <row r="2" customFormat="false" ht="57.75" hidden="false" customHeight="true" outlineLevel="0" collapsed="false">
      <c r="A2" s="6" t="s">
        <v>80</v>
      </c>
      <c r="B2" s="6" t="n">
        <f aca="false">VLOOKUP(A2,全行业景气度总览!$A$4:$E$50,5,FALSE())</f>
        <v>6.8</v>
      </c>
      <c r="C2" s="6" t="s">
        <v>1584</v>
      </c>
      <c r="D2" s="6" t="s">
        <v>1585</v>
      </c>
      <c r="E2" s="6" t="s">
        <v>1586</v>
      </c>
      <c r="F2" s="8" t="n">
        <v>0</v>
      </c>
      <c r="G2" s="8" t="n">
        <v>0</v>
      </c>
      <c r="H2" s="8" t="n">
        <v>0</v>
      </c>
      <c r="I2" s="6" t="n">
        <f aca="false">IF(AND(F2&gt;=2,G2&lt;&gt;0),G2,0)</f>
        <v>0</v>
      </c>
      <c r="J2" s="6" t="n">
        <f aca="false">MIN(10,MAX(1,B2+I2+H2))</f>
        <v>6.8</v>
      </c>
      <c r="K2" s="6" t="str">
        <f aca="false">IF(H2&lt;=-1,"风险否决",IF(F2&lt;2,"基础分有效，事件未验证",IF(I2&gt;0,"事件上调已验证",IF(I2&lt;0,"事件下调已验证","中性观察"))))</f>
        <v>基础分有效，事件未验证</v>
      </c>
    </row>
    <row r="3" customFormat="false" ht="57.75" hidden="false" customHeight="true" outlineLevel="0" collapsed="false">
      <c r="A3" s="6" t="s">
        <v>138</v>
      </c>
      <c r="B3" s="6" t="n">
        <f aca="false">VLOOKUP(A3,全行业景气度总览!$A$4:$E$50,5,FALSE())</f>
        <v>7.4</v>
      </c>
      <c r="C3" s="6" t="s">
        <v>1587</v>
      </c>
      <c r="D3" s="6" t="s">
        <v>1588</v>
      </c>
      <c r="E3" s="6" t="s">
        <v>1589</v>
      </c>
      <c r="F3" s="8" t="n">
        <v>0</v>
      </c>
      <c r="G3" s="8" t="n">
        <v>0</v>
      </c>
      <c r="H3" s="8" t="n">
        <v>0</v>
      </c>
      <c r="I3" s="6" t="n">
        <f aca="false">IF(AND(F3&gt;=2,G3&lt;&gt;0),G3,0)</f>
        <v>0</v>
      </c>
      <c r="J3" s="6" t="n">
        <f aca="false">MIN(10,MAX(1,B3+I3+H3))</f>
        <v>7.4</v>
      </c>
      <c r="K3" s="6" t="str">
        <f aca="false">IF(H3&lt;=-1,"风险否决",IF(F3&lt;2,"基础分有效，事件未验证",IF(I3&gt;0,"事件上调已验证",IF(I3&lt;0,"事件下调已验证","中性观察"))))</f>
        <v>基础分有效，事件未验证</v>
      </c>
    </row>
    <row r="4" customFormat="false" ht="57.75" hidden="false" customHeight="true" outlineLevel="0" collapsed="false">
      <c r="A4" s="6" t="s">
        <v>182</v>
      </c>
      <c r="B4" s="6" t="n">
        <f aca="false">VLOOKUP(A4,全行业景气度总览!$A$4:$E$50,5,FALSE())</f>
        <v>7</v>
      </c>
      <c r="C4" s="6" t="s">
        <v>1590</v>
      </c>
      <c r="D4" s="6" t="s">
        <v>1591</v>
      </c>
      <c r="E4" s="6" t="s">
        <v>1592</v>
      </c>
      <c r="F4" s="8" t="n">
        <v>0</v>
      </c>
      <c r="G4" s="8" t="n">
        <v>0</v>
      </c>
      <c r="H4" s="8" t="n">
        <v>0</v>
      </c>
      <c r="I4" s="6" t="n">
        <f aca="false">IF(AND(F4&gt;=2,G4&lt;&gt;0),G4,0)</f>
        <v>0</v>
      </c>
      <c r="J4" s="6" t="n">
        <f aca="false">MIN(10,MAX(1,B4+I4+H4))</f>
        <v>7</v>
      </c>
      <c r="K4" s="6" t="str">
        <f aca="false">IF(H4&lt;=-1,"风险否决",IF(F4&lt;2,"基础分有效，事件未验证",IF(I4&gt;0,"事件上调已验证",IF(I4&lt;0,"事件下调已验证","中性观察"))))</f>
        <v>基础分有效，事件未验证</v>
      </c>
    </row>
    <row r="5" customFormat="false" ht="57.75" hidden="false" customHeight="true" outlineLevel="0" collapsed="false">
      <c r="A5" s="6" t="s">
        <v>225</v>
      </c>
      <c r="B5" s="6" t="n">
        <f aca="false">VLOOKUP(A5,全行业景气度总览!$A$4:$E$50,5,FALSE())</f>
        <v>7.9</v>
      </c>
      <c r="C5" s="6" t="s">
        <v>1593</v>
      </c>
      <c r="D5" s="6" t="s">
        <v>1594</v>
      </c>
      <c r="E5" s="6" t="s">
        <v>1595</v>
      </c>
      <c r="F5" s="8" t="n">
        <v>0</v>
      </c>
      <c r="G5" s="8" t="n">
        <v>0</v>
      </c>
      <c r="H5" s="8" t="n">
        <v>0</v>
      </c>
      <c r="I5" s="6" t="n">
        <f aca="false">IF(AND(F5&gt;=2,G5&lt;&gt;0),G5,0)</f>
        <v>0</v>
      </c>
      <c r="J5" s="6" t="n">
        <f aca="false">MIN(10,MAX(1,B5+I5+H5))</f>
        <v>7.9</v>
      </c>
      <c r="K5" s="6" t="str">
        <f aca="false">IF(H5&lt;=-1,"风险否决",IF(F5&lt;2,"基础分有效，事件未验证",IF(I5&gt;0,"事件上调已验证",IF(I5&lt;0,"事件下调已验证","中性观察"))))</f>
        <v>基础分有效，事件未验证</v>
      </c>
    </row>
    <row r="6" customFormat="false" ht="57.75" hidden="false" customHeight="true" outlineLevel="0" collapsed="false">
      <c r="A6" s="6" t="s">
        <v>263</v>
      </c>
      <c r="B6" s="6" t="n">
        <f aca="false">VLOOKUP(A6,全行业景气度总览!$A$4:$E$50,5,FALSE())</f>
        <v>7.8</v>
      </c>
      <c r="C6" s="6" t="s">
        <v>1596</v>
      </c>
      <c r="D6" s="6" t="s">
        <v>1597</v>
      </c>
      <c r="E6" s="6" t="s">
        <v>1598</v>
      </c>
      <c r="F6" s="8" t="n">
        <v>0</v>
      </c>
      <c r="G6" s="8" t="n">
        <v>0</v>
      </c>
      <c r="H6" s="8" t="n">
        <v>0</v>
      </c>
      <c r="I6" s="6" t="n">
        <f aca="false">IF(AND(F6&gt;=2,G6&lt;&gt;0),G6,0)</f>
        <v>0</v>
      </c>
      <c r="J6" s="6" t="n">
        <f aca="false">MIN(10,MAX(1,B6+I6+H6))</f>
        <v>7.8</v>
      </c>
      <c r="K6" s="6" t="str">
        <f aca="false">IF(H6&lt;=-1,"风险否决",IF(F6&lt;2,"基础分有效，事件未验证",IF(I6&gt;0,"事件上调已验证",IF(I6&lt;0,"事件下调已验证","中性观察"))))</f>
        <v>基础分有效，事件未验证</v>
      </c>
    </row>
    <row r="7" customFormat="false" ht="57.75" hidden="false" customHeight="true" outlineLevel="0" collapsed="false">
      <c r="A7" s="6" t="s">
        <v>310</v>
      </c>
      <c r="B7" s="6" t="n">
        <f aca="false">VLOOKUP(A7,全行业景气度总览!$A$4:$E$50,5,FALSE())</f>
        <v>6.5</v>
      </c>
      <c r="C7" s="6" t="s">
        <v>1599</v>
      </c>
      <c r="D7" s="6" t="s">
        <v>1600</v>
      </c>
      <c r="E7" s="6" t="s">
        <v>1601</v>
      </c>
      <c r="F7" s="8" t="n">
        <v>0</v>
      </c>
      <c r="G7" s="8" t="n">
        <v>0</v>
      </c>
      <c r="H7" s="8" t="n">
        <v>0</v>
      </c>
      <c r="I7" s="6" t="n">
        <f aca="false">IF(AND(F7&gt;=2,G7&lt;&gt;0),G7,0)</f>
        <v>0</v>
      </c>
      <c r="J7" s="6" t="n">
        <f aca="false">MIN(10,MAX(1,B7+I7+H7))</f>
        <v>6.5</v>
      </c>
      <c r="K7" s="6" t="str">
        <f aca="false">IF(H7&lt;=-1,"风险否决",IF(F7&lt;2,"基础分有效，事件未验证",IF(I7&gt;0,"事件上调已验证",IF(I7&lt;0,"事件下调已验证","中性观察"))))</f>
        <v>基础分有效，事件未验证</v>
      </c>
    </row>
    <row r="8" customFormat="false" ht="57.75" hidden="false" customHeight="true" outlineLevel="0" collapsed="false">
      <c r="A8" s="6" t="s">
        <v>343</v>
      </c>
      <c r="B8" s="6" t="n">
        <f aca="false">VLOOKUP(A8,全行业景气度总览!$A$4:$E$50,5,FALSE())</f>
        <v>6.7</v>
      </c>
      <c r="C8" s="6" t="s">
        <v>1602</v>
      </c>
      <c r="D8" s="6" t="s">
        <v>1603</v>
      </c>
      <c r="E8" s="7" t="s">
        <v>1604</v>
      </c>
      <c r="F8" s="8" t="n">
        <v>0</v>
      </c>
      <c r="G8" s="8" t="n">
        <v>0</v>
      </c>
      <c r="H8" s="8" t="n">
        <v>0</v>
      </c>
      <c r="I8" s="6" t="n">
        <f aca="false">IF(AND(F8&gt;=2,G8&lt;&gt;0),G8,0)</f>
        <v>0</v>
      </c>
      <c r="J8" s="6" t="n">
        <f aca="false">MIN(10,MAX(1,B8+I8+H8))</f>
        <v>6.7</v>
      </c>
      <c r="K8" s="6" t="str">
        <f aca="false">IF(H8&lt;=-1,"风险否决",IF(F8&lt;2,"基础分有效，事件未验证",IF(I8&gt;0,"事件上调已验证",IF(I8&lt;0,"事件下调已验证","中性观察"))))</f>
        <v>基础分有效，事件未验证</v>
      </c>
    </row>
    <row r="9" customFormat="false" ht="57.75" hidden="false" customHeight="true" outlineLevel="0" collapsed="false">
      <c r="A9" s="6" t="s">
        <v>376</v>
      </c>
      <c r="B9" s="6" t="n">
        <f aca="false">VLOOKUP(A9,全行业景气度总览!$A$4:$E$50,5,FALSE())</f>
        <v>6.9</v>
      </c>
      <c r="C9" s="6" t="s">
        <v>1605</v>
      </c>
      <c r="D9" s="6" t="s">
        <v>1606</v>
      </c>
      <c r="E9" s="6" t="s">
        <v>1607</v>
      </c>
      <c r="F9" s="8" t="n">
        <v>0</v>
      </c>
      <c r="G9" s="8" t="n">
        <v>0</v>
      </c>
      <c r="H9" s="8" t="n">
        <v>0</v>
      </c>
      <c r="I9" s="6" t="n">
        <f aca="false">IF(AND(F9&gt;=2,G9&lt;&gt;0),G9,0)</f>
        <v>0</v>
      </c>
      <c r="J9" s="6" t="n">
        <f aca="false">MIN(10,MAX(1,B9+I9+H9))</f>
        <v>6.9</v>
      </c>
      <c r="K9" s="6" t="str">
        <f aca="false">IF(H9&lt;=-1,"风险否决",IF(F9&lt;2,"基础分有效，事件未验证",IF(I9&gt;0,"事件上调已验证",IF(I9&lt;0,"事件下调已验证","中性观察"))))</f>
        <v>基础分有效，事件未验证</v>
      </c>
    </row>
    <row r="10" customFormat="false" ht="57.75" hidden="false" customHeight="true" outlineLevel="0" collapsed="false">
      <c r="A10" s="6" t="s">
        <v>413</v>
      </c>
      <c r="B10" s="6" t="n">
        <f aca="false">VLOOKUP(A10,全行业景气度总览!$A$4:$E$50,5,FALSE())</f>
        <v>5.8</v>
      </c>
      <c r="C10" s="6" t="s">
        <v>1608</v>
      </c>
      <c r="D10" s="6" t="s">
        <v>1609</v>
      </c>
      <c r="E10" s="6" t="s">
        <v>1610</v>
      </c>
      <c r="F10" s="8" t="n">
        <v>0</v>
      </c>
      <c r="G10" s="8" t="n">
        <v>0</v>
      </c>
      <c r="H10" s="8" t="n">
        <v>0</v>
      </c>
      <c r="I10" s="6" t="n">
        <f aca="false">IF(AND(F10&gt;=2,G10&lt;&gt;0),G10,0)</f>
        <v>0</v>
      </c>
      <c r="J10" s="6" t="n">
        <f aca="false">MIN(10,MAX(1,B10+I10+H10))</f>
        <v>5.8</v>
      </c>
      <c r="K10" s="6" t="str">
        <f aca="false">IF(H10&lt;=-1,"风险否决",IF(F10&lt;2,"基础分有效，事件未验证",IF(I10&gt;0,"事件上调已验证",IF(I10&lt;0,"事件下调已验证","中性观察"))))</f>
        <v>基础分有效，事件未验证</v>
      </c>
    </row>
    <row r="11" customFormat="false" ht="57.75" hidden="false" customHeight="true" outlineLevel="0" collapsed="false">
      <c r="A11" s="6" t="s">
        <v>441</v>
      </c>
      <c r="B11" s="6" t="n">
        <f aca="false">VLOOKUP(A11,全行业景气度总览!$A$4:$E$50,5,FALSE())</f>
        <v>7.7</v>
      </c>
      <c r="C11" s="6" t="s">
        <v>1611</v>
      </c>
      <c r="D11" s="7" t="s">
        <v>1612</v>
      </c>
      <c r="E11" s="6" t="s">
        <v>1613</v>
      </c>
      <c r="F11" s="8" t="n">
        <v>0</v>
      </c>
      <c r="G11" s="8" t="n">
        <v>0</v>
      </c>
      <c r="H11" s="8" t="n">
        <v>0</v>
      </c>
      <c r="I11" s="6" t="n">
        <f aca="false">IF(AND(F11&gt;=2,G11&lt;&gt;0),G11,0)</f>
        <v>0</v>
      </c>
      <c r="J11" s="6" t="n">
        <f aca="false">MIN(10,MAX(1,B11+I11+H11))</f>
        <v>7.7</v>
      </c>
      <c r="K11" s="6" t="str">
        <f aca="false">IF(H11&lt;=-1,"风险否决",IF(F11&lt;2,"基础分有效，事件未验证",IF(I11&gt;0,"事件上调已验证",IF(I11&lt;0,"事件下调已验证","中性观察"))))</f>
        <v>基础分有效，事件未验证</v>
      </c>
    </row>
    <row r="12" customFormat="false" ht="57.75" hidden="false" customHeight="true" outlineLevel="0" collapsed="false">
      <c r="A12" s="6" t="s">
        <v>473</v>
      </c>
      <c r="B12" s="6" t="n">
        <f aca="false">VLOOKUP(A12,全行业景气度总览!$A$4:$E$50,5,FALSE())</f>
        <v>7.9</v>
      </c>
      <c r="C12" s="6" t="s">
        <v>1614</v>
      </c>
      <c r="D12" s="6" t="s">
        <v>1615</v>
      </c>
      <c r="E12" s="6" t="s">
        <v>1616</v>
      </c>
      <c r="F12" s="8" t="n">
        <v>0</v>
      </c>
      <c r="G12" s="8" t="n">
        <v>0</v>
      </c>
      <c r="H12" s="8" t="n">
        <v>0</v>
      </c>
      <c r="I12" s="6" t="n">
        <f aca="false">IF(AND(F12&gt;=2,G12&lt;&gt;0),G12,0)</f>
        <v>0</v>
      </c>
      <c r="J12" s="6" t="n">
        <f aca="false">MIN(10,MAX(1,B12+I12+H12))</f>
        <v>7.9</v>
      </c>
      <c r="K12" s="6" t="str">
        <f aca="false">IF(H12&lt;=-1,"风险否决",IF(F12&lt;2,"基础分有效，事件未验证",IF(I12&gt;0,"事件上调已验证",IF(I12&lt;0,"事件下调已验证","中性观察"))))</f>
        <v>基础分有效，事件未验证</v>
      </c>
    </row>
    <row r="13" customFormat="false" ht="57.75" hidden="false" customHeight="true" outlineLevel="0" collapsed="false">
      <c r="A13" s="6" t="s">
        <v>507</v>
      </c>
      <c r="B13" s="6" t="n">
        <f aca="false">VLOOKUP(A13,全行业景气度总览!$A$4:$E$50,5,FALSE())</f>
        <v>8</v>
      </c>
      <c r="C13" s="6" t="s">
        <v>1617</v>
      </c>
      <c r="D13" s="6" t="s">
        <v>1618</v>
      </c>
      <c r="E13" s="6" t="s">
        <v>1619</v>
      </c>
      <c r="F13" s="8" t="n">
        <v>0</v>
      </c>
      <c r="G13" s="8" t="n">
        <v>0</v>
      </c>
      <c r="H13" s="8" t="n">
        <v>0</v>
      </c>
      <c r="I13" s="6" t="n">
        <f aca="false">IF(AND(F13&gt;=2,G13&lt;&gt;0),G13,0)</f>
        <v>0</v>
      </c>
      <c r="J13" s="6" t="n">
        <f aca="false">MIN(10,MAX(1,B13+I13+H13))</f>
        <v>8</v>
      </c>
      <c r="K13" s="6" t="str">
        <f aca="false">IF(H13&lt;=-1,"风险否决",IF(F13&lt;2,"基础分有效，事件未验证",IF(I13&gt;0,"事件上调已验证",IF(I13&lt;0,"事件下调已验证","中性观察"))))</f>
        <v>基础分有效，事件未验证</v>
      </c>
    </row>
    <row r="14" customFormat="false" ht="57.75" hidden="false" customHeight="true" outlineLevel="0" collapsed="false">
      <c r="A14" s="6" t="s">
        <v>544</v>
      </c>
      <c r="B14" s="6" t="n">
        <f aca="false">VLOOKUP(A14,全行业景气度总览!$A$4:$E$50,5,FALSE())</f>
        <v>4.3</v>
      </c>
      <c r="C14" s="6" t="s">
        <v>1620</v>
      </c>
      <c r="D14" s="6" t="s">
        <v>1621</v>
      </c>
      <c r="E14" s="6" t="s">
        <v>1622</v>
      </c>
      <c r="F14" s="8" t="n">
        <v>0</v>
      </c>
      <c r="G14" s="8" t="n">
        <v>0</v>
      </c>
      <c r="H14" s="8" t="n">
        <v>0</v>
      </c>
      <c r="I14" s="6" t="n">
        <f aca="false">IF(AND(F14&gt;=2,G14&lt;&gt;0),G14,0)</f>
        <v>0</v>
      </c>
      <c r="J14" s="6" t="n">
        <f aca="false">MIN(10,MAX(1,B14+I14+H14))</f>
        <v>4.3</v>
      </c>
      <c r="K14" s="6" t="str">
        <f aca="false">IF(H14&lt;=-1,"风险否决",IF(F14&lt;2,"基础分有效，事件未验证",IF(I14&gt;0,"事件上调已验证",IF(I14&lt;0,"事件下调已验证","中性观察"))))</f>
        <v>基础分有效，事件未验证</v>
      </c>
    </row>
    <row r="15" customFormat="false" ht="57.75" hidden="false" customHeight="true" outlineLevel="0" collapsed="false">
      <c r="A15" s="6" t="s">
        <v>579</v>
      </c>
      <c r="B15" s="6" t="n">
        <f aca="false">VLOOKUP(A15,全行业景气度总览!$A$4:$E$50,5,FALSE())</f>
        <v>6.5</v>
      </c>
      <c r="C15" s="6" t="s">
        <v>1623</v>
      </c>
      <c r="D15" s="6" t="s">
        <v>1624</v>
      </c>
      <c r="E15" s="6" t="s">
        <v>1625</v>
      </c>
      <c r="F15" s="8" t="n">
        <v>0</v>
      </c>
      <c r="G15" s="8" t="n">
        <v>0</v>
      </c>
      <c r="H15" s="8" t="n">
        <v>0</v>
      </c>
      <c r="I15" s="6" t="n">
        <f aca="false">IF(AND(F15&gt;=2,G15&lt;&gt;0),G15,0)</f>
        <v>0</v>
      </c>
      <c r="J15" s="6" t="n">
        <f aca="false">MIN(10,MAX(1,B15+I15+H15))</f>
        <v>6.5</v>
      </c>
      <c r="K15" s="6" t="str">
        <f aca="false">IF(H15&lt;=-1,"风险否决",IF(F15&lt;2,"基础分有效，事件未验证",IF(I15&gt;0,"事件上调已验证",IF(I15&lt;0,"事件下调已验证","中性观察"))))</f>
        <v>基础分有效，事件未验证</v>
      </c>
    </row>
    <row r="16" customFormat="false" ht="57.75" hidden="false" customHeight="true" outlineLevel="0" collapsed="false">
      <c r="A16" s="6" t="s">
        <v>607</v>
      </c>
      <c r="B16" s="6" t="n">
        <f aca="false">VLOOKUP(A16,全行业景气度总览!$A$4:$E$50,5,FALSE())</f>
        <v>7</v>
      </c>
      <c r="C16" s="6" t="s">
        <v>1626</v>
      </c>
      <c r="D16" s="6" t="s">
        <v>1627</v>
      </c>
      <c r="E16" s="6" t="s">
        <v>1628</v>
      </c>
      <c r="F16" s="8" t="n">
        <v>0</v>
      </c>
      <c r="G16" s="8" t="n">
        <v>0</v>
      </c>
      <c r="H16" s="8" t="n">
        <v>0</v>
      </c>
      <c r="I16" s="6" t="n">
        <f aca="false">IF(AND(F16&gt;=2,G16&lt;&gt;0),G16,0)</f>
        <v>0</v>
      </c>
      <c r="J16" s="6" t="n">
        <f aca="false">MIN(10,MAX(1,B16+I16+H16))</f>
        <v>7</v>
      </c>
      <c r="K16" s="6" t="str">
        <f aca="false">IF(H16&lt;=-1,"风险否决",IF(F16&lt;2,"基础分有效，事件未验证",IF(I16&gt;0,"事件上调已验证",IF(I16&lt;0,"事件下调已验证","中性观察"))))</f>
        <v>基础分有效，事件未验证</v>
      </c>
    </row>
    <row r="17" customFormat="false" ht="57.75" hidden="false" customHeight="true" outlineLevel="0" collapsed="false">
      <c r="A17" s="6" t="s">
        <v>640</v>
      </c>
      <c r="B17" s="6" t="n">
        <f aca="false">VLOOKUP(A17,全行业景气度总览!$A$4:$E$50,5,FALSE())</f>
        <v>6.6</v>
      </c>
      <c r="C17" s="6" t="s">
        <v>1629</v>
      </c>
      <c r="D17" s="7" t="s">
        <v>1630</v>
      </c>
      <c r="E17" s="7" t="s">
        <v>1631</v>
      </c>
      <c r="F17" s="8" t="n">
        <v>0</v>
      </c>
      <c r="G17" s="8" t="n">
        <v>0</v>
      </c>
      <c r="H17" s="8" t="n">
        <v>0</v>
      </c>
      <c r="I17" s="6" t="n">
        <f aca="false">IF(AND(F17&gt;=2,G17&lt;&gt;0),G17,0)</f>
        <v>0</v>
      </c>
      <c r="J17" s="6" t="n">
        <f aca="false">MIN(10,MAX(1,B17+I17+H17))</f>
        <v>6.6</v>
      </c>
      <c r="K17" s="6" t="str">
        <f aca="false">IF(H17&lt;=-1,"风险否决",IF(F17&lt;2,"基础分有效，事件未验证",IF(I17&gt;0,"事件上调已验证",IF(I17&lt;0,"事件下调已验证","中性观察"))))</f>
        <v>基础分有效，事件未验证</v>
      </c>
    </row>
    <row r="18" customFormat="false" ht="57.75" hidden="false" customHeight="true" outlineLevel="0" collapsed="false">
      <c r="A18" s="6" t="s">
        <v>662</v>
      </c>
      <c r="B18" s="6" t="n">
        <f aca="false">VLOOKUP(A18,全行业景气度总览!$A$4:$E$50,5,FALSE())</f>
        <v>4.7</v>
      </c>
      <c r="C18" s="6" t="s">
        <v>1632</v>
      </c>
      <c r="D18" s="6" t="s">
        <v>1633</v>
      </c>
      <c r="E18" s="6" t="s">
        <v>1634</v>
      </c>
      <c r="F18" s="8" t="n">
        <v>0</v>
      </c>
      <c r="G18" s="8" t="n">
        <v>0</v>
      </c>
      <c r="H18" s="8" t="n">
        <v>0</v>
      </c>
      <c r="I18" s="6" t="n">
        <f aca="false">IF(AND(F18&gt;=2,G18&lt;&gt;0),G18,0)</f>
        <v>0</v>
      </c>
      <c r="J18" s="6" t="n">
        <f aca="false">MIN(10,MAX(1,B18+I18+H18))</f>
        <v>4.7</v>
      </c>
      <c r="K18" s="6" t="str">
        <f aca="false">IF(H18&lt;=-1,"风险否决",IF(F18&lt;2,"基础分有效，事件未验证",IF(I18&gt;0,"事件上调已验证",IF(I18&lt;0,"事件下调已验证","中性观察"))))</f>
        <v>基础分有效，事件未验证</v>
      </c>
    </row>
    <row r="19" customFormat="false" ht="57.75" hidden="false" customHeight="true" outlineLevel="0" collapsed="false">
      <c r="A19" s="6" t="s">
        <v>692</v>
      </c>
      <c r="B19" s="6" t="n">
        <f aca="false">VLOOKUP(A19,全行业景气度总览!$A$4:$E$50,5,FALSE())</f>
        <v>6.3</v>
      </c>
      <c r="C19" s="6" t="s">
        <v>1635</v>
      </c>
      <c r="D19" s="6" t="s">
        <v>1636</v>
      </c>
      <c r="E19" s="6" t="s">
        <v>1637</v>
      </c>
      <c r="F19" s="8" t="n">
        <v>0</v>
      </c>
      <c r="G19" s="8" t="n">
        <v>0</v>
      </c>
      <c r="H19" s="8" t="n">
        <v>0</v>
      </c>
      <c r="I19" s="6" t="n">
        <f aca="false">IF(AND(F19&gt;=2,G19&lt;&gt;0),G19,0)</f>
        <v>0</v>
      </c>
      <c r="J19" s="6" t="n">
        <f aca="false">MIN(10,MAX(1,B19+I19+H19))</f>
        <v>6.3</v>
      </c>
      <c r="K19" s="6" t="str">
        <f aca="false">IF(H19&lt;=-1,"风险否决",IF(F19&lt;2,"基础分有效，事件未验证",IF(I19&gt;0,"事件上调已验证",IF(I19&lt;0,"事件下调已验证","中性观察"))))</f>
        <v>基础分有效，事件未验证</v>
      </c>
    </row>
    <row r="20" customFormat="false" ht="57.75" hidden="false" customHeight="true" outlineLevel="0" collapsed="false">
      <c r="A20" s="6" t="s">
        <v>722</v>
      </c>
      <c r="B20" s="6" t="n">
        <f aca="false">VLOOKUP(A20,全行业景气度总览!$A$4:$E$50,5,FALSE())</f>
        <v>7.4</v>
      </c>
      <c r="C20" s="6" t="s">
        <v>1638</v>
      </c>
      <c r="D20" s="6" t="s">
        <v>1639</v>
      </c>
      <c r="E20" s="6" t="s">
        <v>1640</v>
      </c>
      <c r="F20" s="8" t="n">
        <v>0</v>
      </c>
      <c r="G20" s="8" t="n">
        <v>0</v>
      </c>
      <c r="H20" s="8" t="n">
        <v>0</v>
      </c>
      <c r="I20" s="6" t="n">
        <f aca="false">IF(AND(F20&gt;=2,G20&lt;&gt;0),G20,0)</f>
        <v>0</v>
      </c>
      <c r="J20" s="6" t="n">
        <f aca="false">MIN(10,MAX(1,B20+I20+H20))</f>
        <v>7.4</v>
      </c>
      <c r="K20" s="6" t="str">
        <f aca="false">IF(H20&lt;=-1,"风险否决",IF(F20&lt;2,"基础分有效，事件未验证",IF(I20&gt;0,"事件上调已验证",IF(I20&lt;0,"事件下调已验证","中性观察"))))</f>
        <v>基础分有效，事件未验证</v>
      </c>
    </row>
    <row r="21" customFormat="false" ht="57.75" hidden="false" customHeight="true" outlineLevel="0" collapsed="false">
      <c r="A21" s="6" t="s">
        <v>762</v>
      </c>
      <c r="B21" s="6" t="n">
        <f aca="false">VLOOKUP(A21,全行业景气度总览!$A$4:$E$50,5,FALSE())</f>
        <v>7.4</v>
      </c>
      <c r="C21" s="6" t="s">
        <v>1641</v>
      </c>
      <c r="D21" s="6" t="s">
        <v>1642</v>
      </c>
      <c r="E21" s="6" t="s">
        <v>1643</v>
      </c>
      <c r="F21" s="8" t="n">
        <v>0</v>
      </c>
      <c r="G21" s="8" t="n">
        <v>0</v>
      </c>
      <c r="H21" s="8" t="n">
        <v>0</v>
      </c>
      <c r="I21" s="6" t="n">
        <f aca="false">IF(AND(F21&gt;=2,G21&lt;&gt;0),G21,0)</f>
        <v>0</v>
      </c>
      <c r="J21" s="6" t="n">
        <f aca="false">MIN(10,MAX(1,B21+I21+H21))</f>
        <v>7.4</v>
      </c>
      <c r="K21" s="6" t="str">
        <f aca="false">IF(H21&lt;=-1,"风险否决",IF(F21&lt;2,"基础分有效，事件未验证",IF(I21&gt;0,"事件上调已验证",IF(I21&lt;0,"事件下调已验证","中性观察"))))</f>
        <v>基础分有效，事件未验证</v>
      </c>
    </row>
    <row r="22" customFormat="false" ht="57.75" hidden="false" customHeight="true" outlineLevel="0" collapsed="false">
      <c r="A22" s="6" t="s">
        <v>797</v>
      </c>
      <c r="B22" s="6" t="n">
        <f aca="false">VLOOKUP(A22,全行业景气度总览!$A$4:$E$50,5,FALSE())</f>
        <v>7.9</v>
      </c>
      <c r="C22" s="7" t="s">
        <v>1644</v>
      </c>
      <c r="D22" s="6" t="s">
        <v>1645</v>
      </c>
      <c r="E22" s="7" t="s">
        <v>1646</v>
      </c>
      <c r="F22" s="8" t="n">
        <v>0</v>
      </c>
      <c r="G22" s="8" t="n">
        <v>0</v>
      </c>
      <c r="H22" s="8" t="n">
        <v>0</v>
      </c>
      <c r="I22" s="6" t="n">
        <f aca="false">IF(AND(F22&gt;=2,G22&lt;&gt;0),G22,0)</f>
        <v>0</v>
      </c>
      <c r="J22" s="6" t="n">
        <f aca="false">MIN(10,MAX(1,B22+I22+H22))</f>
        <v>7.9</v>
      </c>
      <c r="K22" s="6" t="str">
        <f aca="false">IF(H22&lt;=-1,"风险否决",IF(F22&lt;2,"基础分有效，事件未验证",IF(I22&gt;0,"事件上调已验证",IF(I22&lt;0,"事件下调已验证","中性观察"))))</f>
        <v>基础分有效，事件未验证</v>
      </c>
    </row>
    <row r="23" customFormat="false" ht="57.75" hidden="false" customHeight="true" outlineLevel="0" collapsed="false">
      <c r="A23" s="6" t="s">
        <v>829</v>
      </c>
      <c r="B23" s="6" t="n">
        <f aca="false">VLOOKUP(A23,全行业景气度总览!$A$4:$E$50,5,FALSE())</f>
        <v>7</v>
      </c>
      <c r="C23" s="6" t="s">
        <v>1647</v>
      </c>
      <c r="D23" s="6" t="s">
        <v>1648</v>
      </c>
      <c r="E23" s="6" t="s">
        <v>1649</v>
      </c>
      <c r="F23" s="8" t="n">
        <v>0</v>
      </c>
      <c r="G23" s="8" t="n">
        <v>0</v>
      </c>
      <c r="H23" s="8" t="n">
        <v>0</v>
      </c>
      <c r="I23" s="6" t="n">
        <f aca="false">IF(AND(F23&gt;=2,G23&lt;&gt;0),G23,0)</f>
        <v>0</v>
      </c>
      <c r="J23" s="6" t="n">
        <f aca="false">MIN(10,MAX(1,B23+I23+H23))</f>
        <v>7</v>
      </c>
      <c r="K23" s="6" t="str">
        <f aca="false">IF(H23&lt;=-1,"风险否决",IF(F23&lt;2,"基础分有效，事件未验证",IF(I23&gt;0,"事件上调已验证",IF(I23&lt;0,"事件下调已验证","中性观察"))))</f>
        <v>基础分有效，事件未验证</v>
      </c>
    </row>
    <row r="24" customFormat="false" ht="57.75" hidden="false" customHeight="true" outlineLevel="0" collapsed="false">
      <c r="A24" s="6" t="s">
        <v>861</v>
      </c>
      <c r="B24" s="6" t="n">
        <f aca="false">VLOOKUP(A24,全行业景气度总览!$A$4:$E$50,5,FALSE())</f>
        <v>8.9</v>
      </c>
      <c r="C24" s="6" t="s">
        <v>1650</v>
      </c>
      <c r="D24" s="7" t="s">
        <v>1651</v>
      </c>
      <c r="E24" s="7" t="s">
        <v>1652</v>
      </c>
      <c r="F24" s="8" t="n">
        <v>0</v>
      </c>
      <c r="G24" s="8" t="n">
        <v>0</v>
      </c>
      <c r="H24" s="8" t="n">
        <v>0</v>
      </c>
      <c r="I24" s="6" t="n">
        <f aca="false">IF(AND(F24&gt;=2,G24&lt;&gt;0),G24,0)</f>
        <v>0</v>
      </c>
      <c r="J24" s="6" t="n">
        <f aca="false">MIN(10,MAX(1,B24+I24+H24))</f>
        <v>8.9</v>
      </c>
      <c r="K24" s="6" t="str">
        <f aca="false">IF(H24&lt;=-1,"风险否决",IF(F24&lt;2,"基础分有效，事件未验证",IF(I24&gt;0,"事件上调已验证",IF(I24&lt;0,"事件下调已验证","中性观察"))))</f>
        <v>基础分有效，事件未验证</v>
      </c>
    </row>
    <row r="25" customFormat="false" ht="57.75" hidden="false" customHeight="true" outlineLevel="0" collapsed="false">
      <c r="A25" s="6" t="s">
        <v>894</v>
      </c>
      <c r="B25" s="6" t="n">
        <f aca="false">VLOOKUP(A25,全行业景气度总览!$A$4:$E$50,5,FALSE())</f>
        <v>7</v>
      </c>
      <c r="C25" s="6" t="s">
        <v>1653</v>
      </c>
      <c r="D25" s="6" t="s">
        <v>1654</v>
      </c>
      <c r="E25" s="7" t="s">
        <v>1655</v>
      </c>
      <c r="F25" s="8" t="n">
        <v>0</v>
      </c>
      <c r="G25" s="8" t="n">
        <v>0</v>
      </c>
      <c r="H25" s="8" t="n">
        <v>0</v>
      </c>
      <c r="I25" s="6" t="n">
        <f aca="false">IF(AND(F25&gt;=2,G25&lt;&gt;0),G25,0)</f>
        <v>0</v>
      </c>
      <c r="J25" s="6" t="n">
        <f aca="false">MIN(10,MAX(1,B25+I25+H25))</f>
        <v>7</v>
      </c>
      <c r="K25" s="6" t="str">
        <f aca="false">IF(H25&lt;=-1,"风险否决",IF(F25&lt;2,"基础分有效，事件未验证",IF(I25&gt;0,"事件上调已验证",IF(I25&lt;0,"事件下调已验证","中性观察"))))</f>
        <v>基础分有效，事件未验证</v>
      </c>
    </row>
    <row r="26" customFormat="false" ht="57.75" hidden="false" customHeight="true" outlineLevel="0" collapsed="false">
      <c r="A26" s="6" t="s">
        <v>928</v>
      </c>
      <c r="B26" s="6" t="n">
        <f aca="false">VLOOKUP(A26,全行业景气度总览!$A$4:$E$50,5,FALSE())</f>
        <v>7.2</v>
      </c>
      <c r="C26" s="6" t="s">
        <v>1656</v>
      </c>
      <c r="D26" s="6" t="s">
        <v>1657</v>
      </c>
      <c r="E26" s="7" t="s">
        <v>1658</v>
      </c>
      <c r="F26" s="8" t="n">
        <v>0</v>
      </c>
      <c r="G26" s="8" t="n">
        <v>0</v>
      </c>
      <c r="H26" s="8" t="n">
        <v>0</v>
      </c>
      <c r="I26" s="6" t="n">
        <f aca="false">IF(AND(F26&gt;=2,G26&lt;&gt;0),G26,0)</f>
        <v>0</v>
      </c>
      <c r="J26" s="6" t="n">
        <f aca="false">MIN(10,MAX(1,B26+I26+H26))</f>
        <v>7.2</v>
      </c>
      <c r="K26" s="6" t="str">
        <f aca="false">IF(H26&lt;=-1,"风险否决",IF(F26&lt;2,"基础分有效，事件未验证",IF(I26&gt;0,"事件上调已验证",IF(I26&lt;0,"事件下调已验证","中性观察"))))</f>
        <v>基础分有效，事件未验证</v>
      </c>
    </row>
    <row r="27" customFormat="false" ht="57.75" hidden="false" customHeight="true" outlineLevel="0" collapsed="false">
      <c r="A27" s="6" t="s">
        <v>959</v>
      </c>
      <c r="B27" s="6" t="n">
        <f aca="false">VLOOKUP(A27,全行业景气度总览!$A$4:$E$50,5,FALSE())</f>
        <v>7.6</v>
      </c>
      <c r="C27" s="6" t="s">
        <v>1659</v>
      </c>
      <c r="D27" s="6" t="s">
        <v>1660</v>
      </c>
      <c r="E27" s="6" t="s">
        <v>1661</v>
      </c>
      <c r="F27" s="8" t="n">
        <v>0</v>
      </c>
      <c r="G27" s="8" t="n">
        <v>0</v>
      </c>
      <c r="H27" s="8" t="n">
        <v>0</v>
      </c>
      <c r="I27" s="6" t="n">
        <f aca="false">IF(AND(F27&gt;=2,G27&lt;&gt;0),G27,0)</f>
        <v>0</v>
      </c>
      <c r="J27" s="6" t="n">
        <f aca="false">MIN(10,MAX(1,B27+I27+H27))</f>
        <v>7.6</v>
      </c>
      <c r="K27" s="6" t="str">
        <f aca="false">IF(H27&lt;=-1,"风险否决",IF(F27&lt;2,"基础分有效，事件未验证",IF(I27&gt;0,"事件上调已验证",IF(I27&lt;0,"事件下调已验证","中性观察"))))</f>
        <v>基础分有效，事件未验证</v>
      </c>
    </row>
    <row r="28" customFormat="false" ht="57.75" hidden="false" customHeight="true" outlineLevel="0" collapsed="false">
      <c r="A28" s="6" t="s">
        <v>993</v>
      </c>
      <c r="B28" s="6" t="n">
        <f aca="false">VLOOKUP(A28,全行业景气度总览!$A$4:$E$50,5,FALSE())</f>
        <v>7.2</v>
      </c>
      <c r="C28" s="6" t="s">
        <v>1662</v>
      </c>
      <c r="D28" s="7" t="s">
        <v>1663</v>
      </c>
      <c r="E28" s="6" t="s">
        <v>1664</v>
      </c>
      <c r="F28" s="8" t="n">
        <v>0</v>
      </c>
      <c r="G28" s="8" t="n">
        <v>0</v>
      </c>
      <c r="H28" s="8" t="n">
        <v>0</v>
      </c>
      <c r="I28" s="6" t="n">
        <f aca="false">IF(AND(F28&gt;=2,G28&lt;&gt;0),G28,0)</f>
        <v>0</v>
      </c>
      <c r="J28" s="6" t="n">
        <f aca="false">MIN(10,MAX(1,B28+I28+H28))</f>
        <v>7.2</v>
      </c>
      <c r="K28" s="6" t="str">
        <f aca="false">IF(H28&lt;=-1,"风险否决",IF(F28&lt;2,"基础分有效，事件未验证",IF(I28&gt;0,"事件上调已验证",IF(I28&lt;0,"事件下调已验证","中性观察"))))</f>
        <v>基础分有效，事件未验证</v>
      </c>
    </row>
    <row r="29" customFormat="false" ht="57.75" hidden="false" customHeight="true" outlineLevel="0" collapsed="false">
      <c r="A29" s="6" t="s">
        <v>1022</v>
      </c>
      <c r="B29" s="6" t="n">
        <f aca="false">VLOOKUP(A29,全行业景气度总览!$A$4:$E$50,5,FALSE())</f>
        <v>7.5</v>
      </c>
      <c r="C29" s="6" t="s">
        <v>1665</v>
      </c>
      <c r="D29" s="6" t="s">
        <v>1666</v>
      </c>
      <c r="E29" s="6" t="s">
        <v>1667</v>
      </c>
      <c r="F29" s="8" t="n">
        <v>0</v>
      </c>
      <c r="G29" s="8" t="n">
        <v>0</v>
      </c>
      <c r="H29" s="8" t="n">
        <v>0</v>
      </c>
      <c r="I29" s="6" t="n">
        <f aca="false">IF(AND(F29&gt;=2,G29&lt;&gt;0),G29,0)</f>
        <v>0</v>
      </c>
      <c r="J29" s="6" t="n">
        <f aca="false">MIN(10,MAX(1,B29+I29+H29))</f>
        <v>7.5</v>
      </c>
      <c r="K29" s="6" t="str">
        <f aca="false">IF(H29&lt;=-1,"风险否决",IF(F29&lt;2,"基础分有效，事件未验证",IF(I29&gt;0,"事件上调已验证",IF(I29&lt;0,"事件下调已验证","中性观察"))))</f>
        <v>基础分有效，事件未验证</v>
      </c>
    </row>
    <row r="30" customFormat="false" ht="57.75" hidden="false" customHeight="true" outlineLevel="0" collapsed="false">
      <c r="A30" s="6" t="s">
        <v>1055</v>
      </c>
      <c r="B30" s="6" t="n">
        <f aca="false">VLOOKUP(A30,全行业景气度总览!$A$4:$E$50,5,FALSE())</f>
        <v>6.9</v>
      </c>
      <c r="C30" s="6" t="s">
        <v>1668</v>
      </c>
      <c r="D30" s="7" t="s">
        <v>1669</v>
      </c>
      <c r="E30" s="7" t="s">
        <v>1670</v>
      </c>
      <c r="F30" s="8" t="n">
        <v>0</v>
      </c>
      <c r="G30" s="8" t="n">
        <v>0</v>
      </c>
      <c r="H30" s="8" t="n">
        <v>0</v>
      </c>
      <c r="I30" s="6" t="n">
        <f aca="false">IF(AND(F30&gt;=2,G30&lt;&gt;0),G30,0)</f>
        <v>0</v>
      </c>
      <c r="J30" s="6" t="n">
        <f aca="false">MIN(10,MAX(1,B30+I30+H30))</f>
        <v>6.9</v>
      </c>
      <c r="K30" s="6" t="str">
        <f aca="false">IF(H30&lt;=-1,"风险否决",IF(F30&lt;2,"基础分有效，事件未验证",IF(I30&gt;0,"事件上调已验证",IF(I30&lt;0,"事件下调已验证","中性观察"))))</f>
        <v>基础分有效，事件未验证</v>
      </c>
    </row>
    <row r="31" customFormat="false" ht="57.75" hidden="false" customHeight="true" outlineLevel="0" collapsed="false">
      <c r="A31" s="6" t="s">
        <v>1091</v>
      </c>
      <c r="B31" s="6" t="n">
        <f aca="false">VLOOKUP(A31,全行业景气度总览!$A$4:$E$50,5,FALSE())</f>
        <v>7.1</v>
      </c>
      <c r="C31" s="6" t="s">
        <v>1671</v>
      </c>
      <c r="D31" s="6" t="s">
        <v>1672</v>
      </c>
      <c r="E31" s="6" t="s">
        <v>1673</v>
      </c>
      <c r="F31" s="8" t="n">
        <v>0</v>
      </c>
      <c r="G31" s="8" t="n">
        <v>0</v>
      </c>
      <c r="H31" s="8" t="n">
        <v>0</v>
      </c>
      <c r="I31" s="6" t="n">
        <f aca="false">IF(AND(F31&gt;=2,G31&lt;&gt;0),G31,0)</f>
        <v>0</v>
      </c>
      <c r="J31" s="6" t="n">
        <f aca="false">MIN(10,MAX(1,B31+I31+H31))</f>
        <v>7.1</v>
      </c>
      <c r="K31" s="6" t="str">
        <f aca="false">IF(H31&lt;=-1,"风险否决",IF(F31&lt;2,"基础分有效，事件未验证",IF(I31&gt;0,"事件上调已验证",IF(I31&lt;0,"事件下调已验证","中性观察"))))</f>
        <v>基础分有效，事件未验证</v>
      </c>
    </row>
    <row r="32" customFormat="false" ht="57.75" hidden="false" customHeight="true" outlineLevel="0" collapsed="false">
      <c r="A32" s="6" t="s">
        <v>1118</v>
      </c>
      <c r="B32" s="6" t="n">
        <f aca="false">VLOOKUP(A32,全行业景气度总览!$A$4:$E$50,5,FALSE())</f>
        <v>6.8</v>
      </c>
      <c r="C32" s="6" t="s">
        <v>1674</v>
      </c>
      <c r="D32" s="6" t="s">
        <v>1675</v>
      </c>
      <c r="E32" s="6" t="s">
        <v>1676</v>
      </c>
      <c r="F32" s="8" t="n">
        <v>0</v>
      </c>
      <c r="G32" s="8" t="n">
        <v>0</v>
      </c>
      <c r="H32" s="8" t="n">
        <v>0</v>
      </c>
      <c r="I32" s="6" t="n">
        <f aca="false">IF(AND(F32&gt;=2,G32&lt;&gt;0),G32,0)</f>
        <v>0</v>
      </c>
      <c r="J32" s="6" t="n">
        <f aca="false">MIN(10,MAX(1,B32+I32+H32))</f>
        <v>6.8</v>
      </c>
      <c r="K32" s="6" t="str">
        <f aca="false">IF(H32&lt;=-1,"风险否决",IF(F32&lt;2,"基础分有效，事件未验证",IF(I32&gt;0,"事件上调已验证",IF(I32&lt;0,"事件下调已验证","中性观察"))))</f>
        <v>基础分有效，事件未验证</v>
      </c>
    </row>
    <row r="33" customFormat="false" ht="57.75" hidden="false" customHeight="true" outlineLevel="0" collapsed="false">
      <c r="A33" s="6" t="s">
        <v>1143</v>
      </c>
      <c r="B33" s="6" t="n">
        <f aca="false">VLOOKUP(A33,全行业景气度总览!$A$4:$E$50,5,FALSE())</f>
        <v>8</v>
      </c>
      <c r="C33" s="6" t="s">
        <v>1677</v>
      </c>
      <c r="D33" s="6" t="s">
        <v>1678</v>
      </c>
      <c r="E33" s="6" t="s">
        <v>1679</v>
      </c>
      <c r="F33" s="8" t="n">
        <v>0</v>
      </c>
      <c r="G33" s="8" t="n">
        <v>0</v>
      </c>
      <c r="H33" s="8" t="n">
        <v>0</v>
      </c>
      <c r="I33" s="6" t="n">
        <f aca="false">IF(AND(F33&gt;=2,G33&lt;&gt;0),G33,0)</f>
        <v>0</v>
      </c>
      <c r="J33" s="6" t="n">
        <f aca="false">MIN(10,MAX(1,B33+I33+H33))</f>
        <v>8</v>
      </c>
      <c r="K33" s="6" t="str">
        <f aca="false">IF(H33&lt;=-1,"风险否决",IF(F33&lt;2,"基础分有效，事件未验证",IF(I33&gt;0,"事件上调已验证",IF(I33&lt;0,"事件下调已验证","中性观察"))))</f>
        <v>基础分有效，事件未验证</v>
      </c>
    </row>
    <row r="34" customFormat="false" ht="57.75" hidden="false" customHeight="true" outlineLevel="0" collapsed="false">
      <c r="A34" s="6" t="s">
        <v>1178</v>
      </c>
      <c r="B34" s="6" t="n">
        <f aca="false">VLOOKUP(A34,全行业景气度总览!$A$4:$E$50,5,FALSE())</f>
        <v>7.3</v>
      </c>
      <c r="C34" s="6" t="s">
        <v>1680</v>
      </c>
      <c r="D34" s="6" t="s">
        <v>1681</v>
      </c>
      <c r="E34" s="6" t="s">
        <v>1682</v>
      </c>
      <c r="F34" s="8" t="n">
        <v>0</v>
      </c>
      <c r="G34" s="8" t="n">
        <v>0</v>
      </c>
      <c r="H34" s="8" t="n">
        <v>0</v>
      </c>
      <c r="I34" s="6" t="n">
        <f aca="false">IF(AND(F34&gt;=2,G34&lt;&gt;0),G34,0)</f>
        <v>0</v>
      </c>
      <c r="J34" s="6" t="n">
        <f aca="false">MIN(10,MAX(1,B34+I34+H34))</f>
        <v>7.3</v>
      </c>
      <c r="K34" s="6" t="str">
        <f aca="false">IF(H34&lt;=-1,"风险否决",IF(F34&lt;2,"基础分有效，事件未验证",IF(I34&gt;0,"事件上调已验证",IF(I34&lt;0,"事件下调已验证","中性观察"))))</f>
        <v>基础分有效，事件未验证</v>
      </c>
    </row>
    <row r="35" customFormat="false" ht="57.75" hidden="false" customHeight="true" outlineLevel="0" collapsed="false">
      <c r="A35" s="6" t="s">
        <v>1206</v>
      </c>
      <c r="B35" s="6" t="n">
        <f aca="false">VLOOKUP(A35,全行业景气度总览!$A$4:$E$50,5,FALSE())</f>
        <v>7.7</v>
      </c>
      <c r="C35" s="6" t="s">
        <v>1683</v>
      </c>
      <c r="D35" s="6" t="s">
        <v>1684</v>
      </c>
      <c r="E35" s="6" t="s">
        <v>1685</v>
      </c>
      <c r="F35" s="8" t="n">
        <v>0</v>
      </c>
      <c r="G35" s="8" t="n">
        <v>0</v>
      </c>
      <c r="H35" s="8" t="n">
        <v>0</v>
      </c>
      <c r="I35" s="6" t="n">
        <f aca="false">IF(AND(F35&gt;=2,G35&lt;&gt;0),G35,0)</f>
        <v>0</v>
      </c>
      <c r="J35" s="6" t="n">
        <f aca="false">MIN(10,MAX(1,B35+I35+H35))</f>
        <v>7.7</v>
      </c>
      <c r="K35" s="6" t="str">
        <f aca="false">IF(H35&lt;=-1,"风险否决",IF(F35&lt;2,"基础分有效，事件未验证",IF(I35&gt;0,"事件上调已验证",IF(I35&lt;0,"事件下调已验证","中性观察"))))</f>
        <v>基础分有效，事件未验证</v>
      </c>
    </row>
    <row r="36" customFormat="false" ht="57.75" hidden="false" customHeight="true" outlineLevel="0" collapsed="false">
      <c r="A36" s="6" t="s">
        <v>1237</v>
      </c>
      <c r="B36" s="6" t="n">
        <f aca="false">VLOOKUP(A36,全行业景气度总览!$A$4:$E$50,5,FALSE())</f>
        <v>7.2</v>
      </c>
      <c r="C36" s="6" t="s">
        <v>1686</v>
      </c>
      <c r="D36" s="6" t="s">
        <v>1687</v>
      </c>
      <c r="E36" s="6" t="s">
        <v>1688</v>
      </c>
      <c r="F36" s="8" t="n">
        <v>0</v>
      </c>
      <c r="G36" s="8" t="n">
        <v>0</v>
      </c>
      <c r="H36" s="8" t="n">
        <v>0</v>
      </c>
      <c r="I36" s="6" t="n">
        <f aca="false">IF(AND(F36&gt;=2,G36&lt;&gt;0),G36,0)</f>
        <v>0</v>
      </c>
      <c r="J36" s="6" t="n">
        <f aca="false">MIN(10,MAX(1,B36+I36+H36))</f>
        <v>7.2</v>
      </c>
      <c r="K36" s="6" t="str">
        <f aca="false">IF(H36&lt;=-1,"风险否决",IF(F36&lt;2,"基础分有效，事件未验证",IF(I36&gt;0,"事件上调已验证",IF(I36&lt;0,"事件下调已验证","中性观察"))))</f>
        <v>基础分有效，事件未验证</v>
      </c>
    </row>
    <row r="37" customFormat="false" ht="57.75" hidden="false" customHeight="true" outlineLevel="0" collapsed="false">
      <c r="A37" s="6" t="s">
        <v>1263</v>
      </c>
      <c r="B37" s="6" t="n">
        <f aca="false">VLOOKUP(A37,全行业景气度总览!$A$4:$E$50,5,FALSE())</f>
        <v>7.8</v>
      </c>
      <c r="C37" s="6" t="s">
        <v>1689</v>
      </c>
      <c r="D37" s="6" t="s">
        <v>1690</v>
      </c>
      <c r="E37" s="6" t="s">
        <v>1691</v>
      </c>
      <c r="F37" s="8" t="n">
        <v>0</v>
      </c>
      <c r="G37" s="8" t="n">
        <v>0</v>
      </c>
      <c r="H37" s="8" t="n">
        <v>0</v>
      </c>
      <c r="I37" s="6" t="n">
        <f aca="false">IF(AND(F37&gt;=2,G37&lt;&gt;0),G37,0)</f>
        <v>0</v>
      </c>
      <c r="J37" s="6" t="n">
        <f aca="false">MIN(10,MAX(1,B37+I37+H37))</f>
        <v>7.8</v>
      </c>
      <c r="K37" s="6" t="str">
        <f aca="false">IF(H37&lt;=-1,"风险否决",IF(F37&lt;2,"基础分有效，事件未验证",IF(I37&gt;0,"事件上调已验证",IF(I37&lt;0,"事件下调已验证","中性观察"))))</f>
        <v>基础分有效，事件未验证</v>
      </c>
    </row>
    <row r="38" customFormat="false" ht="57.75" hidden="false" customHeight="true" outlineLevel="0" collapsed="false">
      <c r="A38" s="7" t="s">
        <v>1299</v>
      </c>
      <c r="B38" s="6" t="n">
        <f aca="false">VLOOKUP(A38,全行业景气度总览!$A$4:$E$50,5,FALSE())</f>
        <v>8.9</v>
      </c>
      <c r="C38" s="6" t="s">
        <v>1692</v>
      </c>
      <c r="D38" s="6" t="s">
        <v>1693</v>
      </c>
      <c r="E38" s="6" t="s">
        <v>1694</v>
      </c>
      <c r="F38" s="8" t="n">
        <v>0</v>
      </c>
      <c r="G38" s="8" t="n">
        <v>0</v>
      </c>
      <c r="H38" s="8" t="n">
        <v>0</v>
      </c>
      <c r="I38" s="6" t="n">
        <f aca="false">IF(AND(F38&gt;=2,G38&lt;&gt;0),G38,0)</f>
        <v>0</v>
      </c>
      <c r="J38" s="6" t="n">
        <f aca="false">MIN(10,MAX(1,B38+I38+H38))</f>
        <v>8.9</v>
      </c>
      <c r="K38" s="6" t="str">
        <f aca="false">IF(H38&lt;=-1,"风险否决",IF(F38&lt;2,"基础分有效，事件未验证",IF(I38&gt;0,"事件上调已验证",IF(I38&lt;0,"事件下调已验证","中性观察"))))</f>
        <v>基础分有效，事件未验证</v>
      </c>
    </row>
    <row r="39" customFormat="false" ht="57.75" hidden="false" customHeight="true" outlineLevel="0" collapsed="false">
      <c r="A39" s="6" t="s">
        <v>1330</v>
      </c>
      <c r="B39" s="6" t="n">
        <f aca="false">VLOOKUP(A39,全行业景气度总览!$A$4:$E$50,5,FALSE())</f>
        <v>7.5</v>
      </c>
      <c r="C39" s="6" t="s">
        <v>1695</v>
      </c>
      <c r="D39" s="6" t="s">
        <v>1696</v>
      </c>
      <c r="E39" s="6" t="s">
        <v>1697</v>
      </c>
      <c r="F39" s="8" t="n">
        <v>0</v>
      </c>
      <c r="G39" s="8" t="n">
        <v>0</v>
      </c>
      <c r="H39" s="8" t="n">
        <v>0</v>
      </c>
      <c r="I39" s="6" t="n">
        <f aca="false">IF(AND(F39&gt;=2,G39&lt;&gt;0),G39,0)</f>
        <v>0</v>
      </c>
      <c r="J39" s="6" t="n">
        <f aca="false">MIN(10,MAX(1,B39+I39+H39))</f>
        <v>7.5</v>
      </c>
      <c r="K39" s="6" t="str">
        <f aca="false">IF(H39&lt;=-1,"风险否决",IF(F39&lt;2,"基础分有效，事件未验证",IF(I39&gt;0,"事件上调已验证",IF(I39&lt;0,"事件下调已验证","中性观察"))))</f>
        <v>基础分有效，事件未验证</v>
      </c>
    </row>
    <row r="40" customFormat="false" ht="57.75" hidden="false" customHeight="true" outlineLevel="0" collapsed="false">
      <c r="A40" s="6" t="s">
        <v>1373</v>
      </c>
      <c r="B40" s="6" t="n">
        <f aca="false">VLOOKUP(A40,全行业景气度总览!$A$4:$E$50,5,FALSE())</f>
        <v>7.1</v>
      </c>
      <c r="C40" s="6" t="s">
        <v>1698</v>
      </c>
      <c r="D40" s="6" t="s">
        <v>1699</v>
      </c>
      <c r="E40" s="6" t="s">
        <v>1700</v>
      </c>
      <c r="F40" s="8" t="n">
        <v>0</v>
      </c>
      <c r="G40" s="8" t="n">
        <v>0</v>
      </c>
      <c r="H40" s="8" t="n">
        <v>0</v>
      </c>
      <c r="I40" s="6" t="n">
        <f aca="false">IF(AND(F40&gt;=2,G40&lt;&gt;0),G40,0)</f>
        <v>0</v>
      </c>
      <c r="J40" s="6" t="n">
        <f aca="false">MIN(10,MAX(1,B40+I40+H40))</f>
        <v>7.1</v>
      </c>
      <c r="K40" s="6" t="str">
        <f aca="false">IF(H40&lt;=-1,"风险否决",IF(F40&lt;2,"基础分有效，事件未验证",IF(I40&gt;0,"事件上调已验证",IF(I40&lt;0,"事件下调已验证","中性观察"))))</f>
        <v>基础分有效，事件未验证</v>
      </c>
    </row>
    <row r="41" customFormat="false" ht="57.75" hidden="false" customHeight="true" outlineLevel="0" collapsed="false">
      <c r="A41" s="6" t="s">
        <v>1413</v>
      </c>
      <c r="B41" s="6" t="n">
        <f aca="false">VLOOKUP(A41,全行业景气度总览!$A$4:$E$50,5,FALSE())</f>
        <v>7.9</v>
      </c>
      <c r="C41" s="6" t="s">
        <v>1701</v>
      </c>
      <c r="D41" s="6" t="s">
        <v>1702</v>
      </c>
      <c r="E41" s="6" t="s">
        <v>1703</v>
      </c>
      <c r="F41" s="8" t="n">
        <v>0</v>
      </c>
      <c r="G41" s="8" t="n">
        <v>0</v>
      </c>
      <c r="H41" s="8" t="n">
        <v>0</v>
      </c>
      <c r="I41" s="6" t="n">
        <f aca="false">IF(AND(F41&gt;=2,G41&lt;&gt;0),G41,0)</f>
        <v>0</v>
      </c>
      <c r="J41" s="6" t="n">
        <f aca="false">MIN(10,MAX(1,B41+I41+H41))</f>
        <v>7.9</v>
      </c>
      <c r="K41" s="6" t="str">
        <f aca="false">IF(H41&lt;=-1,"风险否决",IF(F41&lt;2,"基础分有效，事件未验证",IF(I41&gt;0,"事件上调已验证",IF(I41&lt;0,"事件下调已验证","中性观察"))))</f>
        <v>基础分有效，事件未验证</v>
      </c>
    </row>
    <row r="42" customFormat="false" ht="57.75" hidden="false" customHeight="true" outlineLevel="0" collapsed="false">
      <c r="A42" s="6" t="s">
        <v>1455</v>
      </c>
      <c r="B42" s="6" t="n">
        <f aca="false">VLOOKUP(A42,全行业景气度总览!$A$4:$E$50,5,FALSE())</f>
        <v>8</v>
      </c>
      <c r="C42" s="6" t="s">
        <v>1704</v>
      </c>
      <c r="D42" s="6" t="s">
        <v>1705</v>
      </c>
      <c r="E42" s="6" t="s">
        <v>1673</v>
      </c>
      <c r="F42" s="8" t="n">
        <v>0</v>
      </c>
      <c r="G42" s="8" t="n">
        <v>0</v>
      </c>
      <c r="H42" s="8" t="n">
        <v>0</v>
      </c>
      <c r="I42" s="6" t="n">
        <f aca="false">IF(AND(F42&gt;=2,G42&lt;&gt;0),G42,0)</f>
        <v>0</v>
      </c>
      <c r="J42" s="6" t="n">
        <f aca="false">MIN(10,MAX(1,B42+I42+H42))</f>
        <v>8</v>
      </c>
      <c r="K42" s="6" t="str">
        <f aca="false">IF(H42&lt;=-1,"风险否决",IF(F42&lt;2,"基础分有效，事件未验证",IF(I42&gt;0,"事件上调已验证",IF(I42&lt;0,"事件下调已验证","中性观察"))))</f>
        <v>基础分有效，事件未验证</v>
      </c>
    </row>
    <row r="43" customFormat="false" ht="57.75" hidden="false" customHeight="true" outlineLevel="0" collapsed="false">
      <c r="A43" s="7" t="s">
        <v>1493</v>
      </c>
      <c r="B43" s="6" t="n">
        <f aca="false">VLOOKUP(A43,全行业景气度总览!$A$4:$E$50,5,FALSE())</f>
        <v>7.6</v>
      </c>
      <c r="C43" s="6" t="s">
        <v>1706</v>
      </c>
      <c r="D43" s="6" t="s">
        <v>1707</v>
      </c>
      <c r="E43" s="7" t="s">
        <v>1708</v>
      </c>
      <c r="F43" s="8" t="n">
        <v>0</v>
      </c>
      <c r="G43" s="8" t="n">
        <v>0</v>
      </c>
      <c r="H43" s="8" t="n">
        <v>0</v>
      </c>
      <c r="I43" s="6" t="n">
        <f aca="false">IF(AND(F43&gt;=2,G43&lt;&gt;0),G43,0)</f>
        <v>0</v>
      </c>
      <c r="J43" s="6" t="n">
        <f aca="false">MIN(10,MAX(1,B43+I43+H43))</f>
        <v>7.6</v>
      </c>
      <c r="K43" s="6" t="str">
        <f aca="false">IF(H43&lt;=-1,"风险否决",IF(F43&lt;2,"基础分有效，事件未验证",IF(I43&gt;0,"事件上调已验证",IF(I43&lt;0,"事件下调已验证","中性观察"))))</f>
        <v>基础分有效，事件未验证</v>
      </c>
    </row>
    <row r="44" customFormat="false" ht="57.75" hidden="false" customHeight="true" outlineLevel="0" collapsed="false">
      <c r="A44" s="6" t="s">
        <v>1535</v>
      </c>
      <c r="B44" s="6" t="n">
        <f aca="false">VLOOKUP(A44,全行业景气度总览!$A$4:$E$50,5,FALSE())</f>
        <v>8</v>
      </c>
      <c r="C44" s="6" t="s">
        <v>1709</v>
      </c>
      <c r="D44" s="7" t="s">
        <v>1710</v>
      </c>
      <c r="E44" s="6" t="s">
        <v>1711</v>
      </c>
      <c r="F44" s="8" t="n">
        <v>0</v>
      </c>
      <c r="G44" s="8" t="n">
        <v>0</v>
      </c>
      <c r="H44" s="8" t="n">
        <v>0</v>
      </c>
      <c r="I44" s="6" t="n">
        <f aca="false">IF(AND(F44&gt;=2,G44&lt;&gt;0),G44,0)</f>
        <v>0</v>
      </c>
      <c r="J44" s="6" t="n">
        <f aca="false">MIN(10,MAX(1,B44+I44+H44))</f>
        <v>8</v>
      </c>
      <c r="K44" s="6" t="str">
        <f aca="false">IF(H44&lt;=-1,"风险否决",IF(F44&lt;2,"基础分有效，事件未验证",IF(I44&gt;0,"事件上调已验证",IF(I44&lt;0,"事件下调已验证","中性观察"))))</f>
        <v>基础分有效，事件未验证</v>
      </c>
    </row>
  </sheetData>
  <autoFilter ref="A1:K44"/>
  <dataValidations count="3">
    <dataValidation allowBlank="false" errorStyle="stop" operator="between" showDropDown="false" showErrorMessage="false" showInputMessage="false" sqref="F2:F44" type="whole">
      <formula1>0</formula1>
      <formula2>3</formula2>
    </dataValidation>
    <dataValidation allowBlank="false" errorStyle="stop" operator="between" showDropDown="false" showErrorMessage="false" showInputMessage="false" sqref="G2:G44" type="decimal">
      <formula1>-1.5</formula1>
      <formula2>1.5</formula2>
    </dataValidation>
    <dataValidation allowBlank="false" errorStyle="stop" operator="between" showDropDown="false" showErrorMessage="false" showInputMessage="false" sqref="H2:H44" type="decimal">
      <formula1>-1.5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10" min="9" style="0" width="35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40"/>
  </cols>
  <sheetData>
    <row r="1" customFormat="false" ht="26.85" hidden="false" customHeight="false" outlineLevel="0" collapsed="false">
      <c r="A1" s="10" t="s">
        <v>1712</v>
      </c>
      <c r="B1" s="10" t="s">
        <v>1713</v>
      </c>
      <c r="C1" s="10" t="s">
        <v>1714</v>
      </c>
      <c r="D1" s="10" t="s">
        <v>1715</v>
      </c>
      <c r="E1" s="10" t="s">
        <v>1716</v>
      </c>
      <c r="F1" s="10" t="s">
        <v>1717</v>
      </c>
      <c r="G1" s="10" t="s">
        <v>1718</v>
      </c>
      <c r="H1" s="10" t="s">
        <v>1579</v>
      </c>
      <c r="I1" s="10" t="s">
        <v>1719</v>
      </c>
      <c r="J1" s="10" t="s">
        <v>1720</v>
      </c>
      <c r="K1" s="10" t="s">
        <v>1721</v>
      </c>
      <c r="L1" s="10" t="s">
        <v>1722</v>
      </c>
      <c r="M1" s="10" t="s">
        <v>1723</v>
      </c>
    </row>
    <row r="2" customFormat="false" ht="15" hidden="false" customHeight="false" outlineLevel="0" collapsed="false">
      <c r="A2" s="11" t="s">
        <v>1724</v>
      </c>
      <c r="L2" s="12" t="s">
        <v>1725</v>
      </c>
    </row>
    <row r="3" customFormat="false" ht="15" hidden="false" customHeight="false" outlineLevel="0" collapsed="false">
      <c r="A3" s="11" t="s">
        <v>1726</v>
      </c>
      <c r="L3" s="12" t="s">
        <v>1725</v>
      </c>
    </row>
    <row r="4" customFormat="false" ht="15" hidden="false" customHeight="false" outlineLevel="0" collapsed="false">
      <c r="A4" s="11" t="s">
        <v>1727</v>
      </c>
      <c r="L4" s="12" t="s">
        <v>1725</v>
      </c>
    </row>
    <row r="5" customFormat="false" ht="15" hidden="false" customHeight="false" outlineLevel="0" collapsed="false">
      <c r="A5" s="11" t="s">
        <v>1728</v>
      </c>
      <c r="L5" s="12" t="s">
        <v>1725</v>
      </c>
    </row>
    <row r="6" customFormat="false" ht="15" hidden="false" customHeight="false" outlineLevel="0" collapsed="false">
      <c r="A6" s="11" t="s">
        <v>1729</v>
      </c>
      <c r="L6" s="12" t="s">
        <v>1725</v>
      </c>
    </row>
    <row r="7" customFormat="false" ht="15" hidden="false" customHeight="false" outlineLevel="0" collapsed="false">
      <c r="A7" s="11" t="s">
        <v>1730</v>
      </c>
      <c r="L7" s="12" t="s">
        <v>1725</v>
      </c>
    </row>
    <row r="8" customFormat="false" ht="15" hidden="false" customHeight="false" outlineLevel="0" collapsed="false">
      <c r="A8" s="11" t="s">
        <v>1731</v>
      </c>
      <c r="L8" s="12" t="s">
        <v>1725</v>
      </c>
    </row>
    <row r="9" customFormat="false" ht="15" hidden="false" customHeight="false" outlineLevel="0" collapsed="false">
      <c r="A9" s="11" t="s">
        <v>1732</v>
      </c>
      <c r="L9" s="12" t="s">
        <v>1725</v>
      </c>
    </row>
    <row r="10" customFormat="false" ht="15" hidden="false" customHeight="false" outlineLevel="0" collapsed="false">
      <c r="A10" s="11" t="s">
        <v>1733</v>
      </c>
      <c r="L10" s="12" t="s">
        <v>1725</v>
      </c>
    </row>
    <row r="11" customFormat="false" ht="15" hidden="false" customHeight="false" outlineLevel="0" collapsed="false">
      <c r="A11" s="11" t="s">
        <v>1734</v>
      </c>
      <c r="L11" s="12" t="s">
        <v>1725</v>
      </c>
    </row>
    <row r="12" customFormat="false" ht="15" hidden="false" customHeight="false" outlineLevel="0" collapsed="false">
      <c r="A12" s="11" t="s">
        <v>1735</v>
      </c>
      <c r="L12" s="12" t="s">
        <v>1725</v>
      </c>
    </row>
    <row r="13" customFormat="false" ht="15" hidden="false" customHeight="false" outlineLevel="0" collapsed="false">
      <c r="A13" s="11" t="s">
        <v>1736</v>
      </c>
      <c r="L13" s="12" t="s">
        <v>1725</v>
      </c>
    </row>
    <row r="14" customFormat="false" ht="15" hidden="false" customHeight="false" outlineLevel="0" collapsed="false">
      <c r="A14" s="11" t="s">
        <v>1737</v>
      </c>
      <c r="L14" s="12" t="s">
        <v>1725</v>
      </c>
    </row>
    <row r="15" customFormat="false" ht="15" hidden="false" customHeight="false" outlineLevel="0" collapsed="false">
      <c r="A15" s="11" t="s">
        <v>1738</v>
      </c>
      <c r="L15" s="12" t="s">
        <v>1725</v>
      </c>
    </row>
    <row r="16" customFormat="false" ht="15" hidden="false" customHeight="false" outlineLevel="0" collapsed="false">
      <c r="A16" s="11" t="s">
        <v>1739</v>
      </c>
      <c r="L16" s="12" t="s">
        <v>1725</v>
      </c>
    </row>
    <row r="17" customFormat="false" ht="15" hidden="false" customHeight="false" outlineLevel="0" collapsed="false">
      <c r="A17" s="11" t="s">
        <v>1740</v>
      </c>
      <c r="L17" s="12" t="s">
        <v>1725</v>
      </c>
    </row>
    <row r="18" customFormat="false" ht="15" hidden="false" customHeight="false" outlineLevel="0" collapsed="false">
      <c r="A18" s="11" t="s">
        <v>1741</v>
      </c>
      <c r="L18" s="12" t="s">
        <v>1725</v>
      </c>
    </row>
    <row r="19" customFormat="false" ht="15" hidden="false" customHeight="false" outlineLevel="0" collapsed="false">
      <c r="A19" s="11" t="s">
        <v>1742</v>
      </c>
      <c r="L19" s="12" t="s">
        <v>1725</v>
      </c>
    </row>
    <row r="20" customFormat="false" ht="15" hidden="false" customHeight="false" outlineLevel="0" collapsed="false">
      <c r="A20" s="11" t="s">
        <v>1743</v>
      </c>
      <c r="L20" s="12" t="s">
        <v>1725</v>
      </c>
    </row>
    <row r="21" customFormat="false" ht="15" hidden="false" customHeight="false" outlineLevel="0" collapsed="false">
      <c r="A21" s="11" t="s">
        <v>1744</v>
      </c>
      <c r="L21" s="12" t="s">
        <v>1725</v>
      </c>
    </row>
    <row r="22" customFormat="false" ht="15" hidden="false" customHeight="false" outlineLevel="0" collapsed="false">
      <c r="A22" s="11" t="s">
        <v>1745</v>
      </c>
      <c r="L22" s="12" t="s">
        <v>1725</v>
      </c>
    </row>
    <row r="23" customFormat="false" ht="15" hidden="false" customHeight="false" outlineLevel="0" collapsed="false">
      <c r="A23" s="11" t="s">
        <v>1746</v>
      </c>
      <c r="L23" s="12" t="s">
        <v>1725</v>
      </c>
    </row>
    <row r="24" customFormat="false" ht="15" hidden="false" customHeight="false" outlineLevel="0" collapsed="false">
      <c r="A24" s="11" t="s">
        <v>1747</v>
      </c>
      <c r="L24" s="12" t="s">
        <v>1725</v>
      </c>
    </row>
    <row r="25" customFormat="false" ht="15" hidden="false" customHeight="false" outlineLevel="0" collapsed="false">
      <c r="A25" s="11" t="s">
        <v>1748</v>
      </c>
      <c r="L25" s="12" t="s">
        <v>1725</v>
      </c>
    </row>
    <row r="26" customFormat="false" ht="15" hidden="false" customHeight="false" outlineLevel="0" collapsed="false">
      <c r="A26" s="11" t="s">
        <v>1749</v>
      </c>
      <c r="L26" s="12" t="s">
        <v>1725</v>
      </c>
    </row>
    <row r="27" customFormat="false" ht="15" hidden="false" customHeight="false" outlineLevel="0" collapsed="false">
      <c r="A27" s="11" t="s">
        <v>1750</v>
      </c>
      <c r="L27" s="12" t="s">
        <v>1725</v>
      </c>
    </row>
    <row r="28" customFormat="false" ht="15" hidden="false" customHeight="false" outlineLevel="0" collapsed="false">
      <c r="A28" s="11" t="s">
        <v>1751</v>
      </c>
      <c r="L28" s="12" t="s">
        <v>1725</v>
      </c>
    </row>
    <row r="29" customFormat="false" ht="15" hidden="false" customHeight="false" outlineLevel="0" collapsed="false">
      <c r="A29" s="11" t="s">
        <v>1752</v>
      </c>
      <c r="L29" s="12" t="s">
        <v>1725</v>
      </c>
    </row>
    <row r="30" customFormat="false" ht="15" hidden="false" customHeight="false" outlineLevel="0" collapsed="false">
      <c r="A30" s="11" t="s">
        <v>1753</v>
      </c>
      <c r="L30" s="12" t="s">
        <v>1725</v>
      </c>
    </row>
    <row r="31" customFormat="false" ht="15" hidden="false" customHeight="false" outlineLevel="0" collapsed="false">
      <c r="A31" s="11" t="s">
        <v>1754</v>
      </c>
      <c r="L31" s="12" t="s">
        <v>1725</v>
      </c>
    </row>
    <row r="32" customFormat="false" ht="15" hidden="false" customHeight="false" outlineLevel="0" collapsed="false">
      <c r="A32" s="11" t="s">
        <v>1755</v>
      </c>
      <c r="L32" s="12" t="s">
        <v>1725</v>
      </c>
    </row>
    <row r="33" customFormat="false" ht="15" hidden="false" customHeight="false" outlineLevel="0" collapsed="false">
      <c r="A33" s="11" t="s">
        <v>1756</v>
      </c>
      <c r="L33" s="12" t="s">
        <v>1725</v>
      </c>
    </row>
    <row r="34" customFormat="false" ht="15" hidden="false" customHeight="false" outlineLevel="0" collapsed="false">
      <c r="A34" s="11" t="s">
        <v>1757</v>
      </c>
      <c r="L34" s="12" t="s">
        <v>1725</v>
      </c>
    </row>
    <row r="35" customFormat="false" ht="15" hidden="false" customHeight="false" outlineLevel="0" collapsed="false">
      <c r="A35" s="11" t="s">
        <v>1758</v>
      </c>
      <c r="L35" s="12" t="s">
        <v>1725</v>
      </c>
    </row>
    <row r="36" customFormat="false" ht="15" hidden="false" customHeight="false" outlineLevel="0" collapsed="false">
      <c r="A36" s="11" t="s">
        <v>1759</v>
      </c>
      <c r="L36" s="12" t="s">
        <v>1725</v>
      </c>
    </row>
    <row r="37" customFormat="false" ht="15" hidden="false" customHeight="false" outlineLevel="0" collapsed="false">
      <c r="A37" s="11" t="s">
        <v>1760</v>
      </c>
      <c r="L37" s="12" t="s">
        <v>1725</v>
      </c>
    </row>
    <row r="38" customFormat="false" ht="15" hidden="false" customHeight="false" outlineLevel="0" collapsed="false">
      <c r="A38" s="11" t="s">
        <v>1761</v>
      </c>
      <c r="L38" s="12" t="s">
        <v>1725</v>
      </c>
    </row>
    <row r="39" customFormat="false" ht="15" hidden="false" customHeight="false" outlineLevel="0" collapsed="false">
      <c r="A39" s="11" t="s">
        <v>1762</v>
      </c>
      <c r="L39" s="12" t="s">
        <v>1725</v>
      </c>
    </row>
    <row r="40" customFormat="false" ht="15" hidden="false" customHeight="false" outlineLevel="0" collapsed="false">
      <c r="A40" s="11" t="s">
        <v>1763</v>
      </c>
      <c r="L40" s="12" t="s">
        <v>1725</v>
      </c>
    </row>
    <row r="41" customFormat="false" ht="15" hidden="false" customHeight="false" outlineLevel="0" collapsed="false">
      <c r="A41" s="11" t="s">
        <v>1764</v>
      </c>
      <c r="L41" s="12" t="s">
        <v>1725</v>
      </c>
    </row>
    <row r="42" customFormat="false" ht="15" hidden="false" customHeight="false" outlineLevel="0" collapsed="false">
      <c r="A42" s="11" t="s">
        <v>1765</v>
      </c>
      <c r="L42" s="12" t="s">
        <v>1725</v>
      </c>
    </row>
    <row r="43" customFormat="false" ht="15" hidden="false" customHeight="false" outlineLevel="0" collapsed="false">
      <c r="A43" s="11" t="s">
        <v>1766</v>
      </c>
      <c r="L43" s="12" t="s">
        <v>1725</v>
      </c>
    </row>
    <row r="44" customFormat="false" ht="15" hidden="false" customHeight="false" outlineLevel="0" collapsed="false">
      <c r="A44" s="11" t="s">
        <v>1767</v>
      </c>
      <c r="L44" s="12" t="s">
        <v>1725</v>
      </c>
    </row>
    <row r="45" customFormat="false" ht="15" hidden="false" customHeight="false" outlineLevel="0" collapsed="false">
      <c r="A45" s="11" t="s">
        <v>1768</v>
      </c>
      <c r="L45" s="12" t="s">
        <v>1725</v>
      </c>
    </row>
    <row r="46" customFormat="false" ht="15" hidden="false" customHeight="false" outlineLevel="0" collapsed="false">
      <c r="A46" s="11" t="s">
        <v>1769</v>
      </c>
      <c r="L46" s="12" t="s">
        <v>1725</v>
      </c>
    </row>
    <row r="47" customFormat="false" ht="15" hidden="false" customHeight="false" outlineLevel="0" collapsed="false">
      <c r="A47" s="11" t="s">
        <v>1770</v>
      </c>
      <c r="L47" s="12" t="s">
        <v>1725</v>
      </c>
    </row>
    <row r="48" customFormat="false" ht="15" hidden="false" customHeight="false" outlineLevel="0" collapsed="false">
      <c r="A48" s="11" t="s">
        <v>1771</v>
      </c>
      <c r="L48" s="12" t="s">
        <v>1725</v>
      </c>
    </row>
    <row r="49" customFormat="false" ht="15" hidden="false" customHeight="false" outlineLevel="0" collapsed="false">
      <c r="A49" s="11" t="s">
        <v>1772</v>
      </c>
      <c r="L49" s="12" t="s">
        <v>1725</v>
      </c>
    </row>
    <row r="50" customFormat="false" ht="15" hidden="false" customHeight="false" outlineLevel="0" collapsed="false">
      <c r="A50" s="11" t="s">
        <v>1773</v>
      </c>
      <c r="L50" s="12" t="s">
        <v>1725</v>
      </c>
    </row>
    <row r="51" customFormat="false" ht="15" hidden="false" customHeight="false" outlineLevel="0" collapsed="false">
      <c r="A51" s="11" t="s">
        <v>1774</v>
      </c>
      <c r="L51" s="12" t="s">
        <v>1725</v>
      </c>
    </row>
    <row r="52" customFormat="false" ht="15" hidden="false" customHeight="false" outlineLevel="0" collapsed="false">
      <c r="A52" s="11" t="s">
        <v>1775</v>
      </c>
      <c r="L52" s="12" t="s">
        <v>1725</v>
      </c>
    </row>
    <row r="53" customFormat="false" ht="15" hidden="false" customHeight="false" outlineLevel="0" collapsed="false">
      <c r="A53" s="11" t="s">
        <v>1776</v>
      </c>
      <c r="L53" s="12" t="s">
        <v>1725</v>
      </c>
    </row>
    <row r="54" customFormat="false" ht="15" hidden="false" customHeight="false" outlineLevel="0" collapsed="false">
      <c r="A54" s="11" t="s">
        <v>1777</v>
      </c>
      <c r="L54" s="12" t="s">
        <v>1725</v>
      </c>
    </row>
    <row r="55" customFormat="false" ht="15" hidden="false" customHeight="false" outlineLevel="0" collapsed="false">
      <c r="A55" s="11" t="s">
        <v>1778</v>
      </c>
      <c r="L55" s="12" t="s">
        <v>1725</v>
      </c>
    </row>
    <row r="56" customFormat="false" ht="15" hidden="false" customHeight="false" outlineLevel="0" collapsed="false">
      <c r="A56" s="11" t="s">
        <v>1779</v>
      </c>
      <c r="L56" s="12" t="s">
        <v>1725</v>
      </c>
    </row>
    <row r="57" customFormat="false" ht="15" hidden="false" customHeight="false" outlineLevel="0" collapsed="false">
      <c r="A57" s="11" t="s">
        <v>1780</v>
      </c>
      <c r="L57" s="12" t="s">
        <v>1725</v>
      </c>
    </row>
    <row r="58" customFormat="false" ht="15" hidden="false" customHeight="false" outlineLevel="0" collapsed="false">
      <c r="A58" s="11" t="s">
        <v>1781</v>
      </c>
      <c r="L58" s="12" t="s">
        <v>1725</v>
      </c>
    </row>
    <row r="59" customFormat="false" ht="15" hidden="false" customHeight="false" outlineLevel="0" collapsed="false">
      <c r="A59" s="11" t="s">
        <v>1782</v>
      </c>
      <c r="L59" s="12" t="s">
        <v>1725</v>
      </c>
    </row>
    <row r="60" customFormat="false" ht="15" hidden="false" customHeight="false" outlineLevel="0" collapsed="false">
      <c r="A60" s="11" t="s">
        <v>1783</v>
      </c>
      <c r="L60" s="12" t="s">
        <v>1725</v>
      </c>
    </row>
    <row r="61" customFormat="false" ht="15" hidden="false" customHeight="false" outlineLevel="0" collapsed="false">
      <c r="A61" s="11" t="s">
        <v>1784</v>
      </c>
      <c r="L61" s="12" t="s">
        <v>1725</v>
      </c>
    </row>
    <row r="62" customFormat="false" ht="15" hidden="false" customHeight="false" outlineLevel="0" collapsed="false">
      <c r="A62" s="11" t="s">
        <v>1785</v>
      </c>
      <c r="L62" s="12" t="s">
        <v>1725</v>
      </c>
    </row>
    <row r="63" customFormat="false" ht="15" hidden="false" customHeight="false" outlineLevel="0" collapsed="false">
      <c r="A63" s="11" t="s">
        <v>1786</v>
      </c>
      <c r="L63" s="12" t="s">
        <v>1725</v>
      </c>
    </row>
    <row r="64" customFormat="false" ht="15" hidden="false" customHeight="false" outlineLevel="0" collapsed="false">
      <c r="A64" s="11" t="s">
        <v>1787</v>
      </c>
      <c r="L64" s="12" t="s">
        <v>1725</v>
      </c>
    </row>
    <row r="65" customFormat="false" ht="15" hidden="false" customHeight="false" outlineLevel="0" collapsed="false">
      <c r="A65" s="11" t="s">
        <v>1788</v>
      </c>
      <c r="L65" s="12" t="s">
        <v>1725</v>
      </c>
    </row>
    <row r="66" customFormat="false" ht="15" hidden="false" customHeight="false" outlineLevel="0" collapsed="false">
      <c r="A66" s="11" t="s">
        <v>1789</v>
      </c>
      <c r="L66" s="12" t="s">
        <v>1725</v>
      </c>
    </row>
    <row r="67" customFormat="false" ht="15" hidden="false" customHeight="false" outlineLevel="0" collapsed="false">
      <c r="A67" s="11" t="s">
        <v>1790</v>
      </c>
      <c r="L67" s="12" t="s">
        <v>1725</v>
      </c>
    </row>
    <row r="68" customFormat="false" ht="15" hidden="false" customHeight="false" outlineLevel="0" collapsed="false">
      <c r="A68" s="11" t="s">
        <v>1791</v>
      </c>
      <c r="L68" s="12" t="s">
        <v>1725</v>
      </c>
    </row>
    <row r="69" customFormat="false" ht="15" hidden="false" customHeight="false" outlineLevel="0" collapsed="false">
      <c r="A69" s="11" t="s">
        <v>1792</v>
      </c>
      <c r="L69" s="12" t="s">
        <v>1725</v>
      </c>
    </row>
    <row r="70" customFormat="false" ht="15" hidden="false" customHeight="false" outlineLevel="0" collapsed="false">
      <c r="A70" s="11" t="s">
        <v>1793</v>
      </c>
      <c r="L70" s="12" t="s">
        <v>1725</v>
      </c>
    </row>
    <row r="71" customFormat="false" ht="15" hidden="false" customHeight="false" outlineLevel="0" collapsed="false">
      <c r="A71" s="11" t="s">
        <v>1794</v>
      </c>
      <c r="L71" s="12" t="s">
        <v>1725</v>
      </c>
    </row>
    <row r="72" customFormat="false" ht="15" hidden="false" customHeight="false" outlineLevel="0" collapsed="false">
      <c r="A72" s="11" t="s">
        <v>1795</v>
      </c>
      <c r="L72" s="12" t="s">
        <v>1725</v>
      </c>
    </row>
    <row r="73" customFormat="false" ht="15" hidden="false" customHeight="false" outlineLevel="0" collapsed="false">
      <c r="A73" s="11" t="s">
        <v>1796</v>
      </c>
      <c r="L73" s="12" t="s">
        <v>1725</v>
      </c>
    </row>
    <row r="74" customFormat="false" ht="15" hidden="false" customHeight="false" outlineLevel="0" collapsed="false">
      <c r="A74" s="11" t="s">
        <v>1797</v>
      </c>
      <c r="L74" s="12" t="s">
        <v>1725</v>
      </c>
    </row>
    <row r="75" customFormat="false" ht="15" hidden="false" customHeight="false" outlineLevel="0" collapsed="false">
      <c r="A75" s="11" t="s">
        <v>1798</v>
      </c>
      <c r="L75" s="12" t="s">
        <v>1725</v>
      </c>
    </row>
    <row r="76" customFormat="false" ht="15" hidden="false" customHeight="false" outlineLevel="0" collapsed="false">
      <c r="A76" s="11" t="s">
        <v>1799</v>
      </c>
      <c r="L76" s="12" t="s">
        <v>1725</v>
      </c>
    </row>
    <row r="77" customFormat="false" ht="15" hidden="false" customHeight="false" outlineLevel="0" collapsed="false">
      <c r="A77" s="11" t="s">
        <v>1800</v>
      </c>
      <c r="L77" s="12" t="s">
        <v>1725</v>
      </c>
    </row>
    <row r="78" customFormat="false" ht="15" hidden="false" customHeight="false" outlineLevel="0" collapsed="false">
      <c r="A78" s="11" t="s">
        <v>1801</v>
      </c>
      <c r="L78" s="12" t="s">
        <v>1725</v>
      </c>
    </row>
    <row r="79" customFormat="false" ht="15" hidden="false" customHeight="false" outlineLevel="0" collapsed="false">
      <c r="A79" s="11" t="s">
        <v>1802</v>
      </c>
      <c r="L79" s="12" t="s">
        <v>1725</v>
      </c>
    </row>
    <row r="80" customFormat="false" ht="15" hidden="false" customHeight="false" outlineLevel="0" collapsed="false">
      <c r="A80" s="11" t="s">
        <v>1803</v>
      </c>
      <c r="L80" s="12" t="s">
        <v>1725</v>
      </c>
    </row>
    <row r="81" customFormat="false" ht="15" hidden="false" customHeight="false" outlineLevel="0" collapsed="false">
      <c r="A81" s="11" t="s">
        <v>1804</v>
      </c>
      <c r="L81" s="12" t="s">
        <v>1725</v>
      </c>
    </row>
    <row r="82" customFormat="false" ht="15" hidden="false" customHeight="false" outlineLevel="0" collapsed="false">
      <c r="A82" s="11" t="s">
        <v>1805</v>
      </c>
      <c r="L82" s="12" t="s">
        <v>1725</v>
      </c>
    </row>
    <row r="83" customFormat="false" ht="15" hidden="false" customHeight="false" outlineLevel="0" collapsed="false">
      <c r="A83" s="11" t="s">
        <v>1806</v>
      </c>
      <c r="L83" s="12" t="s">
        <v>1725</v>
      </c>
    </row>
    <row r="84" customFormat="false" ht="15" hidden="false" customHeight="false" outlineLevel="0" collapsed="false">
      <c r="A84" s="11" t="s">
        <v>1807</v>
      </c>
      <c r="L84" s="12" t="s">
        <v>1725</v>
      </c>
    </row>
    <row r="85" customFormat="false" ht="15" hidden="false" customHeight="false" outlineLevel="0" collapsed="false">
      <c r="A85" s="11" t="s">
        <v>1808</v>
      </c>
      <c r="L85" s="12" t="s">
        <v>1725</v>
      </c>
    </row>
    <row r="86" customFormat="false" ht="15" hidden="false" customHeight="false" outlineLevel="0" collapsed="false">
      <c r="A86" s="11" t="s">
        <v>1809</v>
      </c>
      <c r="L86" s="12" t="s">
        <v>1725</v>
      </c>
    </row>
    <row r="87" customFormat="false" ht="15" hidden="false" customHeight="false" outlineLevel="0" collapsed="false">
      <c r="A87" s="11" t="s">
        <v>1810</v>
      </c>
      <c r="L87" s="12" t="s">
        <v>1725</v>
      </c>
    </row>
    <row r="88" customFormat="false" ht="15" hidden="false" customHeight="false" outlineLevel="0" collapsed="false">
      <c r="A88" s="11" t="s">
        <v>1811</v>
      </c>
      <c r="L88" s="12" t="s">
        <v>1725</v>
      </c>
    </row>
    <row r="89" customFormat="false" ht="15" hidden="false" customHeight="false" outlineLevel="0" collapsed="false">
      <c r="A89" s="11" t="s">
        <v>1812</v>
      </c>
      <c r="L89" s="12" t="s">
        <v>1725</v>
      </c>
    </row>
    <row r="90" customFormat="false" ht="15" hidden="false" customHeight="false" outlineLevel="0" collapsed="false">
      <c r="A90" s="11" t="s">
        <v>1813</v>
      </c>
      <c r="L90" s="12" t="s">
        <v>1725</v>
      </c>
    </row>
    <row r="91" customFormat="false" ht="15" hidden="false" customHeight="false" outlineLevel="0" collapsed="false">
      <c r="A91" s="11" t="s">
        <v>1814</v>
      </c>
      <c r="L91" s="12" t="s">
        <v>1725</v>
      </c>
    </row>
    <row r="92" customFormat="false" ht="15" hidden="false" customHeight="false" outlineLevel="0" collapsed="false">
      <c r="A92" s="11" t="s">
        <v>1815</v>
      </c>
      <c r="L92" s="12" t="s">
        <v>1725</v>
      </c>
    </row>
    <row r="93" customFormat="false" ht="15" hidden="false" customHeight="false" outlineLevel="0" collapsed="false">
      <c r="A93" s="11" t="s">
        <v>1816</v>
      </c>
      <c r="L93" s="12" t="s">
        <v>1725</v>
      </c>
    </row>
    <row r="94" customFormat="false" ht="15" hidden="false" customHeight="false" outlineLevel="0" collapsed="false">
      <c r="A94" s="11" t="s">
        <v>1817</v>
      </c>
      <c r="L94" s="12" t="s">
        <v>1725</v>
      </c>
    </row>
    <row r="95" customFormat="false" ht="15" hidden="false" customHeight="false" outlineLevel="0" collapsed="false">
      <c r="A95" s="11" t="s">
        <v>1818</v>
      </c>
      <c r="L95" s="12" t="s">
        <v>1725</v>
      </c>
    </row>
    <row r="96" customFormat="false" ht="15" hidden="false" customHeight="false" outlineLevel="0" collapsed="false">
      <c r="A96" s="11" t="s">
        <v>1819</v>
      </c>
      <c r="L96" s="12" t="s">
        <v>1725</v>
      </c>
    </row>
    <row r="97" customFormat="false" ht="15" hidden="false" customHeight="false" outlineLevel="0" collapsed="false">
      <c r="A97" s="11" t="s">
        <v>1820</v>
      </c>
      <c r="L97" s="12" t="s">
        <v>1725</v>
      </c>
    </row>
    <row r="98" customFormat="false" ht="15" hidden="false" customHeight="false" outlineLevel="0" collapsed="false">
      <c r="A98" s="11" t="s">
        <v>1821</v>
      </c>
      <c r="L98" s="12" t="s">
        <v>1725</v>
      </c>
    </row>
    <row r="99" customFormat="false" ht="15" hidden="false" customHeight="false" outlineLevel="0" collapsed="false">
      <c r="A99" s="11" t="s">
        <v>1822</v>
      </c>
      <c r="L99" s="12" t="s">
        <v>1725</v>
      </c>
    </row>
    <row r="100" customFormat="false" ht="15" hidden="false" customHeight="false" outlineLevel="0" collapsed="false">
      <c r="A100" s="11" t="s">
        <v>1823</v>
      </c>
      <c r="L100" s="12" t="s">
        <v>1725</v>
      </c>
    </row>
    <row r="101" customFormat="false" ht="15" hidden="false" customHeight="false" outlineLevel="0" collapsed="false">
      <c r="A101" s="11" t="s">
        <v>1824</v>
      </c>
      <c r="L101" s="12" t="s">
        <v>1725</v>
      </c>
    </row>
  </sheetData>
  <autoFilter ref="A1:M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12" width="18"/>
    <col collapsed="false" customWidth="true" hidden="false" outlineLevel="0" max="2" min="2" style="12" width="24"/>
    <col collapsed="false" customWidth="true" hidden="false" outlineLevel="0" max="8" min="3" style="12" width="18"/>
  </cols>
  <sheetData>
    <row r="1" customFormat="false" ht="19.5" hidden="false" customHeight="true" outlineLevel="0" collapsed="false">
      <c r="A1" s="13" t="s">
        <v>1825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2" t="s">
        <v>1826</v>
      </c>
      <c r="B2" s="2"/>
      <c r="C2" s="2"/>
      <c r="D2" s="2"/>
      <c r="E2" s="2"/>
      <c r="F2" s="2"/>
      <c r="G2" s="2"/>
      <c r="H2" s="2"/>
    </row>
    <row r="4" customFormat="false" ht="39.75" hidden="false" customHeight="true" outlineLevel="0" collapsed="false">
      <c r="A4" s="14" t="s">
        <v>1827</v>
      </c>
      <c r="B4" s="4" t="s">
        <v>1828</v>
      </c>
      <c r="C4" s="4"/>
      <c r="D4" s="4"/>
      <c r="E4" s="4"/>
      <c r="F4" s="4"/>
      <c r="G4" s="4"/>
      <c r="H4" s="4"/>
    </row>
    <row r="5" customFormat="false" ht="39.75" hidden="false" customHeight="true" outlineLevel="0" collapsed="false">
      <c r="A5" s="14" t="s">
        <v>1829</v>
      </c>
      <c r="B5" s="4" t="s">
        <v>1830</v>
      </c>
      <c r="C5" s="4"/>
      <c r="D5" s="4"/>
      <c r="E5" s="4"/>
      <c r="F5" s="4"/>
      <c r="G5" s="4"/>
      <c r="H5" s="4"/>
    </row>
    <row r="6" customFormat="false" ht="39.75" hidden="false" customHeight="true" outlineLevel="0" collapsed="false">
      <c r="A6" s="14" t="s">
        <v>1831</v>
      </c>
      <c r="B6" s="4" t="s">
        <v>1832</v>
      </c>
      <c r="C6" s="4"/>
      <c r="D6" s="4"/>
      <c r="E6" s="4"/>
      <c r="F6" s="4"/>
      <c r="G6" s="4"/>
      <c r="H6" s="4"/>
    </row>
    <row r="7" customFormat="false" ht="39.75" hidden="false" customHeight="true" outlineLevel="0" collapsed="false">
      <c r="A7" s="14" t="s">
        <v>1833</v>
      </c>
      <c r="B7" s="4" t="s">
        <v>1834</v>
      </c>
      <c r="C7" s="4"/>
      <c r="D7" s="4"/>
      <c r="E7" s="4"/>
      <c r="F7" s="4"/>
      <c r="G7" s="4"/>
      <c r="H7" s="4"/>
    </row>
    <row r="8" customFormat="false" ht="39.75" hidden="false" customHeight="true" outlineLevel="0" collapsed="false">
      <c r="A8" s="14" t="s">
        <v>1835</v>
      </c>
      <c r="B8" s="4" t="s">
        <v>1836</v>
      </c>
      <c r="C8" s="4"/>
      <c r="D8" s="4"/>
      <c r="E8" s="4"/>
      <c r="F8" s="4"/>
      <c r="G8" s="4"/>
      <c r="H8" s="4"/>
    </row>
  </sheetData>
  <mergeCells count="7">
    <mergeCell ref="A1:H1"/>
    <mergeCell ref="A2:H2"/>
    <mergeCell ref="B4:H4"/>
    <mergeCell ref="B5:H5"/>
    <mergeCell ref="B6:H6"/>
    <mergeCell ref="B7:H7"/>
    <mergeCell ref="B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12" width="14"/>
    <col collapsed="false" customWidth="true" hidden="false" outlineLevel="0" max="2" min="2" style="12" width="20"/>
    <col collapsed="false" customWidth="true" hidden="false" outlineLevel="0" max="3" min="3" style="12" width="40"/>
    <col collapsed="false" customWidth="true" hidden="false" outlineLevel="0" max="5" min="4" style="12" width="32"/>
    <col collapsed="false" customWidth="true" hidden="false" outlineLevel="0" max="6" min="6" style="12" width="24"/>
    <col collapsed="false" customWidth="true" hidden="false" outlineLevel="0" max="7" min="7" style="12" width="42"/>
  </cols>
  <sheetData>
    <row r="1" customFormat="false" ht="15" hidden="false" customHeight="true" outlineLevel="0" collapsed="false">
      <c r="A1" s="5" t="s">
        <v>66</v>
      </c>
      <c r="B1" s="5" t="s">
        <v>1575</v>
      </c>
      <c r="C1" s="5" t="s">
        <v>1837</v>
      </c>
      <c r="D1" s="5" t="s">
        <v>1838</v>
      </c>
      <c r="E1" s="5" t="s">
        <v>1839</v>
      </c>
      <c r="F1" s="5" t="s">
        <v>1840</v>
      </c>
      <c r="G1" s="5" t="s">
        <v>1841</v>
      </c>
    </row>
    <row r="2" customFormat="false" ht="66" hidden="false" customHeight="true" outlineLevel="0" collapsed="false">
      <c r="A2" s="6" t="s">
        <v>80</v>
      </c>
      <c r="B2" s="6" t="s">
        <v>1584</v>
      </c>
      <c r="C2" s="6" t="s">
        <v>1585</v>
      </c>
      <c r="D2" s="6" t="s">
        <v>1842</v>
      </c>
      <c r="E2" s="6" t="s">
        <v>1843</v>
      </c>
      <c r="F2" s="6" t="s">
        <v>1586</v>
      </c>
      <c r="G2" s="6" t="s">
        <v>1844</v>
      </c>
    </row>
    <row r="3" customFormat="false" ht="66" hidden="false" customHeight="true" outlineLevel="0" collapsed="false">
      <c r="A3" s="6" t="s">
        <v>138</v>
      </c>
      <c r="B3" s="6" t="s">
        <v>1587</v>
      </c>
      <c r="C3" s="6" t="s">
        <v>1588</v>
      </c>
      <c r="D3" s="6" t="s">
        <v>1845</v>
      </c>
      <c r="E3" s="6" t="s">
        <v>1846</v>
      </c>
      <c r="F3" s="6" t="s">
        <v>1589</v>
      </c>
      <c r="G3" s="6" t="s">
        <v>1847</v>
      </c>
    </row>
    <row r="4" customFormat="false" ht="66" hidden="false" customHeight="true" outlineLevel="0" collapsed="false">
      <c r="A4" s="6" t="s">
        <v>182</v>
      </c>
      <c r="B4" s="6" t="s">
        <v>1590</v>
      </c>
      <c r="C4" s="6" t="s">
        <v>1591</v>
      </c>
      <c r="D4" s="6" t="s">
        <v>1848</v>
      </c>
      <c r="E4" s="6" t="s">
        <v>1849</v>
      </c>
      <c r="F4" s="6" t="s">
        <v>1592</v>
      </c>
      <c r="G4" s="6" t="s">
        <v>1850</v>
      </c>
    </row>
    <row r="5" customFormat="false" ht="66" hidden="false" customHeight="true" outlineLevel="0" collapsed="false">
      <c r="A5" s="6" t="s">
        <v>225</v>
      </c>
      <c r="B5" s="6" t="s">
        <v>1593</v>
      </c>
      <c r="C5" s="6" t="s">
        <v>1594</v>
      </c>
      <c r="D5" s="6" t="s">
        <v>1851</v>
      </c>
      <c r="E5" s="6" t="s">
        <v>1852</v>
      </c>
      <c r="F5" s="6" t="s">
        <v>1595</v>
      </c>
      <c r="G5" s="6" t="s">
        <v>1853</v>
      </c>
    </row>
    <row r="6" customFormat="false" ht="66" hidden="false" customHeight="true" outlineLevel="0" collapsed="false">
      <c r="A6" s="6" t="s">
        <v>263</v>
      </c>
      <c r="B6" s="6" t="s">
        <v>1596</v>
      </c>
      <c r="C6" s="6" t="s">
        <v>1597</v>
      </c>
      <c r="D6" s="6" t="s">
        <v>1854</v>
      </c>
      <c r="E6" s="6" t="s">
        <v>1855</v>
      </c>
      <c r="F6" s="6" t="s">
        <v>1598</v>
      </c>
      <c r="G6" s="7" t="s">
        <v>1856</v>
      </c>
    </row>
    <row r="7" customFormat="false" ht="66" hidden="false" customHeight="true" outlineLevel="0" collapsed="false">
      <c r="A7" s="6" t="s">
        <v>310</v>
      </c>
      <c r="B7" s="6" t="s">
        <v>1599</v>
      </c>
      <c r="C7" s="6" t="s">
        <v>1600</v>
      </c>
      <c r="D7" s="6" t="s">
        <v>1857</v>
      </c>
      <c r="E7" s="6" t="s">
        <v>1858</v>
      </c>
      <c r="F7" s="6" t="s">
        <v>1601</v>
      </c>
      <c r="G7" s="6" t="s">
        <v>1859</v>
      </c>
    </row>
    <row r="8" customFormat="false" ht="66" hidden="false" customHeight="true" outlineLevel="0" collapsed="false">
      <c r="A8" s="6" t="s">
        <v>343</v>
      </c>
      <c r="B8" s="6" t="s">
        <v>1602</v>
      </c>
      <c r="C8" s="6" t="s">
        <v>1603</v>
      </c>
      <c r="D8" s="6" t="s">
        <v>1860</v>
      </c>
      <c r="E8" s="6" t="s">
        <v>1861</v>
      </c>
      <c r="F8" s="7" t="s">
        <v>1604</v>
      </c>
      <c r="G8" s="6" t="s">
        <v>1862</v>
      </c>
    </row>
    <row r="9" customFormat="false" ht="66" hidden="false" customHeight="true" outlineLevel="0" collapsed="false">
      <c r="A9" s="6" t="s">
        <v>376</v>
      </c>
      <c r="B9" s="6" t="s">
        <v>1605</v>
      </c>
      <c r="C9" s="6" t="s">
        <v>1606</v>
      </c>
      <c r="D9" s="6" t="s">
        <v>1863</v>
      </c>
      <c r="E9" s="6" t="s">
        <v>1864</v>
      </c>
      <c r="F9" s="6" t="s">
        <v>1607</v>
      </c>
      <c r="G9" s="6" t="s">
        <v>1865</v>
      </c>
    </row>
    <row r="10" customFormat="false" ht="66" hidden="false" customHeight="true" outlineLevel="0" collapsed="false">
      <c r="A10" s="6" t="s">
        <v>413</v>
      </c>
      <c r="B10" s="6" t="s">
        <v>1608</v>
      </c>
      <c r="C10" s="6" t="s">
        <v>1609</v>
      </c>
      <c r="D10" s="6" t="s">
        <v>1866</v>
      </c>
      <c r="E10" s="6" t="s">
        <v>1867</v>
      </c>
      <c r="F10" s="6" t="s">
        <v>1610</v>
      </c>
      <c r="G10" s="6" t="s">
        <v>1868</v>
      </c>
    </row>
    <row r="11" customFormat="false" ht="66" hidden="false" customHeight="true" outlineLevel="0" collapsed="false">
      <c r="A11" s="6" t="s">
        <v>441</v>
      </c>
      <c r="B11" s="6" t="s">
        <v>1611</v>
      </c>
      <c r="C11" s="7" t="s">
        <v>1612</v>
      </c>
      <c r="D11" s="6" t="s">
        <v>1869</v>
      </c>
      <c r="E11" s="6" t="s">
        <v>1870</v>
      </c>
      <c r="F11" s="6" t="s">
        <v>1613</v>
      </c>
      <c r="G11" s="6" t="s">
        <v>1871</v>
      </c>
    </row>
    <row r="12" customFormat="false" ht="66" hidden="false" customHeight="true" outlineLevel="0" collapsed="false">
      <c r="A12" s="6" t="s">
        <v>473</v>
      </c>
      <c r="B12" s="6" t="s">
        <v>1614</v>
      </c>
      <c r="C12" s="6" t="s">
        <v>1615</v>
      </c>
      <c r="D12" s="6" t="s">
        <v>1872</v>
      </c>
      <c r="E12" s="7" t="s">
        <v>1873</v>
      </c>
      <c r="F12" s="6" t="s">
        <v>1616</v>
      </c>
      <c r="G12" s="6" t="s">
        <v>1874</v>
      </c>
    </row>
    <row r="13" customFormat="false" ht="66" hidden="false" customHeight="true" outlineLevel="0" collapsed="false">
      <c r="A13" s="6" t="s">
        <v>507</v>
      </c>
      <c r="B13" s="6" t="s">
        <v>1617</v>
      </c>
      <c r="C13" s="6" t="s">
        <v>1618</v>
      </c>
      <c r="D13" s="6" t="s">
        <v>1875</v>
      </c>
      <c r="E13" s="6" t="s">
        <v>1876</v>
      </c>
      <c r="F13" s="6" t="s">
        <v>1619</v>
      </c>
      <c r="G13" s="6" t="s">
        <v>1877</v>
      </c>
    </row>
    <row r="14" customFormat="false" ht="66" hidden="false" customHeight="true" outlineLevel="0" collapsed="false">
      <c r="A14" s="6" t="s">
        <v>544</v>
      </c>
      <c r="B14" s="6" t="s">
        <v>1620</v>
      </c>
      <c r="C14" s="6" t="s">
        <v>1621</v>
      </c>
      <c r="D14" s="6" t="s">
        <v>1878</v>
      </c>
      <c r="E14" s="6" t="s">
        <v>1879</v>
      </c>
      <c r="F14" s="6" t="s">
        <v>1622</v>
      </c>
      <c r="G14" s="6" t="s">
        <v>1880</v>
      </c>
    </row>
    <row r="15" customFormat="false" ht="66" hidden="false" customHeight="true" outlineLevel="0" collapsed="false">
      <c r="A15" s="6" t="s">
        <v>579</v>
      </c>
      <c r="B15" s="6" t="s">
        <v>1623</v>
      </c>
      <c r="C15" s="6" t="s">
        <v>1624</v>
      </c>
      <c r="D15" s="6" t="s">
        <v>1881</v>
      </c>
      <c r="E15" s="6" t="s">
        <v>1882</v>
      </c>
      <c r="F15" s="6" t="s">
        <v>1625</v>
      </c>
      <c r="G15" s="6" t="s">
        <v>1883</v>
      </c>
    </row>
    <row r="16" customFormat="false" ht="66" hidden="false" customHeight="true" outlineLevel="0" collapsed="false">
      <c r="A16" s="6" t="s">
        <v>607</v>
      </c>
      <c r="B16" s="6" t="s">
        <v>1626</v>
      </c>
      <c r="C16" s="6" t="s">
        <v>1627</v>
      </c>
      <c r="D16" s="6" t="s">
        <v>1884</v>
      </c>
      <c r="E16" s="6" t="s">
        <v>1885</v>
      </c>
      <c r="F16" s="6" t="s">
        <v>1628</v>
      </c>
      <c r="G16" s="6" t="s">
        <v>1886</v>
      </c>
    </row>
    <row r="17" customFormat="false" ht="66" hidden="false" customHeight="true" outlineLevel="0" collapsed="false">
      <c r="A17" s="6" t="s">
        <v>640</v>
      </c>
      <c r="B17" s="6" t="s">
        <v>1629</v>
      </c>
      <c r="C17" s="7" t="s">
        <v>1630</v>
      </c>
      <c r="D17" s="6" t="s">
        <v>1887</v>
      </c>
      <c r="E17" s="6" t="s">
        <v>1888</v>
      </c>
      <c r="F17" s="7" t="s">
        <v>1631</v>
      </c>
      <c r="G17" s="6" t="s">
        <v>1889</v>
      </c>
    </row>
    <row r="18" customFormat="false" ht="66" hidden="false" customHeight="true" outlineLevel="0" collapsed="false">
      <c r="A18" s="6" t="s">
        <v>662</v>
      </c>
      <c r="B18" s="6" t="s">
        <v>1632</v>
      </c>
      <c r="C18" s="6" t="s">
        <v>1633</v>
      </c>
      <c r="D18" s="6" t="s">
        <v>1890</v>
      </c>
      <c r="E18" s="6" t="s">
        <v>1891</v>
      </c>
      <c r="F18" s="6" t="s">
        <v>1634</v>
      </c>
      <c r="G18" s="6" t="s">
        <v>1892</v>
      </c>
    </row>
    <row r="19" customFormat="false" ht="66" hidden="false" customHeight="true" outlineLevel="0" collapsed="false">
      <c r="A19" s="6" t="s">
        <v>692</v>
      </c>
      <c r="B19" s="6" t="s">
        <v>1635</v>
      </c>
      <c r="C19" s="6" t="s">
        <v>1636</v>
      </c>
      <c r="D19" s="6" t="s">
        <v>1893</v>
      </c>
      <c r="E19" s="6" t="s">
        <v>1894</v>
      </c>
      <c r="F19" s="6" t="s">
        <v>1637</v>
      </c>
      <c r="G19" s="6" t="s">
        <v>1895</v>
      </c>
    </row>
    <row r="20" customFormat="false" ht="66" hidden="false" customHeight="true" outlineLevel="0" collapsed="false">
      <c r="A20" s="6" t="s">
        <v>722</v>
      </c>
      <c r="B20" s="6" t="s">
        <v>1638</v>
      </c>
      <c r="C20" s="6" t="s">
        <v>1639</v>
      </c>
      <c r="D20" s="6" t="s">
        <v>1896</v>
      </c>
      <c r="E20" s="6" t="s">
        <v>1897</v>
      </c>
      <c r="F20" s="6" t="s">
        <v>1640</v>
      </c>
      <c r="G20" s="6" t="s">
        <v>1898</v>
      </c>
    </row>
    <row r="21" customFormat="false" ht="66" hidden="false" customHeight="true" outlineLevel="0" collapsed="false">
      <c r="A21" s="6" t="s">
        <v>762</v>
      </c>
      <c r="B21" s="6" t="s">
        <v>1641</v>
      </c>
      <c r="C21" s="6" t="s">
        <v>1642</v>
      </c>
      <c r="D21" s="6" t="s">
        <v>1899</v>
      </c>
      <c r="E21" s="6" t="s">
        <v>1900</v>
      </c>
      <c r="F21" s="6" t="s">
        <v>1643</v>
      </c>
      <c r="G21" s="6" t="s">
        <v>1901</v>
      </c>
    </row>
    <row r="22" customFormat="false" ht="66" hidden="false" customHeight="true" outlineLevel="0" collapsed="false">
      <c r="A22" s="6" t="s">
        <v>797</v>
      </c>
      <c r="B22" s="7" t="s">
        <v>1644</v>
      </c>
      <c r="C22" s="6" t="s">
        <v>1645</v>
      </c>
      <c r="D22" s="6" t="s">
        <v>1902</v>
      </c>
      <c r="E22" s="7" t="s">
        <v>1903</v>
      </c>
      <c r="F22" s="7" t="s">
        <v>1646</v>
      </c>
      <c r="G22" s="6" t="s">
        <v>1904</v>
      </c>
    </row>
    <row r="23" customFormat="false" ht="66" hidden="false" customHeight="true" outlineLevel="0" collapsed="false">
      <c r="A23" s="6" t="s">
        <v>829</v>
      </c>
      <c r="B23" s="6" t="s">
        <v>1647</v>
      </c>
      <c r="C23" s="6" t="s">
        <v>1648</v>
      </c>
      <c r="D23" s="6" t="s">
        <v>1905</v>
      </c>
      <c r="E23" s="7" t="s">
        <v>1906</v>
      </c>
      <c r="F23" s="6" t="s">
        <v>1649</v>
      </c>
      <c r="G23" s="6" t="s">
        <v>1907</v>
      </c>
    </row>
    <row r="24" customFormat="false" ht="66" hidden="false" customHeight="true" outlineLevel="0" collapsed="false">
      <c r="A24" s="6" t="s">
        <v>861</v>
      </c>
      <c r="B24" s="6" t="s">
        <v>1650</v>
      </c>
      <c r="C24" s="7" t="s">
        <v>1651</v>
      </c>
      <c r="D24" s="6" t="s">
        <v>1908</v>
      </c>
      <c r="E24" s="6" t="s">
        <v>1897</v>
      </c>
      <c r="F24" s="7" t="s">
        <v>1652</v>
      </c>
      <c r="G24" s="7" t="s">
        <v>1909</v>
      </c>
    </row>
    <row r="25" customFormat="false" ht="66" hidden="false" customHeight="true" outlineLevel="0" collapsed="false">
      <c r="A25" s="6" t="s">
        <v>894</v>
      </c>
      <c r="B25" s="6" t="s">
        <v>1653</v>
      </c>
      <c r="C25" s="6" t="s">
        <v>1654</v>
      </c>
      <c r="D25" s="7" t="s">
        <v>1910</v>
      </c>
      <c r="E25" s="6" t="s">
        <v>1911</v>
      </c>
      <c r="F25" s="7" t="s">
        <v>1655</v>
      </c>
      <c r="G25" s="6" t="s">
        <v>1912</v>
      </c>
    </row>
    <row r="26" customFormat="false" ht="66" hidden="false" customHeight="true" outlineLevel="0" collapsed="false">
      <c r="A26" s="6" t="s">
        <v>928</v>
      </c>
      <c r="B26" s="6" t="s">
        <v>1656</v>
      </c>
      <c r="C26" s="6" t="s">
        <v>1657</v>
      </c>
      <c r="D26" s="6" t="s">
        <v>1913</v>
      </c>
      <c r="E26" s="7" t="s">
        <v>1914</v>
      </c>
      <c r="F26" s="7" t="s">
        <v>1658</v>
      </c>
      <c r="G26" s="6" t="s">
        <v>1915</v>
      </c>
    </row>
    <row r="27" customFormat="false" ht="66" hidden="false" customHeight="true" outlineLevel="0" collapsed="false">
      <c r="A27" s="6" t="s">
        <v>959</v>
      </c>
      <c r="B27" s="6" t="s">
        <v>1659</v>
      </c>
      <c r="C27" s="6" t="s">
        <v>1660</v>
      </c>
      <c r="D27" s="6" t="s">
        <v>1916</v>
      </c>
      <c r="E27" s="6" t="s">
        <v>1917</v>
      </c>
      <c r="F27" s="6" t="s">
        <v>1661</v>
      </c>
      <c r="G27" s="6" t="s">
        <v>1918</v>
      </c>
    </row>
    <row r="28" customFormat="false" ht="66" hidden="false" customHeight="true" outlineLevel="0" collapsed="false">
      <c r="A28" s="6" t="s">
        <v>993</v>
      </c>
      <c r="B28" s="6" t="s">
        <v>1662</v>
      </c>
      <c r="C28" s="7" t="s">
        <v>1663</v>
      </c>
      <c r="D28" s="6" t="s">
        <v>1919</v>
      </c>
      <c r="E28" s="6" t="s">
        <v>1920</v>
      </c>
      <c r="F28" s="6" t="s">
        <v>1664</v>
      </c>
      <c r="G28" s="6" t="s">
        <v>1921</v>
      </c>
    </row>
    <row r="29" customFormat="false" ht="66" hidden="false" customHeight="true" outlineLevel="0" collapsed="false">
      <c r="A29" s="6" t="s">
        <v>1022</v>
      </c>
      <c r="B29" s="6" t="s">
        <v>1665</v>
      </c>
      <c r="C29" s="6" t="s">
        <v>1666</v>
      </c>
      <c r="D29" s="6" t="s">
        <v>1922</v>
      </c>
      <c r="E29" s="6" t="s">
        <v>1923</v>
      </c>
      <c r="F29" s="6" t="s">
        <v>1667</v>
      </c>
      <c r="G29" s="6" t="s">
        <v>1924</v>
      </c>
    </row>
    <row r="30" customFormat="false" ht="66" hidden="false" customHeight="true" outlineLevel="0" collapsed="false">
      <c r="A30" s="6" t="s">
        <v>1055</v>
      </c>
      <c r="B30" s="6" t="s">
        <v>1668</v>
      </c>
      <c r="C30" s="7" t="s">
        <v>1669</v>
      </c>
      <c r="D30" s="6" t="s">
        <v>1925</v>
      </c>
      <c r="E30" s="7" t="s">
        <v>1926</v>
      </c>
      <c r="F30" s="7" t="s">
        <v>1670</v>
      </c>
      <c r="G30" s="6" t="s">
        <v>1927</v>
      </c>
    </row>
    <row r="31" customFormat="false" ht="66" hidden="false" customHeight="true" outlineLevel="0" collapsed="false">
      <c r="A31" s="6" t="s">
        <v>1091</v>
      </c>
      <c r="B31" s="6" t="s">
        <v>1671</v>
      </c>
      <c r="C31" s="6" t="s">
        <v>1672</v>
      </c>
      <c r="D31" s="6" t="s">
        <v>1928</v>
      </c>
      <c r="E31" s="6" t="s">
        <v>1929</v>
      </c>
      <c r="F31" s="6" t="s">
        <v>1673</v>
      </c>
      <c r="G31" s="6" t="s">
        <v>1930</v>
      </c>
    </row>
    <row r="32" customFormat="false" ht="66" hidden="false" customHeight="true" outlineLevel="0" collapsed="false">
      <c r="A32" s="6" t="s">
        <v>1118</v>
      </c>
      <c r="B32" s="6" t="s">
        <v>1674</v>
      </c>
      <c r="C32" s="6" t="s">
        <v>1675</v>
      </c>
      <c r="D32" s="6" t="s">
        <v>1931</v>
      </c>
      <c r="E32" s="6" t="s">
        <v>1932</v>
      </c>
      <c r="F32" s="6" t="s">
        <v>1676</v>
      </c>
      <c r="G32" s="6" t="s">
        <v>1933</v>
      </c>
    </row>
    <row r="33" customFormat="false" ht="66" hidden="false" customHeight="true" outlineLevel="0" collapsed="false">
      <c r="A33" s="6" t="s">
        <v>1143</v>
      </c>
      <c r="B33" s="6" t="s">
        <v>1677</v>
      </c>
      <c r="C33" s="6" t="s">
        <v>1678</v>
      </c>
      <c r="D33" s="6" t="s">
        <v>1934</v>
      </c>
      <c r="E33" s="6" t="s">
        <v>1935</v>
      </c>
      <c r="F33" s="6" t="s">
        <v>1679</v>
      </c>
      <c r="G33" s="6" t="s">
        <v>1936</v>
      </c>
    </row>
    <row r="34" customFormat="false" ht="66" hidden="false" customHeight="true" outlineLevel="0" collapsed="false">
      <c r="A34" s="6" t="s">
        <v>1178</v>
      </c>
      <c r="B34" s="6" t="s">
        <v>1680</v>
      </c>
      <c r="C34" s="6" t="s">
        <v>1681</v>
      </c>
      <c r="D34" s="6" t="s">
        <v>1937</v>
      </c>
      <c r="E34" s="6" t="s">
        <v>1938</v>
      </c>
      <c r="F34" s="6" t="s">
        <v>1682</v>
      </c>
      <c r="G34" s="6" t="s">
        <v>1939</v>
      </c>
    </row>
    <row r="35" customFormat="false" ht="66" hidden="false" customHeight="true" outlineLevel="0" collapsed="false">
      <c r="A35" s="6" t="s">
        <v>1206</v>
      </c>
      <c r="B35" s="6" t="s">
        <v>1683</v>
      </c>
      <c r="C35" s="6" t="s">
        <v>1684</v>
      </c>
      <c r="D35" s="6" t="s">
        <v>1940</v>
      </c>
      <c r="E35" s="6" t="s">
        <v>1941</v>
      </c>
      <c r="F35" s="6" t="s">
        <v>1685</v>
      </c>
      <c r="G35" s="6" t="s">
        <v>1942</v>
      </c>
    </row>
    <row r="36" customFormat="false" ht="66" hidden="false" customHeight="true" outlineLevel="0" collapsed="false">
      <c r="A36" s="6" t="s">
        <v>1237</v>
      </c>
      <c r="B36" s="6" t="s">
        <v>1686</v>
      </c>
      <c r="C36" s="6" t="s">
        <v>1687</v>
      </c>
      <c r="D36" s="6" t="s">
        <v>1943</v>
      </c>
      <c r="E36" s="6" t="s">
        <v>1944</v>
      </c>
      <c r="F36" s="6" t="s">
        <v>1688</v>
      </c>
      <c r="G36" s="6" t="s">
        <v>1945</v>
      </c>
    </row>
    <row r="37" customFormat="false" ht="66" hidden="false" customHeight="true" outlineLevel="0" collapsed="false">
      <c r="A37" s="6" t="s">
        <v>1263</v>
      </c>
      <c r="B37" s="6" t="s">
        <v>1689</v>
      </c>
      <c r="C37" s="6" t="s">
        <v>1690</v>
      </c>
      <c r="D37" s="6" t="s">
        <v>1946</v>
      </c>
      <c r="E37" s="6" t="s">
        <v>1947</v>
      </c>
      <c r="F37" s="6" t="s">
        <v>1691</v>
      </c>
      <c r="G37" s="6" t="s">
        <v>1948</v>
      </c>
    </row>
    <row r="38" customFormat="false" ht="66" hidden="false" customHeight="true" outlineLevel="0" collapsed="false">
      <c r="A38" s="7" t="s">
        <v>1299</v>
      </c>
      <c r="B38" s="6" t="s">
        <v>1692</v>
      </c>
      <c r="C38" s="6" t="s">
        <v>1693</v>
      </c>
      <c r="D38" s="6" t="s">
        <v>1949</v>
      </c>
      <c r="E38" s="6" t="s">
        <v>1950</v>
      </c>
      <c r="F38" s="6" t="s">
        <v>1694</v>
      </c>
      <c r="G38" s="6" t="s">
        <v>1951</v>
      </c>
    </row>
    <row r="39" customFormat="false" ht="66" hidden="false" customHeight="true" outlineLevel="0" collapsed="false">
      <c r="A39" s="6" t="s">
        <v>1330</v>
      </c>
      <c r="B39" s="6" t="s">
        <v>1695</v>
      </c>
      <c r="C39" s="6" t="s">
        <v>1696</v>
      </c>
      <c r="D39" s="6" t="s">
        <v>1952</v>
      </c>
      <c r="E39" s="6" t="s">
        <v>1953</v>
      </c>
      <c r="F39" s="6" t="s">
        <v>1697</v>
      </c>
      <c r="G39" s="6" t="s">
        <v>1954</v>
      </c>
    </row>
    <row r="40" customFormat="false" ht="66" hidden="false" customHeight="true" outlineLevel="0" collapsed="false">
      <c r="A40" s="6" t="s">
        <v>1373</v>
      </c>
      <c r="B40" s="6" t="s">
        <v>1698</v>
      </c>
      <c r="C40" s="6" t="s">
        <v>1699</v>
      </c>
      <c r="D40" s="6" t="s">
        <v>1955</v>
      </c>
      <c r="E40" s="6" t="s">
        <v>1956</v>
      </c>
      <c r="F40" s="6" t="s">
        <v>1700</v>
      </c>
      <c r="G40" s="6" t="s">
        <v>1957</v>
      </c>
    </row>
    <row r="41" customFormat="false" ht="66" hidden="false" customHeight="true" outlineLevel="0" collapsed="false">
      <c r="A41" s="6" t="s">
        <v>1413</v>
      </c>
      <c r="B41" s="6" t="s">
        <v>1701</v>
      </c>
      <c r="C41" s="6" t="s">
        <v>1702</v>
      </c>
      <c r="D41" s="6" t="s">
        <v>1958</v>
      </c>
      <c r="E41" s="6" t="s">
        <v>1897</v>
      </c>
      <c r="F41" s="6" t="s">
        <v>1703</v>
      </c>
      <c r="G41" s="6" t="s">
        <v>1959</v>
      </c>
    </row>
    <row r="42" customFormat="false" ht="66" hidden="false" customHeight="true" outlineLevel="0" collapsed="false">
      <c r="A42" s="6" t="s">
        <v>1455</v>
      </c>
      <c r="B42" s="6" t="s">
        <v>1704</v>
      </c>
      <c r="C42" s="6" t="s">
        <v>1705</v>
      </c>
      <c r="D42" s="6" t="s">
        <v>1960</v>
      </c>
      <c r="E42" s="6" t="s">
        <v>1950</v>
      </c>
      <c r="F42" s="6" t="s">
        <v>1673</v>
      </c>
      <c r="G42" s="6" t="s">
        <v>1961</v>
      </c>
    </row>
    <row r="43" customFormat="false" ht="66" hidden="false" customHeight="true" outlineLevel="0" collapsed="false">
      <c r="A43" s="7" t="s">
        <v>1493</v>
      </c>
      <c r="B43" s="6" t="s">
        <v>1706</v>
      </c>
      <c r="C43" s="6" t="s">
        <v>1707</v>
      </c>
      <c r="D43" s="6" t="s">
        <v>1962</v>
      </c>
      <c r="E43" s="6" t="s">
        <v>1963</v>
      </c>
      <c r="F43" s="7" t="s">
        <v>1708</v>
      </c>
      <c r="G43" s="6" t="s">
        <v>1964</v>
      </c>
    </row>
    <row r="44" customFormat="false" ht="66" hidden="false" customHeight="true" outlineLevel="0" collapsed="false">
      <c r="A44" s="6" t="s">
        <v>1535</v>
      </c>
      <c r="B44" s="6" t="s">
        <v>1709</v>
      </c>
      <c r="C44" s="7" t="s">
        <v>1710</v>
      </c>
      <c r="D44" s="6" t="s">
        <v>1965</v>
      </c>
      <c r="E44" s="6" t="s">
        <v>1966</v>
      </c>
      <c r="F44" s="6" t="s">
        <v>1711</v>
      </c>
      <c r="G44" s="6" t="s">
        <v>1967</v>
      </c>
    </row>
  </sheetData>
  <autoFilter ref="A1:G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12" width="18"/>
    <col collapsed="false" customWidth="true" hidden="false" outlineLevel="0" max="2" min="2" style="12" width="80"/>
    <col collapsed="false" customWidth="true" hidden="false" outlineLevel="0" max="3" min="3" style="12" width="55"/>
  </cols>
  <sheetData>
    <row r="1" customFormat="false" ht="18" hidden="false" customHeight="true" outlineLevel="0" collapsed="false">
      <c r="A1" s="15" t="s">
        <v>1968</v>
      </c>
      <c r="B1" s="15"/>
      <c r="C1" s="15"/>
      <c r="D1" s="15"/>
      <c r="E1" s="15"/>
      <c r="F1" s="15"/>
    </row>
    <row r="3" customFormat="false" ht="15" hidden="false" customHeight="true" outlineLevel="0" collapsed="false">
      <c r="A3" s="16" t="s">
        <v>1969</v>
      </c>
      <c r="B3" s="16" t="s">
        <v>1970</v>
      </c>
      <c r="C3" s="16" t="s">
        <v>1971</v>
      </c>
    </row>
    <row r="4" customFormat="false" ht="60" hidden="false" customHeight="true" outlineLevel="0" collapsed="false">
      <c r="A4" s="7" t="s">
        <v>1972</v>
      </c>
      <c r="B4" s="6" t="s">
        <v>1973</v>
      </c>
      <c r="C4" s="6" t="s">
        <v>1974</v>
      </c>
    </row>
    <row r="5" customFormat="false" ht="60" hidden="false" customHeight="true" outlineLevel="0" collapsed="false">
      <c r="A5" s="7" t="s">
        <v>1975</v>
      </c>
      <c r="B5" s="6" t="s">
        <v>1976</v>
      </c>
      <c r="C5" s="6" t="s">
        <v>1977</v>
      </c>
    </row>
    <row r="6" customFormat="false" ht="60" hidden="false" customHeight="true" outlineLevel="0" collapsed="false">
      <c r="A6" s="7" t="s">
        <v>1978</v>
      </c>
      <c r="B6" s="6" t="s">
        <v>1979</v>
      </c>
      <c r="C6" s="6" t="s">
        <v>1980</v>
      </c>
    </row>
    <row r="7" customFormat="false" ht="60" hidden="false" customHeight="true" outlineLevel="0" collapsed="false">
      <c r="A7" s="7" t="s">
        <v>1981</v>
      </c>
      <c r="B7" s="6" t="s">
        <v>1982</v>
      </c>
      <c r="C7" s="6" t="s">
        <v>1983</v>
      </c>
    </row>
    <row r="8" customFormat="false" ht="60" hidden="false" customHeight="true" outlineLevel="0" collapsed="false">
      <c r="A8" s="7" t="s">
        <v>1984</v>
      </c>
      <c r="B8" s="6" t="s">
        <v>1985</v>
      </c>
      <c r="C8" s="6" t="s">
        <v>1986</v>
      </c>
    </row>
    <row r="9" customFormat="false" ht="60" hidden="false" customHeight="true" outlineLevel="0" collapsed="false">
      <c r="A9" s="7" t="s">
        <v>1987</v>
      </c>
      <c r="B9" s="6" t="s">
        <v>1988</v>
      </c>
      <c r="C9" s="6" t="s">
        <v>1989</v>
      </c>
    </row>
    <row r="10" customFormat="false" ht="60" hidden="false" customHeight="true" outlineLevel="0" collapsed="false">
      <c r="A10" s="7" t="s">
        <v>1990</v>
      </c>
      <c r="B10" s="6" t="s">
        <v>1991</v>
      </c>
      <c r="C10" s="6" t="s">
        <v>1992</v>
      </c>
    </row>
    <row r="11" customFormat="false" ht="60" hidden="false" customHeight="true" outlineLevel="0" collapsed="false">
      <c r="A11" s="7" t="s">
        <v>1993</v>
      </c>
      <c r="B11" s="6" t="s">
        <v>1994</v>
      </c>
      <c r="C11" s="6" t="s">
        <v>1995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3" activeCellId="0" sqref="C3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14"/>
    <col collapsed="false" customWidth="true" hidden="false" outlineLevel="0" max="4" min="2" style="12" width="11"/>
    <col collapsed="false" customWidth="true" hidden="false" outlineLevel="0" max="5" min="5" style="12" width="12"/>
    <col collapsed="false" customWidth="true" hidden="false" outlineLevel="0" max="6" min="6" style="12" width="13"/>
    <col collapsed="false" customWidth="true" hidden="false" outlineLevel="0" max="7" min="7" style="12" width="23"/>
    <col collapsed="false" customWidth="true" hidden="false" outlineLevel="0" max="8" min="8" style="12" width="22"/>
    <col collapsed="false" customWidth="true" hidden="false" outlineLevel="0" max="9" min="9" style="12" width="13"/>
    <col collapsed="false" customWidth="true" hidden="false" outlineLevel="0" max="10" min="10" style="12" width="50"/>
  </cols>
  <sheetData>
    <row r="1" customFormat="false" ht="19.5" hidden="false" customHeight="true" outlineLevel="0" collapsed="false">
      <c r="A1" s="17" t="s">
        <v>1996</v>
      </c>
      <c r="B1" s="17"/>
      <c r="C1" s="17"/>
      <c r="D1" s="17"/>
      <c r="E1" s="17"/>
      <c r="F1" s="17"/>
      <c r="G1" s="17"/>
      <c r="H1" s="17"/>
      <c r="I1" s="17"/>
      <c r="J1" s="17"/>
    </row>
    <row r="2" customFormat="false" ht="13.5" hidden="false" customHeight="true" outlineLevel="0" collapsed="false">
      <c r="A2" s="18" t="s">
        <v>1997</v>
      </c>
      <c r="B2" s="18"/>
      <c r="C2" s="18"/>
      <c r="D2" s="18"/>
      <c r="E2" s="18"/>
      <c r="F2" s="18"/>
      <c r="G2" s="18"/>
      <c r="H2" s="18"/>
      <c r="I2" s="18"/>
      <c r="J2" s="18"/>
    </row>
    <row r="3" customFormat="false" ht="33" hidden="false" customHeight="true" outlineLevel="0" collapsed="false">
      <c r="A3" s="19" t="s">
        <v>1998</v>
      </c>
      <c r="B3" s="19" t="s">
        <v>1999</v>
      </c>
      <c r="C3" s="19" t="s">
        <v>2000</v>
      </c>
      <c r="D3" s="19" t="s">
        <v>2001</v>
      </c>
      <c r="E3" s="19" t="s">
        <v>2002</v>
      </c>
      <c r="F3" s="19" t="s">
        <v>2003</v>
      </c>
      <c r="G3" s="19" t="s">
        <v>2004</v>
      </c>
      <c r="H3" s="19" t="s">
        <v>2005</v>
      </c>
      <c r="I3" s="19" t="s">
        <v>2006</v>
      </c>
      <c r="J3" s="19" t="s">
        <v>2007</v>
      </c>
    </row>
    <row r="4" customFormat="false" ht="42" hidden="false" customHeight="true" outlineLevel="0" collapsed="false">
      <c r="A4" s="20" t="s">
        <v>80</v>
      </c>
      <c r="B4" s="20" t="n">
        <f aca="false">农林牧渔!$P$4</f>
        <v>7.2</v>
      </c>
      <c r="C4" s="20" t="n">
        <f aca="false">农林牧渔!$P$5</f>
        <v>6.5</v>
      </c>
      <c r="D4" s="20" t="n">
        <f aca="false">农林牧渔!$P$6</f>
        <v>6.6</v>
      </c>
      <c r="E4" s="21" t="n">
        <f aca="false">农林牧渔!$G$19</f>
        <v>6.8</v>
      </c>
      <c r="F4" s="21" t="str">
        <f aca="false">IF(E4&gt;=8.5,"强/防过热",IF(E4&gt;=7.5,"偏强",IF(E4&gt;=6.5,"中性偏强",IF(E4&gt;=5,"中性",IF(E4&gt;=3,"偏弱","低迷")))))</f>
        <v>中性偏强</v>
      </c>
      <c r="G4" s="20" t="s">
        <v>2008</v>
      </c>
      <c r="H4" s="20" t="s">
        <v>2009</v>
      </c>
      <c r="I4" s="20" t="s">
        <v>2010</v>
      </c>
      <c r="J4" s="20" t="s">
        <v>2011</v>
      </c>
    </row>
    <row r="5" customFormat="false" ht="42" hidden="false" customHeight="true" outlineLevel="0" collapsed="false">
      <c r="A5" s="20" t="s">
        <v>138</v>
      </c>
      <c r="B5" s="20" t="n">
        <f aca="false">基础化工!$P$4</f>
        <v>8</v>
      </c>
      <c r="C5" s="20" t="n">
        <f aca="false">基础化工!$P$5</f>
        <v>6.8</v>
      </c>
      <c r="D5" s="20" t="n">
        <f aca="false">基础化工!$P$6</f>
        <v>6.6</v>
      </c>
      <c r="E5" s="21" t="n">
        <f aca="false">基础化工!$G$18</f>
        <v>7.4</v>
      </c>
      <c r="F5" s="22" t="str">
        <f aca="false">IF(E5&gt;=8.5,"强/防过热",IF(E5&gt;=7.5,"偏强",IF(E5&gt;=6.5,"中性偏强",IF(E5&gt;=5,"中性",IF(E5&gt;=3,"偏弱","低迷")))))</f>
        <v>中性偏强</v>
      </c>
      <c r="G5" s="20" t="s">
        <v>2008</v>
      </c>
      <c r="H5" s="20" t="s">
        <v>2009</v>
      </c>
      <c r="I5" s="20" t="s">
        <v>2010</v>
      </c>
      <c r="J5" s="20" t="s">
        <v>2011</v>
      </c>
    </row>
    <row r="6" customFormat="false" ht="42" hidden="false" customHeight="true" outlineLevel="0" collapsed="false">
      <c r="A6" s="20" t="s">
        <v>182</v>
      </c>
      <c r="B6" s="20" t="n">
        <f aca="false">钢铁!$P$4</f>
        <v>8</v>
      </c>
      <c r="C6" s="20" t="n">
        <f aca="false">钢铁!$P$5</f>
        <v>6</v>
      </c>
      <c r="D6" s="20" t="n">
        <f aca="false">钢铁!$P$6</f>
        <v>6</v>
      </c>
      <c r="E6" s="21" t="n">
        <f aca="false">钢铁!$G$18</f>
        <v>7</v>
      </c>
      <c r="F6" s="21" t="str">
        <f aca="false">IF(E6&gt;=8.5,"强/防过热",IF(E6&gt;=7.5,"偏强",IF(E6&gt;=6.5,"中性偏强",IF(E6&gt;=5,"中性",IF(E6&gt;=3,"偏弱","低迷")))))</f>
        <v>中性偏强</v>
      </c>
      <c r="G6" s="20" t="s">
        <v>2008</v>
      </c>
      <c r="H6" s="20" t="s">
        <v>2009</v>
      </c>
      <c r="I6" s="20" t="s">
        <v>2010</v>
      </c>
      <c r="J6" s="20" t="s">
        <v>2011</v>
      </c>
    </row>
    <row r="7" customFormat="false" ht="42" hidden="false" customHeight="true" outlineLevel="0" collapsed="false">
      <c r="A7" s="20" t="s">
        <v>225</v>
      </c>
      <c r="B7" s="20" t="n">
        <f aca="false">有色金属!$P$4</f>
        <v>6.9</v>
      </c>
      <c r="C7" s="20" t="n">
        <f aca="false">有色金属!$P$5</f>
        <v>8.7</v>
      </c>
      <c r="D7" s="20" t="n">
        <f aca="false">有色金属!$P$6</f>
        <v>8.6</v>
      </c>
      <c r="E7" s="22" t="n">
        <f aca="false">有色金属!$G$18</f>
        <v>7.9</v>
      </c>
      <c r="F7" s="22" t="str">
        <f aca="false">IF(E7&gt;=8.5,"强/防过热",IF(E7&gt;=7.5,"偏强",IF(E7&gt;=6.5,"中性偏强",IF(E7&gt;=5,"中性",IF(E7&gt;=3,"偏弱","低迷")))))</f>
        <v>偏强</v>
      </c>
      <c r="G7" s="20" t="s">
        <v>2012</v>
      </c>
      <c r="H7" s="20" t="s">
        <v>2009</v>
      </c>
      <c r="I7" s="20" t="s">
        <v>2010</v>
      </c>
      <c r="J7" s="20" t="s">
        <v>2013</v>
      </c>
    </row>
    <row r="8" customFormat="false" ht="42" hidden="false" customHeight="true" outlineLevel="0" collapsed="false">
      <c r="A8" s="20" t="s">
        <v>263</v>
      </c>
      <c r="B8" s="20" t="n">
        <f aca="false">电子!$P$4</f>
        <v>8.2</v>
      </c>
      <c r="C8" s="20" t="n">
        <f aca="false">电子!$P$5</f>
        <v>7.2</v>
      </c>
      <c r="D8" s="20" t="n">
        <f aca="false">电子!$P$6</f>
        <v>8</v>
      </c>
      <c r="E8" s="21" t="n">
        <f aca="false">电子!$G$19</f>
        <v>7.8</v>
      </c>
      <c r="F8" s="22" t="str">
        <f aca="false">IF(E8&gt;=8.5,"强/防过热",IF(E8&gt;=7.5,"偏强",IF(E8&gt;=6.5,"中性偏强",IF(E8&gt;=5,"中性",IF(E8&gt;=3,"偏弱","低迷")))))</f>
        <v>偏强</v>
      </c>
      <c r="G8" s="20" t="s">
        <v>2014</v>
      </c>
      <c r="H8" s="20" t="s">
        <v>2009</v>
      </c>
      <c r="I8" s="20" t="s">
        <v>2010</v>
      </c>
      <c r="J8" s="20" t="s">
        <v>2015</v>
      </c>
    </row>
    <row r="9" customFormat="false" ht="42" hidden="false" customHeight="true" outlineLevel="0" collapsed="false">
      <c r="A9" s="20" t="s">
        <v>310</v>
      </c>
      <c r="B9" s="20" t="n">
        <f aca="false">家用电器!$P$4</f>
        <v>5.3</v>
      </c>
      <c r="C9" s="20" t="n">
        <f aca="false">家用电器!$P$5</f>
        <v>7.2</v>
      </c>
      <c r="D9" s="20" t="n">
        <f aca="false">家用电器!$P$6</f>
        <v>7.4</v>
      </c>
      <c r="E9" s="21" t="n">
        <f aca="false">家用电器!$G$18</f>
        <v>6.5</v>
      </c>
      <c r="F9" s="21" t="str">
        <f aca="false">IF(E9&gt;=8.5,"强/防过热",IF(E9&gt;=7.5,"偏强",IF(E9&gt;=6.5,"中性偏强",IF(E9&gt;=5,"中性",IF(E9&gt;=3,"偏弱","低迷")))))</f>
        <v>中性偏强</v>
      </c>
      <c r="G9" s="20" t="s">
        <v>2016</v>
      </c>
      <c r="H9" s="20" t="s">
        <v>2009</v>
      </c>
      <c r="I9" s="20" t="s">
        <v>2010</v>
      </c>
      <c r="J9" s="20" t="s">
        <v>2017</v>
      </c>
    </row>
    <row r="10" customFormat="false" ht="42" hidden="false" customHeight="true" outlineLevel="0" collapsed="false">
      <c r="A10" s="20" t="s">
        <v>343</v>
      </c>
      <c r="B10" s="20" t="n">
        <f aca="false">食品饮料!$P$4</f>
        <v>5.9</v>
      </c>
      <c r="C10" s="20" t="n">
        <f aca="false">食品饮料!$P$5</f>
        <v>6.8</v>
      </c>
      <c r="D10" s="20" t="n">
        <f aca="false">食品饮料!$P$6</f>
        <v>7.4</v>
      </c>
      <c r="E10" s="21" t="n">
        <f aca="false">食品饮料!$G$18</f>
        <v>6.7</v>
      </c>
      <c r="F10" s="21" t="str">
        <f aca="false">IF(E10&gt;=8.5,"强/防过热",IF(E10&gt;=7.5,"偏强",IF(E10&gt;=6.5,"中性偏强",IF(E10&gt;=5,"中性",IF(E10&gt;=3,"偏弱","低迷")))))</f>
        <v>中性偏强</v>
      </c>
      <c r="G10" s="20" t="s">
        <v>2018</v>
      </c>
      <c r="H10" s="20" t="s">
        <v>2009</v>
      </c>
      <c r="I10" s="20" t="s">
        <v>2010</v>
      </c>
      <c r="J10" s="20" t="s">
        <v>2019</v>
      </c>
    </row>
    <row r="11" customFormat="false" ht="42" hidden="false" customHeight="true" outlineLevel="0" collapsed="false">
      <c r="A11" s="20" t="s">
        <v>376</v>
      </c>
      <c r="B11" s="20" t="n">
        <f aca="false">纺织服饰!$P$4</f>
        <v>7.6</v>
      </c>
      <c r="C11" s="20" t="n">
        <f aca="false">纺织服饰!$P$5</f>
        <v>6.7</v>
      </c>
      <c r="D11" s="20" t="n">
        <f aca="false">纺织服饰!$P$6</f>
        <v>6</v>
      </c>
      <c r="E11" s="21" t="n">
        <f aca="false">纺织服饰!$G$18</f>
        <v>6.9</v>
      </c>
      <c r="F11" s="21" t="str">
        <f aca="false">IF(E11&gt;=8.5,"强/防过热",IF(E11&gt;=7.5,"偏强",IF(E11&gt;=6.5,"中性偏强",IF(E11&gt;=5,"中性",IF(E11&gt;=3,"偏弱","低迷")))))</f>
        <v>中性偏强</v>
      </c>
      <c r="G11" s="20" t="s">
        <v>2016</v>
      </c>
      <c r="H11" s="20" t="s">
        <v>2009</v>
      </c>
      <c r="I11" s="20" t="s">
        <v>2010</v>
      </c>
      <c r="J11" s="20" t="s">
        <v>2017</v>
      </c>
    </row>
    <row r="12" customFormat="false" ht="42" hidden="false" customHeight="true" outlineLevel="0" collapsed="false">
      <c r="A12" s="20" t="s">
        <v>413</v>
      </c>
      <c r="B12" s="20" t="n">
        <f aca="false">轻工制造!$P$4</f>
        <v>6.6</v>
      </c>
      <c r="C12" s="20" t="n">
        <f aca="false">轻工制造!$P$5</f>
        <v>5</v>
      </c>
      <c r="D12" s="20" t="n">
        <f aca="false">轻工制造!$P$6</f>
        <v>6</v>
      </c>
      <c r="E12" s="23" t="n">
        <f aca="false">轻工制造!$G$18</f>
        <v>5.8</v>
      </c>
      <c r="F12" s="23" t="str">
        <f aca="false">IF(E12&gt;=8.5,"强/防过热",IF(E12&gt;=7.5,"偏强",IF(E12&gt;=6.5,"中性偏强",IF(E12&gt;=5,"中性",IF(E12&gt;=3,"偏弱","低迷")))))</f>
        <v>中性</v>
      </c>
      <c r="G12" s="20" t="s">
        <v>2016</v>
      </c>
      <c r="H12" s="20" t="s">
        <v>2009</v>
      </c>
      <c r="I12" s="20" t="s">
        <v>2010</v>
      </c>
      <c r="J12" s="20" t="s">
        <v>2017</v>
      </c>
    </row>
    <row r="13" customFormat="false" ht="42" hidden="false" customHeight="true" outlineLevel="0" collapsed="false">
      <c r="A13" s="20" t="s">
        <v>441</v>
      </c>
      <c r="B13" s="20" t="n">
        <f aca="false">医药生物!$P$4</f>
        <v>8</v>
      </c>
      <c r="C13" s="20" t="n">
        <f aca="false">医药生物!$P$5</f>
        <v>7.2</v>
      </c>
      <c r="D13" s="20" t="n">
        <f aca="false">医药生物!$P$6</f>
        <v>8</v>
      </c>
      <c r="E13" s="21" t="n">
        <f aca="false">医药生物!$G$18</f>
        <v>7.7</v>
      </c>
      <c r="F13" s="22" t="str">
        <f aca="false">IF(E13&gt;=8.5,"强/防过热",IF(E13&gt;=7.5,"偏强",IF(E13&gt;=6.5,"中性偏强",IF(E13&gt;=5,"中性",IF(E13&gt;=3,"偏弱","低迷")))))</f>
        <v>偏强</v>
      </c>
      <c r="G13" s="20" t="s">
        <v>2014</v>
      </c>
      <c r="H13" s="20" t="s">
        <v>2009</v>
      </c>
      <c r="I13" s="20" t="s">
        <v>2010</v>
      </c>
      <c r="J13" s="20" t="s">
        <v>2015</v>
      </c>
    </row>
    <row r="14" customFormat="false" ht="42" hidden="false" customHeight="true" outlineLevel="0" collapsed="false">
      <c r="A14" s="20" t="s">
        <v>473</v>
      </c>
      <c r="B14" s="20" t="n">
        <f aca="false">公用事业!$P$4</f>
        <v>9</v>
      </c>
      <c r="C14" s="20" t="n">
        <f aca="false">公用事业!$P$5</f>
        <v>7.1</v>
      </c>
      <c r="D14" s="20" t="n">
        <f aca="false">公用事业!$P$6</f>
        <v>8</v>
      </c>
      <c r="E14" s="22" t="n">
        <f aca="false">公用事业!$G$18</f>
        <v>7.9</v>
      </c>
      <c r="F14" s="22" t="str">
        <f aca="false">IF(E14&gt;=8.5,"强/防过热",IF(E14&gt;=7.5,"偏强",IF(E14&gt;=6.5,"中性偏强",IF(E14&gt;=5,"中性",IF(E14&gt;=3,"偏弱","低迷")))))</f>
        <v>偏强</v>
      </c>
      <c r="G14" s="20" t="s">
        <v>2018</v>
      </c>
      <c r="H14" s="20" t="s">
        <v>2009</v>
      </c>
      <c r="I14" s="20" t="s">
        <v>2010</v>
      </c>
      <c r="J14" s="20" t="s">
        <v>2019</v>
      </c>
    </row>
    <row r="15" customFormat="false" ht="42" hidden="false" customHeight="true" outlineLevel="0" collapsed="false">
      <c r="A15" s="20" t="s">
        <v>507</v>
      </c>
      <c r="B15" s="20" t="n">
        <f aca="false">交通运输!$P$4</f>
        <v>8</v>
      </c>
      <c r="C15" s="20" t="n">
        <f aca="false">交通运输!$P$5</f>
        <v>8</v>
      </c>
      <c r="D15" s="20" t="n">
        <f aca="false">交通运输!$P$6</f>
        <v>8</v>
      </c>
      <c r="E15" s="21" t="n">
        <f aca="false">交通运输!$G$18</f>
        <v>8</v>
      </c>
      <c r="F15" s="22" t="str">
        <f aca="false">IF(E15&gt;=8.5,"强/防过热",IF(E15&gt;=7.5,"偏强",IF(E15&gt;=6.5,"中性偏强",IF(E15&gt;=5,"中性",IF(E15&gt;=3,"偏弱","低迷")))))</f>
        <v>偏强</v>
      </c>
      <c r="G15" s="20" t="s">
        <v>2016</v>
      </c>
      <c r="H15" s="20" t="s">
        <v>2009</v>
      </c>
      <c r="I15" s="20" t="s">
        <v>2010</v>
      </c>
      <c r="J15" s="20" t="s">
        <v>2017</v>
      </c>
    </row>
    <row r="16" customFormat="false" ht="42" hidden="false" customHeight="true" outlineLevel="0" collapsed="false">
      <c r="A16" s="20" t="s">
        <v>544</v>
      </c>
      <c r="B16" s="20" t="n">
        <f aca="false">房地产!$P$4</f>
        <v>4.9</v>
      </c>
      <c r="C16" s="20" t="n">
        <f aca="false">房地产!$P$5</f>
        <v>4</v>
      </c>
      <c r="D16" s="20" t="n">
        <f aca="false">房地产!$P$6</f>
        <v>3.4</v>
      </c>
      <c r="E16" s="24" t="n">
        <f aca="false">房地产!$G$18</f>
        <v>4.3</v>
      </c>
      <c r="F16" s="24" t="str">
        <f aca="false">IF(E16&gt;=8.5,"强/防过热",IF(E16&gt;=7.5,"偏强",IF(E16&gt;=6.5,"中性偏强",IF(E16&gt;=5,"中性",IF(E16&gt;=3,"偏弱","低迷")))))</f>
        <v>偏弱</v>
      </c>
      <c r="G16" s="20" t="s">
        <v>2008</v>
      </c>
      <c r="H16" s="20" t="s">
        <v>2009</v>
      </c>
      <c r="I16" s="20" t="s">
        <v>2010</v>
      </c>
      <c r="J16" s="20" t="s">
        <v>2011</v>
      </c>
    </row>
    <row r="17" customFormat="false" ht="42" hidden="false" customHeight="true" outlineLevel="0" collapsed="false">
      <c r="A17" s="20" t="s">
        <v>579</v>
      </c>
      <c r="B17" s="20" t="n">
        <f aca="false">商贸零售!$P$4</f>
        <v>5.5</v>
      </c>
      <c r="C17" s="20" t="n">
        <f aca="false">商贸零售!$P$5</f>
        <v>7.4</v>
      </c>
      <c r="D17" s="20" t="n">
        <f aca="false">商贸零售!$P$6</f>
        <v>6.6</v>
      </c>
      <c r="E17" s="21" t="n">
        <f aca="false">商贸零售!$G$18</f>
        <v>6.5</v>
      </c>
      <c r="F17" s="21" t="str">
        <f aca="false">IF(E17&gt;=8.5,"强/防过热",IF(E17&gt;=7.5,"偏强",IF(E17&gt;=6.5,"中性偏强",IF(E17&gt;=5,"中性",IF(E17&gt;=3,"偏弱","低迷")))))</f>
        <v>中性偏强</v>
      </c>
      <c r="G17" s="20" t="s">
        <v>2016</v>
      </c>
      <c r="H17" s="20" t="s">
        <v>2009</v>
      </c>
      <c r="I17" s="20" t="s">
        <v>2010</v>
      </c>
      <c r="J17" s="20" t="s">
        <v>2017</v>
      </c>
    </row>
    <row r="18" customFormat="false" ht="42" hidden="false" customHeight="true" outlineLevel="0" collapsed="false">
      <c r="A18" s="20" t="s">
        <v>607</v>
      </c>
      <c r="B18" s="20" t="n">
        <f aca="false">社会服务!$P$4</f>
        <v>7.2</v>
      </c>
      <c r="C18" s="20" t="n">
        <f aca="false">社会服务!$P$5</f>
        <v>7.6</v>
      </c>
      <c r="D18" s="20" t="n">
        <f aca="false">社会服务!$P$6</f>
        <v>5.4</v>
      </c>
      <c r="E18" s="21" t="n">
        <f aca="false">社会服务!$G$18</f>
        <v>7</v>
      </c>
      <c r="F18" s="21" t="str">
        <f aca="false">IF(E18&gt;=8.5,"强/防过热",IF(E18&gt;=7.5,"偏强",IF(E18&gt;=6.5,"中性偏强",IF(E18&gt;=5,"中性",IF(E18&gt;=3,"偏弱","低迷")))))</f>
        <v>中性偏强</v>
      </c>
      <c r="G18" s="20" t="s">
        <v>2016</v>
      </c>
      <c r="H18" s="20" t="s">
        <v>2009</v>
      </c>
      <c r="I18" s="20" t="s">
        <v>2010</v>
      </c>
      <c r="J18" s="20" t="s">
        <v>2017</v>
      </c>
    </row>
    <row r="19" customFormat="false" ht="42" hidden="false" customHeight="true" outlineLevel="0" collapsed="false">
      <c r="A19" s="20" t="s">
        <v>640</v>
      </c>
      <c r="B19" s="20" t="n">
        <f aca="false">综合!$P$4</f>
        <v>6.4</v>
      </c>
      <c r="C19" s="20" t="n">
        <f aca="false">综合!$P$5</f>
        <v>6.7</v>
      </c>
      <c r="D19" s="20" t="n">
        <f aca="false">综合!$P$6</f>
        <v>7.2</v>
      </c>
      <c r="E19" s="21" t="n">
        <f aca="false">综合!$G$15</f>
        <v>6.6</v>
      </c>
      <c r="F19" s="21" t="str">
        <f aca="false">IF(E19&gt;=8.5,"强/防过热",IF(E19&gt;=7.5,"偏强",IF(E19&gt;=6.5,"中性偏强",IF(E19&gt;=5,"中性",IF(E19&gt;=3,"偏弱","低迷")))))</f>
        <v>中性偏强</v>
      </c>
      <c r="G19" s="20" t="s">
        <v>2020</v>
      </c>
      <c r="H19" s="20" t="s">
        <v>2009</v>
      </c>
      <c r="I19" s="20" t="s">
        <v>2010</v>
      </c>
      <c r="J19" s="20" t="s">
        <v>2021</v>
      </c>
    </row>
    <row r="20" customFormat="false" ht="42" hidden="false" customHeight="true" outlineLevel="0" collapsed="false">
      <c r="A20" s="20" t="s">
        <v>662</v>
      </c>
      <c r="B20" s="20" t="n">
        <f aca="false">建筑材料!$P$4</f>
        <v>4.8</v>
      </c>
      <c r="C20" s="20" t="n">
        <f aca="false">建筑材料!$P$5</f>
        <v>4.9</v>
      </c>
      <c r="D20" s="20" t="n">
        <f aca="false">建筑材料!$P$6</f>
        <v>4</v>
      </c>
      <c r="E20" s="23" t="n">
        <f aca="false">建筑材料!$G$18</f>
        <v>4.7</v>
      </c>
      <c r="F20" s="23" t="str">
        <f aca="false">IF(E20&gt;=8.5,"强/防过热",IF(E20&gt;=7.5,"偏强",IF(E20&gt;=6.5,"中性偏强",IF(E20&gt;=5,"中性",IF(E20&gt;=3,"偏弱","低迷")))))</f>
        <v>偏弱</v>
      </c>
      <c r="G20" s="20" t="s">
        <v>2008</v>
      </c>
      <c r="H20" s="20" t="s">
        <v>2009</v>
      </c>
      <c r="I20" s="20" t="s">
        <v>2010</v>
      </c>
      <c r="J20" s="20" t="s">
        <v>2011</v>
      </c>
    </row>
    <row r="21" customFormat="false" ht="42" hidden="false" customHeight="true" outlineLevel="0" collapsed="false">
      <c r="A21" s="20" t="s">
        <v>692</v>
      </c>
      <c r="B21" s="20" t="n">
        <f aca="false">建筑装饰!$P$4</f>
        <v>7.1</v>
      </c>
      <c r="C21" s="20" t="n">
        <f aca="false">建筑装饰!$P$5</f>
        <v>5.3</v>
      </c>
      <c r="D21" s="20" t="n">
        <f aca="false">建筑装饰!$P$6</f>
        <v>6</v>
      </c>
      <c r="E21" s="23" t="n">
        <f aca="false">建筑装饰!$G$18</f>
        <v>6.3</v>
      </c>
      <c r="F21" s="23" t="str">
        <f aca="false">IF(E21&gt;=8.5,"强/防过热",IF(E21&gt;=7.5,"偏强",IF(E21&gt;=6.5,"中性偏强",IF(E21&gt;=5,"中性",IF(E21&gt;=3,"偏弱","低迷")))))</f>
        <v>中性</v>
      </c>
      <c r="G21" s="20" t="s">
        <v>2022</v>
      </c>
      <c r="H21" s="20" t="s">
        <v>2009</v>
      </c>
      <c r="I21" s="20" t="s">
        <v>2010</v>
      </c>
      <c r="J21" s="20" t="s">
        <v>2023</v>
      </c>
    </row>
    <row r="22" customFormat="false" ht="42" hidden="false" customHeight="true" outlineLevel="0" collapsed="false">
      <c r="A22" s="20" t="s">
        <v>722</v>
      </c>
      <c r="B22" s="20" t="n">
        <f aca="false">电力设备!$P$4</f>
        <v>8.8</v>
      </c>
      <c r="C22" s="20" t="n">
        <f aca="false">电力设备!$P$5</f>
        <v>6.4</v>
      </c>
      <c r="D22" s="20" t="n">
        <f aca="false">电力设备!$P$6</f>
        <v>5.9</v>
      </c>
      <c r="E22" s="21" t="n">
        <f aca="false">电力设备!$G$19</f>
        <v>7.4</v>
      </c>
      <c r="F22" s="22" t="str">
        <f aca="false">IF(E22&gt;=8.5,"强/防过热",IF(E22&gt;=7.5,"偏强",IF(E22&gt;=6.5,"中性偏强",IF(E22&gt;=5,"中性",IF(E22&gt;=3,"偏弱","低迷")))))</f>
        <v>中性偏强</v>
      </c>
      <c r="G22" s="20" t="s">
        <v>2022</v>
      </c>
      <c r="H22" s="20" t="s">
        <v>2009</v>
      </c>
      <c r="I22" s="20" t="s">
        <v>2010</v>
      </c>
      <c r="J22" s="20" t="s">
        <v>2023</v>
      </c>
    </row>
    <row r="23" customFormat="false" ht="42" hidden="false" customHeight="true" outlineLevel="0" collapsed="false">
      <c r="A23" s="20" t="s">
        <v>762</v>
      </c>
      <c r="B23" s="20" t="n">
        <f aca="false">国防军工!$P$4</f>
        <v>7.2</v>
      </c>
      <c r="C23" s="20" t="n">
        <f aca="false">国防军工!$P$5</f>
        <v>7.7</v>
      </c>
      <c r="D23" s="20" t="n">
        <f aca="false">国防军工!$P$6</f>
        <v>7.2</v>
      </c>
      <c r="E23" s="21" t="n">
        <f aca="false">国防军工!$G$18</f>
        <v>7.4</v>
      </c>
      <c r="F23" s="22" t="str">
        <f aca="false">IF(E23&gt;=8.5,"强/防过热",IF(E23&gt;=7.5,"偏强",IF(E23&gt;=6.5,"中性偏强",IF(E23&gt;=5,"中性",IF(E23&gt;=3,"偏弱","低迷")))))</f>
        <v>中性偏强</v>
      </c>
      <c r="G23" s="20" t="s">
        <v>2022</v>
      </c>
      <c r="H23" s="20" t="s">
        <v>2009</v>
      </c>
      <c r="I23" s="20" t="s">
        <v>2010</v>
      </c>
      <c r="J23" s="20" t="s">
        <v>2023</v>
      </c>
    </row>
    <row r="24" customFormat="false" ht="42" hidden="false" customHeight="true" outlineLevel="0" collapsed="false">
      <c r="A24" s="20" t="s">
        <v>797</v>
      </c>
      <c r="B24" s="20" t="n">
        <f aca="false">计算机!$P$4</f>
        <v>8.5</v>
      </c>
      <c r="C24" s="20" t="n">
        <f aca="false">计算机!$P$5</f>
        <v>7.6</v>
      </c>
      <c r="D24" s="20" t="n">
        <f aca="false">计算机!$P$6</f>
        <v>6.6</v>
      </c>
      <c r="E24" s="21" t="n">
        <f aca="false">计算机!$G$18</f>
        <v>7.9</v>
      </c>
      <c r="F24" s="22" t="str">
        <f aca="false">IF(E24&gt;=8.5,"强/防过热",IF(E24&gt;=7.5,"偏强",IF(E24&gt;=6.5,"中性偏强",IF(E24&gt;=5,"中性",IF(E24&gt;=3,"偏弱","低迷")))))</f>
        <v>偏强</v>
      </c>
      <c r="G24" s="20" t="s">
        <v>2014</v>
      </c>
      <c r="H24" s="20" t="s">
        <v>2009</v>
      </c>
      <c r="I24" s="20" t="s">
        <v>2010</v>
      </c>
      <c r="J24" s="20" t="s">
        <v>2015</v>
      </c>
    </row>
    <row r="25" customFormat="false" ht="42" hidden="false" customHeight="true" outlineLevel="0" collapsed="false">
      <c r="A25" s="20" t="s">
        <v>829</v>
      </c>
      <c r="B25" s="20" t="n">
        <f aca="false">传媒!$P$4</f>
        <v>7.2</v>
      </c>
      <c r="C25" s="20" t="n">
        <f aca="false">传媒!$P$5</f>
        <v>7</v>
      </c>
      <c r="D25" s="20" t="n">
        <f aca="false">传媒!$P$6</f>
        <v>6.6</v>
      </c>
      <c r="E25" s="21" t="n">
        <f aca="false">传媒!$G$18</f>
        <v>7</v>
      </c>
      <c r="F25" s="21" t="str">
        <f aca="false">IF(E25&gt;=8.5,"强/防过热",IF(E25&gt;=7.5,"偏强",IF(E25&gt;=6.5,"中性偏强",IF(E25&gt;=5,"中性",IF(E25&gt;=3,"偏弱","低迷")))))</f>
        <v>中性偏强</v>
      </c>
      <c r="G25" s="20" t="s">
        <v>2016</v>
      </c>
      <c r="H25" s="20" t="s">
        <v>2009</v>
      </c>
      <c r="I25" s="20" t="s">
        <v>2010</v>
      </c>
      <c r="J25" s="20" t="s">
        <v>2017</v>
      </c>
    </row>
    <row r="26" customFormat="false" ht="42" hidden="false" customHeight="true" outlineLevel="0" collapsed="false">
      <c r="A26" s="20" t="s">
        <v>861</v>
      </c>
      <c r="B26" s="20" t="n">
        <f aca="false">通信!$P$4</f>
        <v>9.5</v>
      </c>
      <c r="C26" s="20" t="n">
        <f aca="false">通信!$P$5</f>
        <v>8.5</v>
      </c>
      <c r="D26" s="20" t="n">
        <f aca="false">通信!$P$6</f>
        <v>8</v>
      </c>
      <c r="E26" s="22" t="n">
        <f aca="false">通信!$G$18</f>
        <v>8.9</v>
      </c>
      <c r="F26" s="22" t="str">
        <f aca="false">IF(E26&gt;=8.5,"强/防过热",IF(E26&gt;=7.5,"偏强",IF(E26&gt;=6.5,"中性偏强",IF(E26&gt;=5,"中性",IF(E26&gt;=3,"偏弱","低迷")))))</f>
        <v>强/防过热</v>
      </c>
      <c r="G26" s="20" t="s">
        <v>2014</v>
      </c>
      <c r="H26" s="20" t="s">
        <v>2009</v>
      </c>
      <c r="I26" s="20" t="s">
        <v>2010</v>
      </c>
      <c r="J26" s="20" t="s">
        <v>2015</v>
      </c>
    </row>
    <row r="27" customFormat="false" ht="42" hidden="false" customHeight="true" outlineLevel="0" collapsed="false">
      <c r="A27" s="20" t="s">
        <v>894</v>
      </c>
      <c r="B27" s="20" t="n">
        <f aca="false">银行!$P$4</f>
        <v>8</v>
      </c>
      <c r="C27" s="20" t="n">
        <f aca="false">银行!$P$5</f>
        <v>6.5</v>
      </c>
      <c r="D27" s="20" t="n">
        <f aca="false">银行!$P$6</f>
        <v>6.6</v>
      </c>
      <c r="E27" s="21" t="n">
        <f aca="false">银行!$G$18</f>
        <v>7</v>
      </c>
      <c r="F27" s="21" t="str">
        <f aca="false">IF(E27&gt;=8.5,"强/防过热",IF(E27&gt;=7.5,"偏强",IF(E27&gt;=6.5,"中性偏强",IF(E27&gt;=5,"中性",IF(E27&gt;=3,"偏弱","低迷")))))</f>
        <v>中性偏强</v>
      </c>
      <c r="G27" s="20" t="s">
        <v>2018</v>
      </c>
      <c r="H27" s="20" t="s">
        <v>2009</v>
      </c>
      <c r="I27" s="20" t="s">
        <v>2010</v>
      </c>
      <c r="J27" s="20" t="s">
        <v>2019</v>
      </c>
    </row>
    <row r="28" customFormat="false" ht="42" hidden="false" customHeight="true" outlineLevel="0" collapsed="false">
      <c r="A28" s="20" t="s">
        <v>928</v>
      </c>
      <c r="B28" s="20" t="n">
        <f aca="false">非银金融!$P$4</f>
        <v>7.1</v>
      </c>
      <c r="C28" s="20" t="n">
        <f aca="false">非银金融!$P$5</f>
        <v>7.1</v>
      </c>
      <c r="D28" s="20" t="n">
        <f aca="false">非银金融!$P$6</f>
        <v>7.4</v>
      </c>
      <c r="E28" s="21" t="n">
        <f aca="false">非银金融!$G$18</f>
        <v>7.2</v>
      </c>
      <c r="F28" s="22" t="str">
        <f aca="false">IF(E28&gt;=8.5,"强/防过热",IF(E28&gt;=7.5,"偏强",IF(E28&gt;=6.5,"中性偏强",IF(E28&gt;=5,"中性",IF(E28&gt;=3,"偏弱","低迷")))))</f>
        <v>中性偏强</v>
      </c>
      <c r="G28" s="20" t="s">
        <v>2024</v>
      </c>
      <c r="H28" s="20" t="s">
        <v>2009</v>
      </c>
      <c r="I28" s="20" t="s">
        <v>2010</v>
      </c>
      <c r="J28" s="20" t="s">
        <v>2025</v>
      </c>
    </row>
    <row r="29" customFormat="false" ht="42" hidden="false" customHeight="true" outlineLevel="0" collapsed="false">
      <c r="A29" s="20" t="s">
        <v>959</v>
      </c>
      <c r="B29" s="20" t="n">
        <f aca="false">汽车!$P$4</f>
        <v>7.3</v>
      </c>
      <c r="C29" s="20" t="n">
        <f aca="false">汽车!$P$5</f>
        <v>8</v>
      </c>
      <c r="D29" s="20" t="n">
        <f aca="false">汽车!$P$6</f>
        <v>7.4</v>
      </c>
      <c r="E29" s="21" t="n">
        <f aca="false">汽车!$G$18</f>
        <v>7.6</v>
      </c>
      <c r="F29" s="22" t="str">
        <f aca="false">IF(E29&gt;=8.5,"强/防过热",IF(E29&gt;=7.5,"偏强",IF(E29&gt;=6.5,"中性偏强",IF(E29&gt;=5,"中性",IF(E29&gt;=3,"偏弱","低迷")))))</f>
        <v>偏强</v>
      </c>
      <c r="G29" s="20" t="s">
        <v>2016</v>
      </c>
      <c r="H29" s="20" t="s">
        <v>2009</v>
      </c>
      <c r="I29" s="20" t="s">
        <v>2010</v>
      </c>
      <c r="J29" s="20" t="s">
        <v>2017</v>
      </c>
    </row>
    <row r="30" customFormat="false" ht="42" hidden="false" customHeight="true" outlineLevel="0" collapsed="false">
      <c r="A30" s="20" t="s">
        <v>993</v>
      </c>
      <c r="B30" s="20" t="n">
        <f aca="false">机械设备!$P$4</f>
        <v>7.5</v>
      </c>
      <c r="C30" s="20" t="n">
        <f aca="false">机械设备!$P$5</f>
        <v>7.5</v>
      </c>
      <c r="D30" s="20" t="n">
        <f aca="false">机械设备!$P$6</f>
        <v>6</v>
      </c>
      <c r="E30" s="21" t="n">
        <f aca="false">机械设备!$G$18</f>
        <v>7.2</v>
      </c>
      <c r="F30" s="21" t="str">
        <f aca="false">IF(E30&gt;=8.5,"强/防过热",IF(E30&gt;=7.5,"偏强",IF(E30&gt;=6.5,"中性偏强",IF(E30&gt;=5,"中性",IF(E30&gt;=3,"偏弱","低迷")))))</f>
        <v>中性偏强</v>
      </c>
      <c r="G30" s="20" t="s">
        <v>2014</v>
      </c>
      <c r="H30" s="20" t="s">
        <v>2009</v>
      </c>
      <c r="I30" s="20" t="s">
        <v>2010</v>
      </c>
      <c r="J30" s="20" t="s">
        <v>2015</v>
      </c>
    </row>
    <row r="31" customFormat="false" ht="42" hidden="false" customHeight="true" outlineLevel="0" collapsed="false">
      <c r="A31" s="20" t="s">
        <v>1022</v>
      </c>
      <c r="B31" s="20" t="n">
        <f aca="false">煤炭!$P$4</f>
        <v>7.6</v>
      </c>
      <c r="C31" s="20" t="n">
        <f aca="false">煤炭!$P$5</f>
        <v>7.6</v>
      </c>
      <c r="D31" s="20" t="n">
        <f aca="false">煤炭!$P$6</f>
        <v>6.6</v>
      </c>
      <c r="E31" s="21" t="n">
        <f aca="false">煤炭!$G$18</f>
        <v>7.5</v>
      </c>
      <c r="F31" s="22" t="str">
        <f aca="false">IF(E31&gt;=8.5,"强/防过热",IF(E31&gt;=7.5,"偏强",IF(E31&gt;=6.5,"中性偏强",IF(E31&gt;=5,"中性",IF(E31&gt;=3,"偏弱","低迷")))))</f>
        <v>偏强</v>
      </c>
      <c r="G31" s="20" t="s">
        <v>2008</v>
      </c>
      <c r="H31" s="20" t="s">
        <v>2009</v>
      </c>
      <c r="I31" s="20" t="s">
        <v>2010</v>
      </c>
      <c r="J31" s="20" t="s">
        <v>2011</v>
      </c>
    </row>
    <row r="32" customFormat="false" ht="42" hidden="false" customHeight="true" outlineLevel="0" collapsed="false">
      <c r="A32" s="20" t="s">
        <v>1055</v>
      </c>
      <c r="B32" s="20" t="n">
        <f aca="false">石油石化!$P$4</f>
        <v>7.6</v>
      </c>
      <c r="C32" s="20" t="n">
        <f aca="false">石油石化!$P$5</f>
        <v>6</v>
      </c>
      <c r="D32" s="20" t="n">
        <f aca="false">石油石化!$P$6</f>
        <v>6.6</v>
      </c>
      <c r="E32" s="21" t="n">
        <f aca="false">石油石化!$G$18</f>
        <v>6.9</v>
      </c>
      <c r="F32" s="21" t="str">
        <f aca="false">IF(E32&gt;=8.5,"强/防过热",IF(E32&gt;=7.5,"偏强",IF(E32&gt;=6.5,"中性偏强",IF(E32&gt;=5,"中性",IF(E32&gt;=3,"偏弱","低迷")))))</f>
        <v>中性偏强</v>
      </c>
      <c r="G32" s="20" t="s">
        <v>2008</v>
      </c>
      <c r="H32" s="20" t="s">
        <v>2009</v>
      </c>
      <c r="I32" s="20" t="s">
        <v>2010</v>
      </c>
      <c r="J32" s="20" t="s">
        <v>2011</v>
      </c>
    </row>
    <row r="33" customFormat="false" ht="42" hidden="false" customHeight="true" outlineLevel="0" collapsed="false">
      <c r="A33" s="20" t="s">
        <v>1091</v>
      </c>
      <c r="B33" s="20" t="n">
        <f aca="false">环保!$P$4</f>
        <v>8</v>
      </c>
      <c r="C33" s="20" t="n">
        <f aca="false">环保!$P$5</f>
        <v>6.5</v>
      </c>
      <c r="D33" s="20" t="n">
        <f aca="false">环保!$P$6</f>
        <v>6</v>
      </c>
      <c r="E33" s="21" t="n">
        <f aca="false">环保!$G$18</f>
        <v>7.1</v>
      </c>
      <c r="F33" s="22" t="str">
        <f aca="false">IF(E33&gt;=8.5,"强/防过热",IF(E33&gt;=7.5,"偏强",IF(E33&gt;=6.5,"中性偏强",IF(E33&gt;=5,"中性",IF(E33&gt;=3,"偏弱","低迷")))))</f>
        <v>中性偏强</v>
      </c>
      <c r="G33" s="20" t="s">
        <v>2022</v>
      </c>
      <c r="H33" s="20" t="s">
        <v>2009</v>
      </c>
      <c r="I33" s="20" t="s">
        <v>2010</v>
      </c>
      <c r="J33" s="20" t="s">
        <v>2023</v>
      </c>
    </row>
    <row r="34" customFormat="false" ht="42" hidden="false" customHeight="true" outlineLevel="0" collapsed="false">
      <c r="A34" s="20" t="s">
        <v>1118</v>
      </c>
      <c r="B34" s="20" t="n">
        <f aca="false">美容护理!$P$4</f>
        <v>5.8</v>
      </c>
      <c r="C34" s="20" t="n">
        <f aca="false">美容护理!$P$5</f>
        <v>7.6</v>
      </c>
      <c r="D34" s="20" t="n">
        <f aca="false">美容护理!$P$6</f>
        <v>7.2</v>
      </c>
      <c r="E34" s="21" t="n">
        <f aca="false">美容护理!$G$18</f>
        <v>6.8</v>
      </c>
      <c r="F34" s="22" t="str">
        <f aca="false">IF(E34&gt;=8.5,"强/防过热",IF(E34&gt;=7.5,"偏强",IF(E34&gt;=6.5,"中性偏强",IF(E34&gt;=5,"中性",IF(E34&gt;=3,"偏弱","低迷")))))</f>
        <v>中性偏强</v>
      </c>
      <c r="G34" s="20" t="s">
        <v>2016</v>
      </c>
      <c r="H34" s="20" t="s">
        <v>2009</v>
      </c>
      <c r="I34" s="20" t="s">
        <v>2010</v>
      </c>
      <c r="J34" s="20" t="s">
        <v>2017</v>
      </c>
    </row>
    <row r="35" customFormat="false" ht="42" hidden="false" customHeight="true" outlineLevel="0" collapsed="false">
      <c r="A35" s="20" t="s">
        <v>1143</v>
      </c>
      <c r="B35" s="20" t="n">
        <f aca="false">半导体!$P$4</f>
        <v>8</v>
      </c>
      <c r="C35" s="20" t="n">
        <f aca="false">半导体!$P$5</f>
        <v>7.6</v>
      </c>
      <c r="D35" s="20" t="n">
        <f aca="false">半导体!$P$6</f>
        <v>8.6</v>
      </c>
      <c r="E35" s="22" t="n">
        <f aca="false">半导体!$G$22</f>
        <v>8</v>
      </c>
      <c r="F35" s="22" t="str">
        <f aca="false">IF(E35&gt;=8.5,"强/防过热",IF(E35&gt;=7.5,"偏强",IF(E35&gt;=6.5,"中性偏强",IF(E35&gt;=5,"中性",IF(E35&gt;=3,"偏弱","低迷")))))</f>
        <v>偏强</v>
      </c>
      <c r="G35" s="20" t="s">
        <v>2014</v>
      </c>
      <c r="H35" s="20" t="s">
        <v>2009</v>
      </c>
      <c r="I35" s="20" t="s">
        <v>2026</v>
      </c>
      <c r="J35" s="20" t="s">
        <v>2015</v>
      </c>
    </row>
    <row r="36" customFormat="false" ht="42" hidden="false" customHeight="true" outlineLevel="0" collapsed="false">
      <c r="A36" s="20" t="s">
        <v>1178</v>
      </c>
      <c r="B36" s="20" t="n">
        <f aca="false">新能源!$P$4</f>
        <v>8.6</v>
      </c>
      <c r="C36" s="20" t="n">
        <f aca="false">新能源!$P$5</f>
        <v>6.5</v>
      </c>
      <c r="D36" s="20" t="n">
        <f aca="false">新能源!$P$6</f>
        <v>5.4</v>
      </c>
      <c r="E36" s="21" t="n">
        <f aca="false">新能源!$G$22</f>
        <v>7.3</v>
      </c>
      <c r="F36" s="22" t="str">
        <f aca="false">IF(E36&gt;=8.5,"强/防过热",IF(E36&gt;=7.5,"偏强",IF(E36&gt;=6.5,"中性偏强",IF(E36&gt;=5,"中性",IF(E36&gt;=3,"偏弱","低迷")))))</f>
        <v>中性偏强</v>
      </c>
      <c r="G36" s="20" t="s">
        <v>2008</v>
      </c>
      <c r="H36" s="20" t="s">
        <v>2009</v>
      </c>
      <c r="I36" s="20" t="s">
        <v>2026</v>
      </c>
      <c r="J36" s="20" t="s">
        <v>2011</v>
      </c>
    </row>
    <row r="37" customFormat="false" ht="42" hidden="false" customHeight="true" outlineLevel="0" collapsed="false">
      <c r="A37" s="20" t="s">
        <v>1206</v>
      </c>
      <c r="B37" s="20" t="n">
        <f aca="false">医药医疗!$P$4</f>
        <v>8</v>
      </c>
      <c r="C37" s="20" t="n">
        <f aca="false">医药医疗!$P$5</f>
        <v>7.2</v>
      </c>
      <c r="D37" s="20" t="n">
        <f aca="false">医药医疗!$P$6</f>
        <v>8</v>
      </c>
      <c r="E37" s="21" t="n">
        <f aca="false">医药医疗!$G$22</f>
        <v>7.7</v>
      </c>
      <c r="F37" s="22" t="str">
        <f aca="false">IF(E37&gt;=8.5,"强/防过热",IF(E37&gt;=7.5,"偏强",IF(E37&gt;=6.5,"中性偏强",IF(E37&gt;=5,"中性",IF(E37&gt;=3,"偏弱","低迷")))))</f>
        <v>偏强</v>
      </c>
      <c r="G37" s="20" t="s">
        <v>2014</v>
      </c>
      <c r="H37" s="20" t="s">
        <v>2009</v>
      </c>
      <c r="I37" s="20" t="s">
        <v>2026</v>
      </c>
      <c r="J37" s="20" t="s">
        <v>2015</v>
      </c>
    </row>
    <row r="38" customFormat="false" ht="42" hidden="false" customHeight="true" outlineLevel="0" collapsed="false">
      <c r="A38" s="20" t="s">
        <v>1237</v>
      </c>
      <c r="B38" s="20" t="n">
        <f aca="false">高端制造!$P$4</f>
        <v>7.6</v>
      </c>
      <c r="C38" s="20" t="n">
        <f aca="false">高端制造!$P$5</f>
        <v>7</v>
      </c>
      <c r="D38" s="20" t="n">
        <f aca="false">高端制造!$P$6</f>
        <v>6</v>
      </c>
      <c r="E38" s="21" t="n">
        <f aca="false">高端制造!$G$19</f>
        <v>7.2</v>
      </c>
      <c r="F38" s="21" t="str">
        <f aca="false">IF(E38&gt;=8.5,"强/防过热",IF(E38&gt;=7.5,"偏强",IF(E38&gt;=6.5,"中性偏强",IF(E38&gt;=5,"中性",IF(E38&gt;=3,"偏弱","低迷")))))</f>
        <v>中性偏强</v>
      </c>
      <c r="G38" s="20" t="s">
        <v>2014</v>
      </c>
      <c r="H38" s="20" t="s">
        <v>2009</v>
      </c>
      <c r="I38" s="20" t="s">
        <v>2026</v>
      </c>
      <c r="J38" s="20" t="s">
        <v>2015</v>
      </c>
    </row>
    <row r="39" customFormat="false" ht="42" hidden="false" customHeight="true" outlineLevel="0" collapsed="false">
      <c r="A39" s="20" t="s">
        <v>1263</v>
      </c>
      <c r="B39" s="20" t="n">
        <f aca="false">人形机器人!$P$4</f>
        <v>8.4</v>
      </c>
      <c r="C39" s="20" t="n">
        <f aca="false">人形机器人!$P$5</f>
        <v>7.6</v>
      </c>
      <c r="D39" s="20" t="n">
        <f aca="false">人形机器人!$P$6</f>
        <v>5.8</v>
      </c>
      <c r="E39" s="21" t="n">
        <f aca="false">人形机器人!$G$19</f>
        <v>7.8</v>
      </c>
      <c r="F39" s="21" t="str">
        <f aca="false">IF(E39&gt;=8.5,"强/防过热",IF(E39&gt;=7.5,"偏强",IF(E39&gt;=6.5,"中性偏强",IF(E39&gt;=5,"中性",IF(E39&gt;=3,"偏弱","低迷")))))</f>
        <v>偏强</v>
      </c>
      <c r="G39" s="20" t="s">
        <v>2027</v>
      </c>
      <c r="H39" s="20" t="s">
        <v>2009</v>
      </c>
      <c r="I39" s="20" t="s">
        <v>2026</v>
      </c>
      <c r="J39" s="20" t="s">
        <v>2028</v>
      </c>
    </row>
    <row r="40" customFormat="false" ht="42" hidden="false" customHeight="true" outlineLevel="0" collapsed="false">
      <c r="A40" s="25" t="s">
        <v>2029</v>
      </c>
      <c r="B40" s="20" t="n">
        <f aca="false">AI算力!$P$4</f>
        <v>9.4</v>
      </c>
      <c r="C40" s="20" t="n">
        <f aca="false">AI算力!$P$5</f>
        <v>8.5</v>
      </c>
      <c r="D40" s="20" t="n">
        <f aca="false">AI算力!$P$6</f>
        <v>8</v>
      </c>
      <c r="E40" s="22" t="n">
        <f aca="false">AI算力!$G$19</f>
        <v>8.9</v>
      </c>
      <c r="F40" s="22" t="str">
        <f aca="false">IF(E40&gt;=8.5,"强/防过热",IF(E40&gt;=7.5,"偏强",IF(E40&gt;=6.5,"中性偏强",IF(E40&gt;=5,"中性",IF(E40&gt;=3,"偏弱","低迷")))))</f>
        <v>强/防过热</v>
      </c>
      <c r="G40" s="20" t="s">
        <v>2027</v>
      </c>
      <c r="H40" s="20" t="s">
        <v>2009</v>
      </c>
      <c r="I40" s="20" t="s">
        <v>2026</v>
      </c>
      <c r="J40" s="20" t="s">
        <v>2028</v>
      </c>
    </row>
    <row r="41" customFormat="false" ht="42" hidden="false" customHeight="true" outlineLevel="0" collapsed="false">
      <c r="A41" s="20" t="s">
        <v>1330</v>
      </c>
      <c r="B41" s="20" t="n">
        <f aca="false">锂电!$P$4</f>
        <v>7.8</v>
      </c>
      <c r="C41" s="20" t="n">
        <f aca="false">锂电!$P$5</f>
        <v>8</v>
      </c>
      <c r="D41" s="20" t="n">
        <f aca="false">锂电!$P$6</f>
        <v>5.5</v>
      </c>
      <c r="E41" s="21" t="n">
        <f aca="false">锂电!$G$24</f>
        <v>7.5</v>
      </c>
      <c r="F41" s="22" t="str">
        <f aca="false">IF(E41&gt;=8.5,"强/防过热",IF(E41&gt;=7.5,"偏强",IF(E41&gt;=6.5,"中性偏强",IF(E41&gt;=5,"中性",IF(E41&gt;=3,"偏弱","低迷")))))</f>
        <v>偏强</v>
      </c>
      <c r="G41" s="20" t="s">
        <v>2008</v>
      </c>
      <c r="H41" s="20" t="s">
        <v>2009</v>
      </c>
      <c r="I41" s="20" t="s">
        <v>2026</v>
      </c>
      <c r="J41" s="20" t="s">
        <v>2011</v>
      </c>
    </row>
    <row r="42" customFormat="false" ht="42" hidden="false" customHeight="true" outlineLevel="0" collapsed="false">
      <c r="A42" s="20" t="s">
        <v>1373</v>
      </c>
      <c r="B42" s="20" t="n">
        <f aca="false">光伏!$P$4</f>
        <v>7.7</v>
      </c>
      <c r="C42" s="20" t="n">
        <f aca="false">光伏!$P$5</f>
        <v>7.5</v>
      </c>
      <c r="D42" s="20" t="n">
        <f aca="false">光伏!$P$6</f>
        <v>4.4</v>
      </c>
      <c r="E42" s="21" t="n">
        <f aca="false">光伏!$G$24</f>
        <v>7.1</v>
      </c>
      <c r="F42" s="21" t="str">
        <f aca="false">IF(E42&gt;=8.5,"强/防过热",IF(E42&gt;=7.5,"偏强",IF(E42&gt;=6.5,"中性偏强",IF(E42&gt;=5,"中性",IF(E42&gt;=3,"偏弱","低迷")))))</f>
        <v>中性偏强</v>
      </c>
      <c r="G42" s="20" t="s">
        <v>2008</v>
      </c>
      <c r="H42" s="20" t="s">
        <v>2009</v>
      </c>
      <c r="I42" s="20" t="s">
        <v>2026</v>
      </c>
      <c r="J42" s="20" t="s">
        <v>2011</v>
      </c>
    </row>
    <row r="43" customFormat="false" ht="42" hidden="false" customHeight="true" outlineLevel="0" collapsed="false">
      <c r="A43" s="20" t="s">
        <v>1413</v>
      </c>
      <c r="B43" s="20" t="n">
        <f aca="false">风电!$P$4</f>
        <v>9.1</v>
      </c>
      <c r="C43" s="20" t="n">
        <f aca="false">风电!$P$5</f>
        <v>7.2</v>
      </c>
      <c r="D43" s="20" t="n">
        <f aca="false">风电!$P$6</f>
        <v>6.6</v>
      </c>
      <c r="E43" s="21" t="n">
        <f aca="false">风电!$G$24</f>
        <v>7.9</v>
      </c>
      <c r="F43" s="22" t="str">
        <f aca="false">IF(E43&gt;=8.5,"强/防过热",IF(E43&gt;=7.5,"偏强",IF(E43&gt;=6.5,"中性偏强",IF(E43&gt;=5,"中性",IF(E43&gt;=3,"偏弱","低迷")))))</f>
        <v>偏强</v>
      </c>
      <c r="G43" s="20" t="s">
        <v>2022</v>
      </c>
      <c r="H43" s="20" t="s">
        <v>2009</v>
      </c>
      <c r="I43" s="20" t="s">
        <v>2026</v>
      </c>
      <c r="J43" s="20" t="s">
        <v>2023</v>
      </c>
    </row>
    <row r="44" customFormat="false" ht="42" hidden="false" customHeight="true" outlineLevel="0" collapsed="false">
      <c r="A44" s="20" t="s">
        <v>1455</v>
      </c>
      <c r="B44" s="20" t="n">
        <f aca="false">储能!$P$4</f>
        <v>9.2</v>
      </c>
      <c r="C44" s="20" t="n">
        <f aca="false">储能!$P$5</f>
        <v>7.1</v>
      </c>
      <c r="D44" s="20" t="n">
        <f aca="false">储能!$P$6</f>
        <v>7.1</v>
      </c>
      <c r="E44" s="22" t="n">
        <f aca="false">储能!$G$24</f>
        <v>8</v>
      </c>
      <c r="F44" s="22" t="str">
        <f aca="false">IF(E44&gt;=8.5,"强/防过热",IF(E44&gt;=7.5,"偏强",IF(E44&gt;=6.5,"中性偏强",IF(E44&gt;=5,"中性",IF(E44&gt;=3,"偏弱","低迷")))))</f>
        <v>偏强</v>
      </c>
      <c r="G44" s="20" t="s">
        <v>2022</v>
      </c>
      <c r="H44" s="20" t="s">
        <v>2009</v>
      </c>
      <c r="I44" s="20" t="s">
        <v>2026</v>
      </c>
      <c r="J44" s="20" t="s">
        <v>2023</v>
      </c>
    </row>
    <row r="45" customFormat="false" ht="42" hidden="false" customHeight="true" outlineLevel="0" collapsed="false">
      <c r="A45" s="26" t="s">
        <v>1493</v>
      </c>
      <c r="B45" s="26" t="n">
        <f aca="false">CXO!$P$4</f>
        <v>7.8</v>
      </c>
      <c r="C45" s="26" t="n">
        <f aca="false">CXO!$P$5</f>
        <v>7.4</v>
      </c>
      <c r="D45" s="26" t="n">
        <f aca="false">CXO!$P$6</f>
        <v>7.1</v>
      </c>
      <c r="E45" s="26" t="n">
        <f aca="false">CXO!$G$24</f>
        <v>7.6</v>
      </c>
      <c r="F45" s="26" t="str">
        <f aca="false">IF(E45&gt;=8.5,"强/防过热",IF(E45&gt;=7.5,"偏强",IF(E45&gt;=6.5,"中性偏强",IF(E45&gt;=5,"中性",IF(E45&gt;=3,"偏弱","低迷")))))</f>
        <v>偏强</v>
      </c>
      <c r="G45" s="27" t="s">
        <v>2030</v>
      </c>
      <c r="H45" s="27" t="s">
        <v>2009</v>
      </c>
      <c r="I45" s="27" t="s">
        <v>2026</v>
      </c>
      <c r="J45" s="27" t="s">
        <v>2028</v>
      </c>
    </row>
    <row r="46" customFormat="false" ht="42" hidden="false" customHeight="true" outlineLevel="0" collapsed="false">
      <c r="A46" s="20" t="s">
        <v>1535</v>
      </c>
      <c r="B46" s="27" t="n">
        <f aca="false">创新药!$P$4</f>
        <v>8</v>
      </c>
      <c r="C46" s="27" t="n">
        <f aca="false">创新药!$P$5</f>
        <v>8</v>
      </c>
      <c r="D46" s="27" t="n">
        <f aca="false">创新药!$P$6</f>
        <v>8.1</v>
      </c>
      <c r="E46" s="27" t="n">
        <f aca="false">创新药!$G$25</f>
        <v>8</v>
      </c>
      <c r="F46" s="27" t="str">
        <f aca="false">IF(E46&gt;=8.5,"强/防过热",IF(E46&gt;=7.5,"偏强",IF(E46&gt;=6.5,"中性偏强",IF(E46&gt;=5,"中性",IF(E46&gt;=3,"偏弱","低迷")))))</f>
        <v>偏强</v>
      </c>
      <c r="G46" s="27" t="s">
        <v>2030</v>
      </c>
      <c r="H46" s="27" t="s">
        <v>2009</v>
      </c>
      <c r="I46" s="27" t="s">
        <v>2026</v>
      </c>
      <c r="J46" s="27" t="s">
        <v>2028</v>
      </c>
    </row>
    <row r="47" customFormat="false" ht="13.5" hidden="false" customHeight="true" outlineLevel="0" collapsed="false">
      <c r="A47" s="28"/>
    </row>
    <row r="48" customFormat="false" ht="13.5" hidden="false" customHeight="true" outlineLevel="0" collapsed="false">
      <c r="A48" s="28"/>
    </row>
    <row r="49" customFormat="false" ht="13.5" hidden="false" customHeight="true" outlineLevel="0" collapsed="false">
      <c r="A49" s="29"/>
    </row>
    <row r="50" customFormat="false" ht="13.5" hidden="false" customHeight="true" outlineLevel="0" collapsed="false">
      <c r="A50" s="29"/>
    </row>
  </sheetData>
  <autoFilter ref="A3:J46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2031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2032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ROUND(SUMPRODUCT(F5:F9,G5:G9)/SUM(F5:F9),1)</f>
        <v>7.2</v>
      </c>
    </row>
    <row r="5" customFormat="false" ht="28.5" hidden="false" customHeight="true" outlineLevel="0" collapsed="false">
      <c r="A5" s="35" t="s">
        <v>2047</v>
      </c>
      <c r="B5" s="28" t="s">
        <v>83</v>
      </c>
      <c r="C5" s="35" t="s">
        <v>84</v>
      </c>
      <c r="D5" s="35" t="s">
        <v>85</v>
      </c>
      <c r="E5" s="28" t="s">
        <v>2048</v>
      </c>
      <c r="F5" s="36" t="n">
        <v>0.125</v>
      </c>
      <c r="G5" s="37" t="n">
        <f aca="false">IFERROR(VLOOKUP("农林牧渔|1-能繁母猪存栏量变化",指标更新台账_v3!$A$2:$I$600,9,FALSE()),0)</f>
        <v>6</v>
      </c>
      <c r="H5" s="38" t="s">
        <v>2049</v>
      </c>
      <c r="I5" s="35" t="s">
        <v>2050</v>
      </c>
      <c r="J5" s="39" t="s">
        <v>2051</v>
      </c>
      <c r="K5" s="28" t="s">
        <v>2052</v>
      </c>
      <c r="L5" s="12" t="n">
        <v>0.15</v>
      </c>
      <c r="M5" s="6" t="s">
        <v>2053</v>
      </c>
      <c r="N5" s="6" t="s">
        <v>88</v>
      </c>
      <c r="O5" s="12" t="s">
        <v>108</v>
      </c>
      <c r="P5" s="12" t="n">
        <f aca="false">ROUND(SUMPRODUCT(F11:F14,G11:G14)/SUM(F11:F14),1)</f>
        <v>6.5</v>
      </c>
    </row>
    <row r="6" customFormat="false" ht="28.5" hidden="false" customHeight="true" outlineLevel="0" collapsed="false">
      <c r="A6" s="35" t="s">
        <v>2054</v>
      </c>
      <c r="B6" s="28" t="s">
        <v>2055</v>
      </c>
      <c r="C6" s="35" t="s">
        <v>93</v>
      </c>
      <c r="D6" s="35" t="s">
        <v>85</v>
      </c>
      <c r="E6" s="28" t="s">
        <v>2056</v>
      </c>
      <c r="F6" s="36" t="n">
        <v>0.125</v>
      </c>
      <c r="G6" s="40" t="n">
        <f aca="false">IFERROR(VLOOKUP("农林牧渔|2-仔猪价格变化",指标更新台账_v3!$A$2:$I$600,9,FALSE()),0)</f>
        <v>9</v>
      </c>
      <c r="H6" s="38" t="s">
        <v>2057</v>
      </c>
      <c r="I6" s="35" t="s">
        <v>2058</v>
      </c>
      <c r="J6" s="39" t="s">
        <v>2059</v>
      </c>
      <c r="K6" s="28" t="s">
        <v>2060</v>
      </c>
      <c r="L6" s="12" t="n">
        <v>0.15</v>
      </c>
      <c r="M6" s="6" t="s">
        <v>2053</v>
      </c>
      <c r="N6" s="6" t="s">
        <v>94</v>
      </c>
      <c r="O6" s="12" t="s">
        <v>125</v>
      </c>
      <c r="P6" s="12" t="n">
        <f aca="false">ROUND(SUMPRODUCT(F16:F18,G16:G18)/SUM(F16:F18),1)</f>
        <v>6.6</v>
      </c>
    </row>
    <row r="7" customFormat="false" ht="28.5" hidden="false" customHeight="true" outlineLevel="0" collapsed="false">
      <c r="A7" s="35" t="s">
        <v>2061</v>
      </c>
      <c r="B7" s="28" t="s">
        <v>97</v>
      </c>
      <c r="C7" s="35" t="s">
        <v>98</v>
      </c>
      <c r="D7" s="35" t="s">
        <v>85</v>
      </c>
      <c r="E7" s="28" t="s">
        <v>2062</v>
      </c>
      <c r="F7" s="36" t="n">
        <v>0.1</v>
      </c>
      <c r="G7" s="40" t="n">
        <f aca="false">IFERROR(VLOOKUP("农林牧渔|3-饲料价格变化",指标更新台账_v3!$A$2:$I$600,9,FALSE()),0)</f>
        <v>8</v>
      </c>
      <c r="H7" s="38" t="s">
        <v>2063</v>
      </c>
      <c r="I7" s="35" t="s">
        <v>2064</v>
      </c>
      <c r="J7" s="39" t="s">
        <v>2065</v>
      </c>
      <c r="K7" s="28" t="s">
        <v>2052</v>
      </c>
      <c r="L7" s="12" t="n">
        <v>0.12</v>
      </c>
      <c r="M7" s="6" t="s">
        <v>2053</v>
      </c>
      <c r="N7" s="6" t="s">
        <v>94</v>
      </c>
    </row>
    <row r="8" customFormat="false" ht="28.5" hidden="false" customHeight="true" outlineLevel="0" collapsed="false">
      <c r="A8" s="35" t="s">
        <v>2066</v>
      </c>
      <c r="B8" s="28" t="s">
        <v>101</v>
      </c>
      <c r="C8" s="35" t="s">
        <v>102</v>
      </c>
      <c r="D8" s="35" t="s">
        <v>85</v>
      </c>
      <c r="E8" s="28" t="s">
        <v>2067</v>
      </c>
      <c r="F8" s="36" t="n">
        <v>0.0833</v>
      </c>
      <c r="G8" s="37" t="n">
        <f aca="false">IFERROR(VLOOKUP("农林牧渔|4-农产品进口量增速",指标更新台账_v3!$A$2:$I$600,9,FALSE()),0)</f>
        <v>6</v>
      </c>
      <c r="H8" s="38" t="s">
        <v>2068</v>
      </c>
      <c r="I8" s="35" t="s">
        <v>2069</v>
      </c>
      <c r="J8" s="39" t="s">
        <v>2070</v>
      </c>
      <c r="K8" s="28" t="s">
        <v>2052</v>
      </c>
      <c r="L8" s="12" t="n">
        <v>0.1</v>
      </c>
      <c r="M8" s="6" t="s">
        <v>2053</v>
      </c>
      <c r="N8" s="6" t="s">
        <v>88</v>
      </c>
    </row>
    <row r="9" customFormat="false" ht="28.5" hidden="false" customHeight="true" outlineLevel="0" collapsed="false">
      <c r="A9" s="35" t="s">
        <v>2071</v>
      </c>
      <c r="B9" s="28" t="s">
        <v>105</v>
      </c>
      <c r="C9" s="35" t="s">
        <v>106</v>
      </c>
      <c r="D9" s="35" t="s">
        <v>85</v>
      </c>
      <c r="E9" s="28" t="s">
        <v>2048</v>
      </c>
      <c r="F9" s="36" t="n">
        <v>0.0667</v>
      </c>
      <c r="G9" s="37" t="n">
        <f aca="false">IFERROR(VLOOKUP("农林牧渔|5-种植面积变化",指标更新台账_v3!$A$2:$I$600,9,FALSE()),0)</f>
        <v>6</v>
      </c>
      <c r="H9" s="38" t="s">
        <v>2072</v>
      </c>
      <c r="I9" s="35" t="s">
        <v>2073</v>
      </c>
      <c r="J9" s="39" t="s">
        <v>2074</v>
      </c>
      <c r="K9" s="28" t="s">
        <v>2075</v>
      </c>
      <c r="L9" s="12" t="n">
        <v>0.08</v>
      </c>
      <c r="M9" s="6" t="s">
        <v>2053</v>
      </c>
      <c r="N9" s="6" t="s">
        <v>88</v>
      </c>
    </row>
    <row r="10" customFormat="false" ht="13.5" hidden="false" customHeight="true" outlineLevel="0" collapsed="false">
      <c r="A10" s="34" t="s">
        <v>2076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28.5" hidden="false" customHeight="true" outlineLevel="0" collapsed="false">
      <c r="A11" s="35" t="s">
        <v>2077</v>
      </c>
      <c r="B11" s="28" t="s">
        <v>83</v>
      </c>
      <c r="C11" s="35" t="s">
        <v>110</v>
      </c>
      <c r="D11" s="28" t="s">
        <v>2078</v>
      </c>
      <c r="E11" s="28" t="s">
        <v>2067</v>
      </c>
      <c r="F11" s="36" t="n">
        <v>0.1312</v>
      </c>
      <c r="G11" s="37" t="n">
        <f aca="false">IFERROR(VLOOKUP("农林牧渔|6-生猪出栏均价",指标更新台账_v3!$A$2:$I$600,9,FALSE()),0)</f>
        <v>6</v>
      </c>
      <c r="H11" s="38" t="s">
        <v>2079</v>
      </c>
      <c r="I11" s="35" t="s">
        <v>2080</v>
      </c>
      <c r="J11" s="39" t="s">
        <v>2081</v>
      </c>
      <c r="K11" s="28" t="s">
        <v>2060</v>
      </c>
      <c r="L11" s="12" t="n">
        <v>0.15</v>
      </c>
      <c r="M11" s="6" t="s">
        <v>2082</v>
      </c>
      <c r="N11" s="6" t="s">
        <v>94</v>
      </c>
    </row>
    <row r="12" customFormat="false" ht="28.5" hidden="false" customHeight="true" outlineLevel="0" collapsed="false">
      <c r="A12" s="35" t="s">
        <v>2083</v>
      </c>
      <c r="B12" s="28" t="s">
        <v>115</v>
      </c>
      <c r="C12" s="35" t="s">
        <v>116</v>
      </c>
      <c r="D12" s="28" t="s">
        <v>2078</v>
      </c>
      <c r="E12" s="28" t="s">
        <v>2067</v>
      </c>
      <c r="F12" s="36" t="n">
        <v>0.0875</v>
      </c>
      <c r="G12" s="40" t="n">
        <f aca="false">IFERROR(VLOOKUP("农林牧渔|7-白羽肉鸡价格",指标更新台账_v3!$A$2:$I$600,9,FALSE()),0)</f>
        <v>8</v>
      </c>
      <c r="H12" s="38" t="s">
        <v>2084</v>
      </c>
      <c r="I12" s="35" t="s">
        <v>2085</v>
      </c>
      <c r="J12" s="39" t="s">
        <v>2086</v>
      </c>
      <c r="K12" s="28" t="s">
        <v>2060</v>
      </c>
      <c r="L12" s="12" t="n">
        <v>0.1</v>
      </c>
      <c r="M12" s="6" t="s">
        <v>2082</v>
      </c>
      <c r="N12" s="6" t="s">
        <v>94</v>
      </c>
    </row>
    <row r="13" customFormat="false" ht="28.5" hidden="false" customHeight="true" outlineLevel="0" collapsed="false">
      <c r="A13" s="35" t="s">
        <v>2087</v>
      </c>
      <c r="B13" s="28" t="s">
        <v>83</v>
      </c>
      <c r="C13" s="35" t="s">
        <v>119</v>
      </c>
      <c r="D13" s="28" t="s">
        <v>120</v>
      </c>
      <c r="E13" s="28" t="s">
        <v>2067</v>
      </c>
      <c r="F13" s="36" t="n">
        <v>0.07</v>
      </c>
      <c r="G13" s="37" t="n">
        <f aca="false">IFERROR(VLOOKUP("农林牧渔|8-水产批发价格指数",指标更新台账_v3!$A$2:$I$600,9,FALSE()),0)</f>
        <v>6</v>
      </c>
      <c r="H13" s="38" t="s">
        <v>2088</v>
      </c>
      <c r="I13" s="35" t="s">
        <v>2089</v>
      </c>
      <c r="J13" s="39" t="s">
        <v>2090</v>
      </c>
      <c r="K13" s="28" t="s">
        <v>2060</v>
      </c>
      <c r="L13" s="12" t="n">
        <v>0.08</v>
      </c>
      <c r="M13" s="6" t="s">
        <v>2082</v>
      </c>
      <c r="N13" s="6" t="s">
        <v>94</v>
      </c>
    </row>
    <row r="14" customFormat="false" ht="28.5" hidden="false" customHeight="true" outlineLevel="0" collapsed="false">
      <c r="A14" s="35" t="s">
        <v>2091</v>
      </c>
      <c r="B14" s="28" t="s">
        <v>83</v>
      </c>
      <c r="C14" s="35" t="s">
        <v>123</v>
      </c>
      <c r="D14" s="28" t="s">
        <v>120</v>
      </c>
      <c r="E14" s="28" t="s">
        <v>2067</v>
      </c>
      <c r="F14" s="36" t="n">
        <v>0.0612</v>
      </c>
      <c r="G14" s="37" t="n">
        <f aca="false">IFERROR(VLOOKUP("农林牧渔|9-农产品批发价格200指数",指标更新台账_v3!$A$2:$I$600,9,FALSE()),0)</f>
        <v>6</v>
      </c>
      <c r="H14" s="38" t="s">
        <v>2092</v>
      </c>
      <c r="I14" s="35" t="s">
        <v>2093</v>
      </c>
      <c r="J14" s="39" t="s">
        <v>2094</v>
      </c>
      <c r="K14" s="28" t="s">
        <v>2095</v>
      </c>
      <c r="L14" s="12" t="n">
        <v>0.07</v>
      </c>
      <c r="M14" s="6" t="s">
        <v>2082</v>
      </c>
      <c r="N14" s="6" t="s">
        <v>94</v>
      </c>
    </row>
    <row r="15" customFormat="false" ht="13.5" hidden="false" customHeight="true" outlineLevel="0" collapsed="false">
      <c r="A15" s="34" t="s">
        <v>2096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customFormat="false" ht="28.5" hidden="false" customHeight="true" outlineLevel="0" collapsed="false">
      <c r="A16" s="35" t="s">
        <v>2097</v>
      </c>
      <c r="B16" s="28" t="s">
        <v>127</v>
      </c>
      <c r="C16" s="35" t="s">
        <v>128</v>
      </c>
      <c r="D16" s="35" t="s">
        <v>129</v>
      </c>
      <c r="E16" s="28" t="s">
        <v>2067</v>
      </c>
      <c r="F16" s="36" t="n">
        <v>0.06</v>
      </c>
      <c r="G16" s="37" t="n">
        <f aca="false">IFERROR(VLOOKUP("农林牧渔|10-养殖企业季度净利润率",指标更新台账_v3!$A$2:$I$600,9,FALSE()),0)</f>
        <v>6</v>
      </c>
      <c r="H16" s="38" t="s">
        <v>2098</v>
      </c>
      <c r="I16" s="35" t="s">
        <v>2073</v>
      </c>
      <c r="J16" s="38" t="s">
        <v>2099</v>
      </c>
      <c r="K16" s="28" t="s">
        <v>2100</v>
      </c>
      <c r="L16" s="12" t="n">
        <v>0.1</v>
      </c>
      <c r="M16" s="6" t="s">
        <v>2101</v>
      </c>
      <c r="N16" s="6" t="s">
        <v>131</v>
      </c>
    </row>
    <row r="17" customFormat="false" ht="28.5" hidden="false" customHeight="true" outlineLevel="0" collapsed="false">
      <c r="A17" s="35" t="s">
        <v>2102</v>
      </c>
      <c r="B17" s="28" t="s">
        <v>105</v>
      </c>
      <c r="C17" s="35" t="s">
        <v>134</v>
      </c>
      <c r="D17" s="35" t="s">
        <v>85</v>
      </c>
      <c r="E17" s="28" t="s">
        <v>2067</v>
      </c>
      <c r="F17" s="36" t="n">
        <v>0.048</v>
      </c>
      <c r="G17" s="40" t="n">
        <f aca="false">IFERROR(VLOOKUP("农林牧渔|11-农林牧渔固定资产投资增速",指标更新台账_v3!$A$2:$I$600,9,FALSE()),0)</f>
        <v>8</v>
      </c>
      <c r="H17" s="38" t="s">
        <v>2098</v>
      </c>
      <c r="I17" s="35" t="s">
        <v>2103</v>
      </c>
      <c r="J17" s="39" t="s">
        <v>2104</v>
      </c>
      <c r="K17" s="28" t="s">
        <v>2100</v>
      </c>
      <c r="L17" s="12" t="n">
        <v>0.08</v>
      </c>
      <c r="M17" s="6" t="s">
        <v>2101</v>
      </c>
      <c r="N17" s="6" t="s">
        <v>88</v>
      </c>
    </row>
    <row r="18" customFormat="false" ht="28.5" hidden="false" customHeight="true" outlineLevel="0" collapsed="false">
      <c r="A18" s="35" t="s">
        <v>2105</v>
      </c>
      <c r="B18" s="28" t="s">
        <v>105</v>
      </c>
      <c r="C18" s="35" t="s">
        <v>84</v>
      </c>
      <c r="D18" s="35" t="s">
        <v>129</v>
      </c>
      <c r="E18" s="28" t="s">
        <v>2067</v>
      </c>
      <c r="F18" s="36" t="n">
        <v>0.042</v>
      </c>
      <c r="G18" s="37" t="n">
        <f aca="false">IFERROR(VLOOKUP("农林牧渔|12-CPI食品项同比",指标更新台账_v3!$A$2:$I$600,9,FALSE()),0)</f>
        <v>6</v>
      </c>
      <c r="H18" s="38" t="s">
        <v>2049</v>
      </c>
      <c r="I18" s="35" t="s">
        <v>2106</v>
      </c>
      <c r="J18" s="39" t="s">
        <v>2107</v>
      </c>
      <c r="K18" s="28" t="s">
        <v>2052</v>
      </c>
      <c r="L18" s="12" t="n">
        <v>0.07</v>
      </c>
      <c r="M18" s="6" t="s">
        <v>2101</v>
      </c>
      <c r="N18" s="6" t="s">
        <v>88</v>
      </c>
    </row>
    <row r="19" customFormat="false" ht="17.25" hidden="false" customHeight="true" outlineLevel="0" collapsed="false">
      <c r="A19" s="41" t="s">
        <v>2108</v>
      </c>
      <c r="B19" s="41"/>
      <c r="C19" s="41"/>
      <c r="D19" s="41"/>
      <c r="E19" s="41"/>
      <c r="F19" s="41"/>
      <c r="G19" s="42" t="n">
        <f aca="false">ROUND(SUMPRODUCT(F5:F18,G5:G18),1)</f>
        <v>6.8</v>
      </c>
      <c r="H19" s="43" t="s">
        <v>2109</v>
      </c>
      <c r="I19" s="43"/>
      <c r="J19" s="43"/>
      <c r="K19" s="43"/>
    </row>
  </sheetData>
  <mergeCells count="7">
    <mergeCell ref="A1:K1"/>
    <mergeCell ref="A2:K2"/>
    <mergeCell ref="A4:K4"/>
    <mergeCell ref="A10:K10"/>
    <mergeCell ref="A15:K15"/>
    <mergeCell ref="A19:F19"/>
    <mergeCell ref="H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2110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2111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8</v>
      </c>
    </row>
    <row r="5" customFormat="false" ht="28.5" hidden="false" customHeight="true" outlineLevel="0" collapsed="false">
      <c r="A5" s="35" t="s">
        <v>2112</v>
      </c>
      <c r="B5" s="35" t="s">
        <v>2113</v>
      </c>
      <c r="C5" s="35" t="s">
        <v>141</v>
      </c>
      <c r="D5" s="28" t="s">
        <v>2114</v>
      </c>
      <c r="E5" s="28" t="s">
        <v>2062</v>
      </c>
      <c r="F5" s="36" t="n">
        <v>0.15</v>
      </c>
      <c r="G5" s="40" t="n">
        <f aca="false">IFERROR(VLOOKUP("基础化工|1-原油价格变化",指标更新台账_v3!$A$2:$I$600,9,FALSE()),0)</f>
        <v>8</v>
      </c>
      <c r="H5" s="38" t="s">
        <v>2115</v>
      </c>
      <c r="I5" s="35" t="s">
        <v>2080</v>
      </c>
      <c r="J5" s="39" t="s">
        <v>2116</v>
      </c>
      <c r="K5" s="28" t="s">
        <v>2095</v>
      </c>
      <c r="L5" s="12" t="n">
        <v>0.15</v>
      </c>
      <c r="M5" s="6" t="s">
        <v>2053</v>
      </c>
      <c r="N5" s="6" t="s">
        <v>94</v>
      </c>
      <c r="O5" s="12" t="s">
        <v>108</v>
      </c>
      <c r="P5" s="12" t="n">
        <f aca="false">ROUND(SUMPRODUCT(F10:F13,G10:G13)/SUM(F10:F13),1)</f>
        <v>6.8</v>
      </c>
    </row>
    <row r="6" customFormat="false" ht="28.5" hidden="false" customHeight="true" outlineLevel="0" collapsed="false">
      <c r="A6" s="35" t="s">
        <v>2117</v>
      </c>
      <c r="B6" s="28" t="s">
        <v>145</v>
      </c>
      <c r="C6" s="35" t="s">
        <v>146</v>
      </c>
      <c r="D6" s="28" t="s">
        <v>2118</v>
      </c>
      <c r="E6" s="28" t="s">
        <v>2062</v>
      </c>
      <c r="F6" s="36" t="n">
        <v>0.12</v>
      </c>
      <c r="G6" s="40" t="n">
        <f aca="false">IFERROR(VLOOKUP("基础化工|2-煤化工原料煤价格",指标更新台账_v3!$A$2:$I$600,9,FALSE()),0)</f>
        <v>10</v>
      </c>
      <c r="H6" s="38" t="s">
        <v>2119</v>
      </c>
      <c r="I6" s="35" t="s">
        <v>2120</v>
      </c>
      <c r="J6" s="39" t="s">
        <v>2121</v>
      </c>
      <c r="K6" s="28" t="s">
        <v>2060</v>
      </c>
      <c r="L6" s="12" t="n">
        <v>0.12</v>
      </c>
      <c r="M6" s="6" t="s">
        <v>2053</v>
      </c>
      <c r="N6" s="6" t="s">
        <v>94</v>
      </c>
      <c r="O6" s="12" t="s">
        <v>125</v>
      </c>
      <c r="P6" s="12" t="n">
        <f aca="false">ROUND(SUMPRODUCT(F15:F17,G15:G17)/SUM(F15:F17),1)</f>
        <v>6.6</v>
      </c>
    </row>
    <row r="7" customFormat="false" ht="28.5" hidden="false" customHeight="true" outlineLevel="0" collapsed="false">
      <c r="A7" s="35" t="s">
        <v>2122</v>
      </c>
      <c r="B7" s="28" t="s">
        <v>150</v>
      </c>
      <c r="C7" s="35" t="s">
        <v>151</v>
      </c>
      <c r="D7" s="35" t="s">
        <v>129</v>
      </c>
      <c r="E7" s="28" t="s">
        <v>2067</v>
      </c>
      <c r="F7" s="36" t="n">
        <v>0.13</v>
      </c>
      <c r="G7" s="37" t="n">
        <f aca="false">IFERROR(VLOOKUP("基础化工|3-化工品产能利用率",指标更新台账_v3!$A$2:$I$600,9,FALSE()),0)</f>
        <v>6</v>
      </c>
      <c r="H7" s="38" t="s">
        <v>2123</v>
      </c>
      <c r="I7" s="35" t="s">
        <v>2069</v>
      </c>
      <c r="J7" s="39" t="s">
        <v>2124</v>
      </c>
      <c r="K7" s="28" t="s">
        <v>2052</v>
      </c>
      <c r="L7" s="12" t="n">
        <v>0.13</v>
      </c>
      <c r="M7" s="6" t="s">
        <v>2053</v>
      </c>
      <c r="N7" s="6" t="s">
        <v>131</v>
      </c>
    </row>
    <row r="8" customFormat="false" ht="28.5" hidden="false" customHeight="true" outlineLevel="0" collapsed="false">
      <c r="A8" s="35" t="s">
        <v>2125</v>
      </c>
      <c r="B8" s="28" t="s">
        <v>2126</v>
      </c>
      <c r="C8" s="35" t="s">
        <v>155</v>
      </c>
      <c r="D8" s="35" t="s">
        <v>129</v>
      </c>
      <c r="E8" s="28" t="s">
        <v>2127</v>
      </c>
      <c r="F8" s="36" t="n">
        <v>0.1</v>
      </c>
      <c r="G8" s="40" t="n">
        <f aca="false">IFERROR(VLOOKUP("基础化工|4-新增产能投放计划",指标更新台账_v3!$A$2:$I$600,9,FALSE()),0)</f>
        <v>8</v>
      </c>
      <c r="H8" s="38" t="s">
        <v>2128</v>
      </c>
      <c r="I8" s="35" t="s">
        <v>2050</v>
      </c>
      <c r="J8" s="39" t="s">
        <v>2129</v>
      </c>
      <c r="K8" s="28" t="s">
        <v>2100</v>
      </c>
      <c r="L8" s="12" t="n">
        <v>0.1</v>
      </c>
      <c r="M8" s="6" t="s">
        <v>2053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2130</v>
      </c>
      <c r="B10" s="28" t="s">
        <v>150</v>
      </c>
      <c r="C10" s="35" t="s">
        <v>158</v>
      </c>
      <c r="D10" s="28" t="s">
        <v>120</v>
      </c>
      <c r="E10" s="28" t="s">
        <v>2067</v>
      </c>
      <c r="F10" s="36" t="n">
        <v>0.1167</v>
      </c>
      <c r="G10" s="37" t="n">
        <f aca="false">IFERROR(VLOOKUP("基础化工|5-中国化工产品价格指数(CCPI)",指标更新台账_v3!$A$2:$I$600,9,FALSE()),0)</f>
        <v>6</v>
      </c>
      <c r="H10" s="38" t="s">
        <v>2131</v>
      </c>
      <c r="I10" s="35" t="s">
        <v>2073</v>
      </c>
      <c r="J10" s="39" t="s">
        <v>2132</v>
      </c>
      <c r="K10" s="28" t="s">
        <v>2060</v>
      </c>
      <c r="L10" s="12" t="n">
        <v>0.15</v>
      </c>
      <c r="M10" s="6" t="s">
        <v>2082</v>
      </c>
      <c r="N10" s="6" t="s">
        <v>94</v>
      </c>
    </row>
    <row r="11" customFormat="false" ht="28.5" hidden="false" customHeight="true" outlineLevel="0" collapsed="false">
      <c r="A11" s="35" t="s">
        <v>2133</v>
      </c>
      <c r="B11" s="28" t="s">
        <v>161</v>
      </c>
      <c r="C11" s="35" t="s">
        <v>162</v>
      </c>
      <c r="D11" s="35" t="s">
        <v>2134</v>
      </c>
      <c r="E11" s="28" t="s">
        <v>2067</v>
      </c>
      <c r="F11" s="36" t="n">
        <v>0.0933</v>
      </c>
      <c r="G11" s="37" t="n">
        <f aca="false">IFERROR(VLOOKUP("基础化工|6-主要化工品价差",指标更新台账_v3!$A$2:$I$600,9,FALSE()),0)</f>
        <v>6</v>
      </c>
      <c r="H11" s="38" t="s">
        <v>2135</v>
      </c>
      <c r="I11" s="35" t="s">
        <v>2080</v>
      </c>
      <c r="J11" s="39" t="s">
        <v>2136</v>
      </c>
      <c r="K11" s="28" t="s">
        <v>2060</v>
      </c>
      <c r="L11" s="12" t="n">
        <v>0.12</v>
      </c>
      <c r="M11" s="6" t="s">
        <v>2082</v>
      </c>
      <c r="N11" s="6" t="s">
        <v>94</v>
      </c>
    </row>
    <row r="12" customFormat="false" ht="28.5" hidden="false" customHeight="true" outlineLevel="0" collapsed="false">
      <c r="A12" s="35" t="s">
        <v>2137</v>
      </c>
      <c r="B12" s="28" t="s">
        <v>150</v>
      </c>
      <c r="C12" s="35" t="s">
        <v>166</v>
      </c>
      <c r="D12" s="28" t="s">
        <v>167</v>
      </c>
      <c r="E12" s="28" t="s">
        <v>2062</v>
      </c>
      <c r="F12" s="36" t="n">
        <v>0.0778</v>
      </c>
      <c r="G12" s="40" t="n">
        <f aca="false">IFERROR(VLOOKUP("基础化工|7-化工品库存天数",指标更新台账_v3!$A$2:$I$600,9,FALSE()),0)</f>
        <v>8</v>
      </c>
      <c r="H12" s="38" t="s">
        <v>2138</v>
      </c>
      <c r="I12" s="35" t="s">
        <v>2139</v>
      </c>
      <c r="J12" s="39" t="s">
        <v>2140</v>
      </c>
      <c r="K12" s="28" t="s">
        <v>2052</v>
      </c>
      <c r="L12" s="12" t="n">
        <v>0.1</v>
      </c>
      <c r="M12" s="6" t="s">
        <v>2082</v>
      </c>
      <c r="N12" s="6" t="s">
        <v>168</v>
      </c>
    </row>
    <row r="13" customFormat="false" ht="28.5" hidden="false" customHeight="true" outlineLevel="0" collapsed="false">
      <c r="A13" s="35" t="s">
        <v>2141</v>
      </c>
      <c r="B13" s="28" t="s">
        <v>101</v>
      </c>
      <c r="C13" s="35" t="s">
        <v>171</v>
      </c>
      <c r="D13" s="35" t="s">
        <v>85</v>
      </c>
      <c r="E13" s="28" t="s">
        <v>2067</v>
      </c>
      <c r="F13" s="36" t="n">
        <v>0.0622</v>
      </c>
      <c r="G13" s="40" t="n">
        <f aca="false">IFERROR(VLOOKUP("基础化工|8-化工品出口增速",指标更新台账_v3!$A$2:$I$600,9,FALSE()),0)</f>
        <v>8</v>
      </c>
      <c r="H13" s="38" t="s">
        <v>2098</v>
      </c>
      <c r="I13" s="35" t="s">
        <v>2142</v>
      </c>
      <c r="J13" s="39" t="s">
        <v>2143</v>
      </c>
      <c r="K13" s="28" t="s">
        <v>2052</v>
      </c>
      <c r="L13" s="12" t="n">
        <v>0.08</v>
      </c>
      <c r="M13" s="6" t="s">
        <v>2082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14.25" hidden="false" customHeight="true" outlineLevel="0" collapsed="false">
      <c r="A15" s="35" t="s">
        <v>2144</v>
      </c>
      <c r="B15" s="28" t="s">
        <v>127</v>
      </c>
      <c r="C15" s="35" t="s">
        <v>174</v>
      </c>
      <c r="D15" s="35" t="s">
        <v>129</v>
      </c>
      <c r="E15" s="28" t="s">
        <v>2067</v>
      </c>
      <c r="F15" s="36" t="n">
        <v>0.06</v>
      </c>
      <c r="G15" s="37" t="n">
        <f aca="false">IFERROR(VLOOKUP("基础化工|9-化工企业季度ROE",指标更新台账_v3!$A$2:$I$600,9,FALSE()),0)</f>
        <v>6</v>
      </c>
      <c r="H15" s="38" t="s">
        <v>2145</v>
      </c>
      <c r="I15" s="35" t="s">
        <v>2146</v>
      </c>
      <c r="J15" s="38" t="s">
        <v>2147</v>
      </c>
      <c r="K15" s="28" t="s">
        <v>2100</v>
      </c>
      <c r="L15" s="12" t="n">
        <v>0.1</v>
      </c>
      <c r="M15" s="6" t="s">
        <v>2101</v>
      </c>
      <c r="N15" s="6" t="s">
        <v>131</v>
      </c>
    </row>
    <row r="16" customFormat="false" ht="14.25" hidden="false" customHeight="true" outlineLevel="0" collapsed="false">
      <c r="A16" s="35" t="s">
        <v>2148</v>
      </c>
      <c r="B16" s="28" t="s">
        <v>105</v>
      </c>
      <c r="C16" s="35" t="s">
        <v>177</v>
      </c>
      <c r="D16" s="35" t="s">
        <v>85</v>
      </c>
      <c r="E16" s="28" t="s">
        <v>2067</v>
      </c>
      <c r="F16" s="36" t="n">
        <v>0.048</v>
      </c>
      <c r="G16" s="40" t="n">
        <f aca="false">IFERROR(VLOOKUP("基础化工|10-化工行业固定资产投资增速",指标更新台账_v3!$A$2:$I$600,9,FALSE()),0)</f>
        <v>8</v>
      </c>
      <c r="H16" s="38" t="s">
        <v>2149</v>
      </c>
      <c r="I16" s="35" t="s">
        <v>2089</v>
      </c>
      <c r="J16" s="39" t="s">
        <v>2150</v>
      </c>
      <c r="K16" s="28" t="s">
        <v>2100</v>
      </c>
      <c r="L16" s="12" t="n">
        <v>0.08</v>
      </c>
      <c r="M16" s="6" t="s">
        <v>2101</v>
      </c>
      <c r="N16" s="6" t="s">
        <v>88</v>
      </c>
    </row>
    <row r="17" customFormat="false" ht="28.5" hidden="false" customHeight="true" outlineLevel="0" collapsed="false">
      <c r="A17" s="35" t="s">
        <v>2151</v>
      </c>
      <c r="B17" s="28" t="s">
        <v>105</v>
      </c>
      <c r="C17" s="35" t="s">
        <v>180</v>
      </c>
      <c r="D17" s="35" t="s">
        <v>129</v>
      </c>
      <c r="E17" s="28" t="s">
        <v>2067</v>
      </c>
      <c r="F17" s="36" t="n">
        <v>0.042</v>
      </c>
      <c r="G17" s="37" t="n">
        <f aca="false">IFERROR(VLOOKUP("基础化工|11-PPI化工原料同比",指标更新台账_v3!$A$2:$I$600,9,FALSE()),0)</f>
        <v>6</v>
      </c>
      <c r="H17" s="38" t="s">
        <v>2152</v>
      </c>
      <c r="I17" s="35" t="s">
        <v>2080</v>
      </c>
      <c r="J17" s="39" t="s">
        <v>2153</v>
      </c>
      <c r="K17" s="28" t="s">
        <v>2052</v>
      </c>
      <c r="L17" s="12" t="n">
        <v>0.07</v>
      </c>
      <c r="M17" s="6" t="s">
        <v>2101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2" t="n">
        <f aca="false">ROUND(SUMPRODUCT(F5:F17,G5:G17),1)</f>
        <v>7.4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2154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2155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8</v>
      </c>
    </row>
    <row r="5" customFormat="false" ht="28.5" hidden="false" customHeight="true" outlineLevel="0" collapsed="false">
      <c r="A5" s="35" t="s">
        <v>2156</v>
      </c>
      <c r="B5" s="28" t="s">
        <v>2157</v>
      </c>
      <c r="C5" s="35" t="s">
        <v>185</v>
      </c>
      <c r="D5" s="28" t="s">
        <v>2158</v>
      </c>
      <c r="E5" s="28" t="s">
        <v>2062</v>
      </c>
      <c r="F5" s="36" t="n">
        <v>0.15</v>
      </c>
      <c r="G5" s="40" t="n">
        <f aca="false">IFERROR(VLOOKUP("钢铁|1-铁矿石价格变化",指标更新台账_v3!$A$2:$I$600,9,FALSE()),0)</f>
        <v>8</v>
      </c>
      <c r="H5" s="38" t="s">
        <v>2159</v>
      </c>
      <c r="I5" s="35" t="s">
        <v>2085</v>
      </c>
      <c r="J5" s="39" t="s">
        <v>2160</v>
      </c>
      <c r="K5" s="28" t="s">
        <v>2095</v>
      </c>
      <c r="L5" s="12" t="n">
        <v>0.15</v>
      </c>
      <c r="M5" s="6" t="s">
        <v>2053</v>
      </c>
      <c r="N5" s="6" t="s">
        <v>94</v>
      </c>
      <c r="O5" s="12" t="s">
        <v>108</v>
      </c>
      <c r="P5" s="12" t="n">
        <f aca="false">ROUND(SUMPRODUCT(F10:F13,G10:G13)/SUM(F10:F13),1)</f>
        <v>6</v>
      </c>
    </row>
    <row r="6" customFormat="false" ht="28.5" hidden="false" customHeight="true" outlineLevel="0" collapsed="false">
      <c r="A6" s="35" t="s">
        <v>2161</v>
      </c>
      <c r="B6" s="35" t="s">
        <v>2162</v>
      </c>
      <c r="C6" s="35" t="s">
        <v>190</v>
      </c>
      <c r="D6" s="28" t="s">
        <v>2118</v>
      </c>
      <c r="E6" s="28" t="s">
        <v>2062</v>
      </c>
      <c r="F6" s="36" t="n">
        <v>0.12</v>
      </c>
      <c r="G6" s="40" t="n">
        <f aca="false">IFERROR(VLOOKUP("钢铁|2-焦煤价格变化",指标更新台账_v3!$A$2:$I$600,9,FALSE()),0)</f>
        <v>8</v>
      </c>
      <c r="H6" s="38" t="s">
        <v>2163</v>
      </c>
      <c r="I6" s="35" t="s">
        <v>2050</v>
      </c>
      <c r="J6" s="39" t="s">
        <v>2164</v>
      </c>
      <c r="K6" s="28" t="s">
        <v>2060</v>
      </c>
      <c r="L6" s="12" t="n">
        <v>0.12</v>
      </c>
      <c r="M6" s="6" t="s">
        <v>2053</v>
      </c>
      <c r="N6" s="6" t="s">
        <v>94</v>
      </c>
      <c r="O6" s="12" t="s">
        <v>125</v>
      </c>
      <c r="P6" s="12" t="n">
        <f aca="false">ROUND(SUMPRODUCT(F15:F17,G15:G17)/SUM(F15:F17),1)</f>
        <v>6</v>
      </c>
    </row>
    <row r="7" customFormat="false" ht="28.5" hidden="false" customHeight="true" outlineLevel="0" collapsed="false">
      <c r="A7" s="35" t="s">
        <v>2165</v>
      </c>
      <c r="B7" s="35" t="s">
        <v>193</v>
      </c>
      <c r="C7" s="35" t="s">
        <v>194</v>
      </c>
      <c r="D7" s="35" t="s">
        <v>129</v>
      </c>
      <c r="E7" s="28" t="s">
        <v>2067</v>
      </c>
      <c r="F7" s="36" t="n">
        <v>0.13</v>
      </c>
      <c r="G7" s="40" t="n">
        <f aca="false">IFERROR(VLOOKUP("钢铁|3-高炉开工率",指标更新台账_v3!$A$2:$I$600,9,FALSE()),0)</f>
        <v>8</v>
      </c>
      <c r="H7" s="38" t="s">
        <v>2166</v>
      </c>
      <c r="I7" s="35" t="s">
        <v>2089</v>
      </c>
      <c r="J7" s="39" t="s">
        <v>2167</v>
      </c>
      <c r="K7" s="28" t="s">
        <v>2060</v>
      </c>
      <c r="L7" s="12" t="n">
        <v>0.13</v>
      </c>
      <c r="M7" s="6" t="s">
        <v>2053</v>
      </c>
      <c r="N7" s="6" t="s">
        <v>88</v>
      </c>
    </row>
    <row r="8" customFormat="false" ht="28.5" hidden="false" customHeight="true" outlineLevel="0" collapsed="false">
      <c r="A8" s="35" t="s">
        <v>2168</v>
      </c>
      <c r="B8" s="35" t="s">
        <v>193</v>
      </c>
      <c r="C8" s="35" t="s">
        <v>197</v>
      </c>
      <c r="D8" s="35" t="s">
        <v>198</v>
      </c>
      <c r="E8" s="28" t="s">
        <v>2169</v>
      </c>
      <c r="F8" s="36" t="n">
        <v>0.1</v>
      </c>
      <c r="G8" s="40" t="n">
        <f aca="false">IFERROR(VLOOKUP("钢铁|4-钢材社会库存变化",指标更新台账_v3!$A$2:$I$600,9,FALSE()),0)</f>
        <v>8</v>
      </c>
      <c r="H8" s="38" t="s">
        <v>2068</v>
      </c>
      <c r="I8" s="35" t="s">
        <v>2170</v>
      </c>
      <c r="J8" s="39" t="s">
        <v>2171</v>
      </c>
      <c r="K8" s="28" t="s">
        <v>2060</v>
      </c>
      <c r="L8" s="12" t="n">
        <v>0.1</v>
      </c>
      <c r="M8" s="6" t="s">
        <v>2053</v>
      </c>
      <c r="N8" s="6" t="s">
        <v>168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2172</v>
      </c>
      <c r="B10" s="28" t="s">
        <v>201</v>
      </c>
      <c r="C10" s="35" t="s">
        <v>202</v>
      </c>
      <c r="D10" s="28" t="s">
        <v>2118</v>
      </c>
      <c r="E10" s="28" t="s">
        <v>2067</v>
      </c>
      <c r="F10" s="36" t="n">
        <v>0.1167</v>
      </c>
      <c r="G10" s="37" t="n">
        <f aca="false">IFERROR(VLOOKUP("钢铁|5-螺纹钢现货价格",指标更新台账_v3!$A$2:$I$600,9,FALSE()),0)</f>
        <v>6</v>
      </c>
      <c r="H10" s="38" t="s">
        <v>2173</v>
      </c>
      <c r="I10" s="35" t="s">
        <v>2073</v>
      </c>
      <c r="J10" s="39" t="s">
        <v>2174</v>
      </c>
      <c r="K10" s="28" t="s">
        <v>2095</v>
      </c>
      <c r="L10" s="12" t="n">
        <v>0.15</v>
      </c>
      <c r="M10" s="6" t="s">
        <v>2082</v>
      </c>
      <c r="N10" s="6" t="s">
        <v>94</v>
      </c>
    </row>
    <row r="11" customFormat="false" ht="28.5" hidden="false" customHeight="true" outlineLevel="0" collapsed="false">
      <c r="A11" s="35" t="s">
        <v>2175</v>
      </c>
      <c r="B11" s="28" t="s">
        <v>201</v>
      </c>
      <c r="C11" s="35" t="s">
        <v>205</v>
      </c>
      <c r="D11" s="28" t="s">
        <v>2118</v>
      </c>
      <c r="E11" s="28" t="s">
        <v>2067</v>
      </c>
      <c r="F11" s="36" t="n">
        <v>0.0778</v>
      </c>
      <c r="G11" s="37" t="n">
        <f aca="false">IFERROR(VLOOKUP("钢铁|6-热轧板卷价格",指标更新台账_v3!$A$2:$I$600,9,FALSE()),0)</f>
        <v>6</v>
      </c>
      <c r="H11" s="38" t="s">
        <v>2176</v>
      </c>
      <c r="I11" s="35" t="s">
        <v>2050</v>
      </c>
      <c r="J11" s="39" t="s">
        <v>2177</v>
      </c>
      <c r="K11" s="28" t="s">
        <v>2095</v>
      </c>
      <c r="L11" s="12" t="n">
        <v>0.1</v>
      </c>
      <c r="M11" s="6" t="s">
        <v>2082</v>
      </c>
      <c r="N11" s="6" t="s">
        <v>94</v>
      </c>
    </row>
    <row r="12" customFormat="false" ht="28.5" hidden="false" customHeight="true" outlineLevel="0" collapsed="false">
      <c r="A12" s="35" t="s">
        <v>2178</v>
      </c>
      <c r="B12" s="35" t="s">
        <v>193</v>
      </c>
      <c r="C12" s="35" t="s">
        <v>208</v>
      </c>
      <c r="D12" s="35" t="s">
        <v>129</v>
      </c>
      <c r="E12" s="28" t="s">
        <v>2067</v>
      </c>
      <c r="F12" s="36" t="n">
        <v>0.0933</v>
      </c>
      <c r="G12" s="37" t="n">
        <f aca="false">IFERROR(VLOOKUP("钢铁|7-钢厂盈利面",指标更新台账_v3!$A$2:$I$600,9,FALSE()),0)</f>
        <v>6</v>
      </c>
      <c r="H12" s="38" t="s">
        <v>2179</v>
      </c>
      <c r="I12" s="35" t="s">
        <v>2073</v>
      </c>
      <c r="J12" s="39" t="s">
        <v>2180</v>
      </c>
      <c r="K12" s="28" t="s">
        <v>2060</v>
      </c>
      <c r="L12" s="12" t="n">
        <v>0.12</v>
      </c>
      <c r="M12" s="6" t="s">
        <v>2082</v>
      </c>
      <c r="N12" s="6" t="s">
        <v>88</v>
      </c>
    </row>
    <row r="13" customFormat="false" ht="28.5" hidden="false" customHeight="true" outlineLevel="0" collapsed="false">
      <c r="A13" s="35" t="s">
        <v>2181</v>
      </c>
      <c r="B13" s="28" t="s">
        <v>105</v>
      </c>
      <c r="C13" s="35" t="s">
        <v>211</v>
      </c>
      <c r="D13" s="28" t="s">
        <v>2182</v>
      </c>
      <c r="E13" s="28" t="s">
        <v>2067</v>
      </c>
      <c r="F13" s="36" t="n">
        <v>0.0622</v>
      </c>
      <c r="G13" s="37" t="n">
        <f aca="false">IFERROR(VLOOKUP("钢铁|8-钢材表观消费量",指标更新台账_v3!$A$2:$I$600,9,FALSE()),0)</f>
        <v>6</v>
      </c>
      <c r="H13" s="38" t="s">
        <v>2183</v>
      </c>
      <c r="I13" s="35" t="s">
        <v>2069</v>
      </c>
      <c r="J13" s="39" t="s">
        <v>2184</v>
      </c>
      <c r="K13" s="28" t="s">
        <v>2052</v>
      </c>
      <c r="L13" s="12" t="n">
        <v>0.08</v>
      </c>
      <c r="M13" s="6" t="s">
        <v>2082</v>
      </c>
      <c r="N13" s="6" t="s">
        <v>213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2185</v>
      </c>
      <c r="B15" s="28" t="s">
        <v>127</v>
      </c>
      <c r="C15" s="35" t="s">
        <v>216</v>
      </c>
      <c r="D15" s="28" t="s">
        <v>217</v>
      </c>
      <c r="E15" s="28" t="s">
        <v>2067</v>
      </c>
      <c r="F15" s="36" t="n">
        <v>0.06</v>
      </c>
      <c r="G15" s="37" t="n">
        <f aca="false">IFERROR(VLOOKUP("钢铁|9-钢铁企业季度净利润",指标更新台账_v3!$A$2:$I$600,9,FALSE()),0)</f>
        <v>6</v>
      </c>
      <c r="H15" s="38" t="s">
        <v>2186</v>
      </c>
      <c r="I15" s="35" t="s">
        <v>2050</v>
      </c>
      <c r="J15" s="38" t="s">
        <v>2187</v>
      </c>
      <c r="K15" s="28" t="s">
        <v>2100</v>
      </c>
      <c r="L15" s="12" t="n">
        <v>0.1</v>
      </c>
      <c r="M15" s="6" t="s">
        <v>2101</v>
      </c>
      <c r="N15" s="6" t="s">
        <v>131</v>
      </c>
    </row>
    <row r="16" customFormat="false" ht="28.5" hidden="false" customHeight="true" outlineLevel="0" collapsed="false">
      <c r="A16" s="35" t="s">
        <v>2188</v>
      </c>
      <c r="B16" s="28" t="s">
        <v>105</v>
      </c>
      <c r="C16" s="35" t="s">
        <v>220</v>
      </c>
      <c r="D16" s="35" t="s">
        <v>129</v>
      </c>
      <c r="E16" s="28" t="s">
        <v>2067</v>
      </c>
      <c r="F16" s="36" t="n">
        <v>0.048</v>
      </c>
      <c r="G16" s="37" t="n">
        <f aca="false">IFERROR(VLOOKUP("钢铁|10-钢铁行业产能利用率",指标更新台账_v3!$A$2:$I$600,9,FALSE()),0)</f>
        <v>6</v>
      </c>
      <c r="H16" s="38" t="s">
        <v>2123</v>
      </c>
      <c r="I16" s="35" t="s">
        <v>2069</v>
      </c>
      <c r="J16" s="39" t="s">
        <v>2189</v>
      </c>
      <c r="K16" s="28" t="s">
        <v>2100</v>
      </c>
      <c r="L16" s="12" t="n">
        <v>0.08</v>
      </c>
      <c r="M16" s="6" t="s">
        <v>2101</v>
      </c>
      <c r="N16" s="6" t="s">
        <v>131</v>
      </c>
    </row>
    <row r="17" customFormat="false" ht="28.5" hidden="false" customHeight="true" outlineLevel="0" collapsed="false">
      <c r="A17" s="35" t="s">
        <v>2190</v>
      </c>
      <c r="B17" s="28" t="s">
        <v>105</v>
      </c>
      <c r="C17" s="35" t="s">
        <v>223</v>
      </c>
      <c r="D17" s="35" t="s">
        <v>129</v>
      </c>
      <c r="E17" s="28" t="s">
        <v>2067</v>
      </c>
      <c r="F17" s="36" t="n">
        <v>0.042</v>
      </c>
      <c r="G17" s="37" t="n">
        <f aca="false">IFERROR(VLOOKUP("钢铁|11-PPI黑色金属冶炼同比",指标更新台账_v3!$A$2:$I$600,9,FALSE()),0)</f>
        <v>6</v>
      </c>
      <c r="H17" s="38" t="s">
        <v>2191</v>
      </c>
      <c r="I17" s="35" t="s">
        <v>2073</v>
      </c>
      <c r="J17" s="39" t="s">
        <v>2153</v>
      </c>
      <c r="K17" s="28" t="s">
        <v>2052</v>
      </c>
      <c r="L17" s="12" t="n">
        <v>0.07</v>
      </c>
      <c r="M17" s="6" t="s">
        <v>2101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2" t="n">
        <f aca="false">ROUND(SUMPRODUCT(F5:F17,G5:G17),1)</f>
        <v>7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2192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2193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6.9</v>
      </c>
    </row>
    <row r="5" customFormat="false" ht="28.5" hidden="false" customHeight="true" outlineLevel="0" collapsed="false">
      <c r="A5" s="35" t="s">
        <v>2194</v>
      </c>
      <c r="B5" s="35" t="s">
        <v>227</v>
      </c>
      <c r="C5" s="35" t="s">
        <v>228</v>
      </c>
      <c r="D5" s="35" t="s">
        <v>85</v>
      </c>
      <c r="E5" s="28" t="s">
        <v>2169</v>
      </c>
      <c r="F5" s="36" t="n">
        <v>0.15</v>
      </c>
      <c r="G5" s="40" t="n">
        <f aca="false">IFERROR(VLOOKUP("有色金属|1-LME铜库存变化",指标更新台账_v3!$A$2:$I$600,9,FALSE()),0)</f>
        <v>8</v>
      </c>
      <c r="H5" s="38" t="s">
        <v>2195</v>
      </c>
      <c r="I5" s="35" t="s">
        <v>2064</v>
      </c>
      <c r="J5" s="39" t="s">
        <v>2196</v>
      </c>
      <c r="K5" s="28" t="s">
        <v>2060</v>
      </c>
      <c r="L5" s="12" t="n">
        <v>0.15</v>
      </c>
      <c r="M5" s="6" t="s">
        <v>2197</v>
      </c>
      <c r="N5" s="6" t="s">
        <v>168</v>
      </c>
      <c r="O5" s="12" t="s">
        <v>108</v>
      </c>
      <c r="P5" s="12" t="n">
        <f aca="false">ROUND(SUMPRODUCT(F10:F13,G10:G13)/SUM(F10:F13),1)</f>
        <v>8.7</v>
      </c>
    </row>
    <row r="6" customFormat="false" ht="28.5" hidden="false" customHeight="true" outlineLevel="0" collapsed="false">
      <c r="A6" s="35" t="s">
        <v>2198</v>
      </c>
      <c r="B6" s="35" t="s">
        <v>231</v>
      </c>
      <c r="C6" s="35" t="s">
        <v>232</v>
      </c>
      <c r="D6" s="28" t="s">
        <v>2158</v>
      </c>
      <c r="E6" s="28" t="s">
        <v>2062</v>
      </c>
      <c r="F6" s="36" t="n">
        <v>0.12</v>
      </c>
      <c r="G6" s="44" t="n">
        <f aca="false">IFERROR(VLOOKUP("有色金属|2-铜精矿TC/RC",指标更新台账_v3!$A$2:$I$600,9,FALSE()),0)</f>
        <v>4</v>
      </c>
      <c r="H6" s="38" t="s">
        <v>2199</v>
      </c>
      <c r="I6" s="35" t="s">
        <v>2200</v>
      </c>
      <c r="J6" s="39" t="s">
        <v>2201</v>
      </c>
      <c r="K6" s="28" t="s">
        <v>2052</v>
      </c>
      <c r="L6" s="12" t="n">
        <v>0.12</v>
      </c>
      <c r="M6" s="6" t="s">
        <v>2197</v>
      </c>
      <c r="N6" s="6" t="s">
        <v>94</v>
      </c>
      <c r="O6" s="12" t="s">
        <v>125</v>
      </c>
      <c r="P6" s="12" t="n">
        <f aca="false">ROUND(SUMPRODUCT(F15:F17,G15:G17)/SUM(F15:F17),1)</f>
        <v>8.6</v>
      </c>
    </row>
    <row r="7" customFormat="false" ht="28.5" hidden="false" customHeight="true" outlineLevel="0" collapsed="false">
      <c r="A7" s="35" t="s">
        <v>2202</v>
      </c>
      <c r="B7" s="28" t="s">
        <v>235</v>
      </c>
      <c r="C7" s="35" t="s">
        <v>236</v>
      </c>
      <c r="D7" s="28" t="s">
        <v>120</v>
      </c>
      <c r="E7" s="28" t="s">
        <v>2062</v>
      </c>
      <c r="F7" s="36" t="n">
        <v>0.1</v>
      </c>
      <c r="G7" s="40" t="n">
        <f aca="false">IFERROR(VLOOKUP("有色金属|3-美元指数",指标更新台账_v3!$A$2:$I$600,9,FALSE()),0)</f>
        <v>8</v>
      </c>
      <c r="H7" s="38" t="s">
        <v>2203</v>
      </c>
      <c r="I7" s="35" t="s">
        <v>2064</v>
      </c>
      <c r="J7" s="39" t="s">
        <v>2204</v>
      </c>
      <c r="K7" s="28" t="s">
        <v>2095</v>
      </c>
      <c r="L7" s="12" t="n">
        <v>0.1</v>
      </c>
      <c r="M7" s="6" t="s">
        <v>2197</v>
      </c>
      <c r="N7" s="6" t="s">
        <v>88</v>
      </c>
    </row>
    <row r="8" customFormat="false" ht="28.5" hidden="false" customHeight="true" outlineLevel="0" collapsed="false">
      <c r="A8" s="35" t="s">
        <v>2205</v>
      </c>
      <c r="B8" s="35" t="s">
        <v>239</v>
      </c>
      <c r="C8" s="35" t="s">
        <v>240</v>
      </c>
      <c r="D8" s="35" t="s">
        <v>85</v>
      </c>
      <c r="E8" s="28" t="s">
        <v>2067</v>
      </c>
      <c r="F8" s="36" t="n">
        <v>0.08</v>
      </c>
      <c r="G8" s="40" t="n">
        <f aca="false">IFERROR(VLOOKUP("有色金属|4-全球矿山资本开支增速",指标更新台账_v3!$A$2:$I$600,9,FALSE()),0)</f>
        <v>8</v>
      </c>
      <c r="H8" s="38" t="s">
        <v>2098</v>
      </c>
      <c r="I8" s="35" t="s">
        <v>2142</v>
      </c>
      <c r="J8" s="39" t="s">
        <v>2206</v>
      </c>
      <c r="K8" s="28" t="s">
        <v>2075</v>
      </c>
      <c r="L8" s="12" t="n">
        <v>0.08</v>
      </c>
      <c r="M8" s="6" t="s">
        <v>2197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2207</v>
      </c>
      <c r="B10" s="35" t="s">
        <v>227</v>
      </c>
      <c r="C10" s="35" t="s">
        <v>243</v>
      </c>
      <c r="D10" s="28" t="s">
        <v>2158</v>
      </c>
      <c r="E10" s="28" t="s">
        <v>2067</v>
      </c>
      <c r="F10" s="36" t="n">
        <v>0.1395</v>
      </c>
      <c r="G10" s="40" t="n">
        <f aca="false">IFERROR(VLOOKUP("有色金属|5-LME铜现货价格",指标更新台账_v3!$A$2:$I$600,9,FALSE()),0)</f>
        <v>10</v>
      </c>
      <c r="H10" s="38" t="s">
        <v>2208</v>
      </c>
      <c r="I10" s="35" t="s">
        <v>2209</v>
      </c>
      <c r="J10" s="39" t="s">
        <v>2210</v>
      </c>
      <c r="K10" s="28" t="s">
        <v>2095</v>
      </c>
      <c r="L10" s="12" t="n">
        <v>0.15</v>
      </c>
      <c r="M10" s="6" t="s">
        <v>2211</v>
      </c>
      <c r="N10" s="6" t="s">
        <v>94</v>
      </c>
    </row>
    <row r="11" customFormat="false" ht="28.5" hidden="false" customHeight="true" outlineLevel="0" collapsed="false">
      <c r="A11" s="35" t="s">
        <v>2212</v>
      </c>
      <c r="B11" s="35" t="s">
        <v>231</v>
      </c>
      <c r="C11" s="35" t="s">
        <v>246</v>
      </c>
      <c r="D11" s="28" t="s">
        <v>2118</v>
      </c>
      <c r="E11" s="28" t="s">
        <v>2067</v>
      </c>
      <c r="F11" s="36" t="n">
        <v>0.093</v>
      </c>
      <c r="G11" s="40" t="n">
        <f aca="false">IFERROR(VLOOKUP("有色金属|6-铝现货价格",指标更新台账_v3!$A$2:$I$600,9,FALSE()),0)</f>
        <v>10</v>
      </c>
      <c r="H11" s="38" t="s">
        <v>2213</v>
      </c>
      <c r="I11" s="35" t="s">
        <v>2058</v>
      </c>
      <c r="J11" s="39" t="s">
        <v>2214</v>
      </c>
      <c r="K11" s="28" t="s">
        <v>2095</v>
      </c>
      <c r="L11" s="12" t="n">
        <v>0.1</v>
      </c>
      <c r="M11" s="6" t="s">
        <v>2211</v>
      </c>
      <c r="N11" s="6" t="s">
        <v>94</v>
      </c>
    </row>
    <row r="12" customFormat="false" ht="28.5" hidden="false" customHeight="true" outlineLevel="0" collapsed="false">
      <c r="A12" s="35" t="s">
        <v>2215</v>
      </c>
      <c r="B12" s="35" t="s">
        <v>231</v>
      </c>
      <c r="C12" s="35" t="s">
        <v>249</v>
      </c>
      <c r="D12" s="35" t="s">
        <v>2134</v>
      </c>
      <c r="E12" s="28" t="s">
        <v>2067</v>
      </c>
      <c r="F12" s="36" t="n">
        <v>0.093</v>
      </c>
      <c r="G12" s="37" t="n">
        <f aca="false">IFERROR(VLOOKUP("有色金属|7-有色金属冶炼加工费",指标更新台账_v3!$A$2:$I$600,9,FALSE()),0)</f>
        <v>6</v>
      </c>
      <c r="H12" s="38" t="s">
        <v>2216</v>
      </c>
      <c r="I12" s="35" t="s">
        <v>2080</v>
      </c>
      <c r="J12" s="39" t="s">
        <v>2217</v>
      </c>
      <c r="K12" s="28" t="s">
        <v>2052</v>
      </c>
      <c r="L12" s="12" t="n">
        <v>0.1</v>
      </c>
      <c r="M12" s="6" t="s">
        <v>2211</v>
      </c>
      <c r="N12" s="6" t="s">
        <v>88</v>
      </c>
    </row>
    <row r="13" customFormat="false" ht="28.5" hidden="false" customHeight="true" outlineLevel="0" collapsed="false">
      <c r="A13" s="35" t="s">
        <v>2218</v>
      </c>
      <c r="B13" s="28" t="s">
        <v>252</v>
      </c>
      <c r="C13" s="35" t="s">
        <v>253</v>
      </c>
      <c r="D13" s="35" t="s">
        <v>85</v>
      </c>
      <c r="E13" s="28" t="s">
        <v>2067</v>
      </c>
      <c r="F13" s="36" t="n">
        <v>0.0744</v>
      </c>
      <c r="G13" s="40" t="n">
        <f aca="false">IFERROR(VLOOKUP("有色金属|8-中国有色金属消费量",指标更新台账_v3!$A$2:$I$600,9,FALSE()),0)</f>
        <v>8</v>
      </c>
      <c r="H13" s="38" t="s">
        <v>2219</v>
      </c>
      <c r="I13" s="35" t="s">
        <v>2085</v>
      </c>
      <c r="J13" s="39" t="s">
        <v>2220</v>
      </c>
      <c r="K13" s="28" t="s">
        <v>2052</v>
      </c>
      <c r="L13" s="12" t="n">
        <v>0.08</v>
      </c>
      <c r="M13" s="6" t="s">
        <v>2211</v>
      </c>
      <c r="N13" s="6" t="s">
        <v>213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2221</v>
      </c>
      <c r="B15" s="28" t="s">
        <v>127</v>
      </c>
      <c r="C15" s="35" t="s">
        <v>256</v>
      </c>
      <c r="D15" s="28" t="s">
        <v>217</v>
      </c>
      <c r="E15" s="28" t="s">
        <v>2067</v>
      </c>
      <c r="F15" s="36" t="n">
        <v>0.06</v>
      </c>
      <c r="G15" s="40" t="n">
        <f aca="false">IFERROR(VLOOKUP("有色金属|9-有色企业季度净利润",指标更新台账_v3!$A$2:$I$600,9,FALSE()),0)</f>
        <v>8</v>
      </c>
      <c r="H15" s="38" t="s">
        <v>2222</v>
      </c>
      <c r="I15" s="35" t="s">
        <v>2223</v>
      </c>
      <c r="J15" s="38" t="s">
        <v>2224</v>
      </c>
      <c r="K15" s="28" t="s">
        <v>2100</v>
      </c>
      <c r="L15" s="12" t="n">
        <v>0.1</v>
      </c>
      <c r="M15" s="6" t="s">
        <v>2101</v>
      </c>
      <c r="N15" s="6" t="s">
        <v>131</v>
      </c>
    </row>
    <row r="16" customFormat="false" ht="28.5" hidden="false" customHeight="true" outlineLevel="0" collapsed="false">
      <c r="A16" s="35" t="s">
        <v>2225</v>
      </c>
      <c r="B16" s="28" t="s">
        <v>127</v>
      </c>
      <c r="C16" s="35" t="s">
        <v>259</v>
      </c>
      <c r="D16" s="28" t="s">
        <v>167</v>
      </c>
      <c r="E16" s="28" t="s">
        <v>2062</v>
      </c>
      <c r="F16" s="36" t="n">
        <v>0.048</v>
      </c>
      <c r="G16" s="40" t="n">
        <f aca="false">IFERROR(VLOOKUP("有色金属|10-有色金属库存周转天数",指标更新台账_v3!$A$2:$I$600,9,FALSE()),0)</f>
        <v>8</v>
      </c>
      <c r="H16" s="38" t="s">
        <v>2226</v>
      </c>
      <c r="I16" s="35" t="s">
        <v>2106</v>
      </c>
      <c r="J16" s="39" t="s">
        <v>2227</v>
      </c>
      <c r="K16" s="28" t="s">
        <v>2100</v>
      </c>
      <c r="L16" s="12" t="n">
        <v>0.08</v>
      </c>
      <c r="M16" s="6" t="s">
        <v>2101</v>
      </c>
      <c r="N16" s="6" t="s">
        <v>168</v>
      </c>
    </row>
    <row r="17" customFormat="false" ht="28.5" hidden="false" customHeight="true" outlineLevel="0" collapsed="false">
      <c r="A17" s="35" t="s">
        <v>2228</v>
      </c>
      <c r="B17" s="28" t="s">
        <v>105</v>
      </c>
      <c r="C17" s="35" t="s">
        <v>171</v>
      </c>
      <c r="D17" s="35" t="s">
        <v>129</v>
      </c>
      <c r="E17" s="28" t="s">
        <v>2067</v>
      </c>
      <c r="F17" s="36" t="n">
        <v>0.042</v>
      </c>
      <c r="G17" s="40" t="n">
        <f aca="false">IFERROR(VLOOKUP("有色金属|11-PPI有色金属冶炼同比",指标更新台账_v3!$A$2:$I$600,9,FALSE()),0)</f>
        <v>10</v>
      </c>
      <c r="H17" s="38" t="s">
        <v>2149</v>
      </c>
      <c r="I17" s="35" t="s">
        <v>2229</v>
      </c>
      <c r="J17" s="39" t="s">
        <v>2230</v>
      </c>
      <c r="K17" s="28" t="s">
        <v>2052</v>
      </c>
      <c r="L17" s="12" t="n">
        <v>0.07</v>
      </c>
      <c r="M17" s="6" t="s">
        <v>2101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2" t="n">
        <f aca="false">ROUND(SUMPRODUCT(F5:F17,G5:G17),1)</f>
        <v>7.9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2231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2232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ROUND(SUMPRODUCT(F5:F9,G5:G9)/SUM(F5:F9),1)</f>
        <v>8.2</v>
      </c>
    </row>
    <row r="5" customFormat="false" ht="28.5" hidden="false" customHeight="true" outlineLevel="0" collapsed="false">
      <c r="A5" s="35" t="s">
        <v>2233</v>
      </c>
      <c r="B5" s="35" t="s">
        <v>265</v>
      </c>
      <c r="C5" s="35" t="s">
        <v>266</v>
      </c>
      <c r="D5" s="35" t="s">
        <v>85</v>
      </c>
      <c r="E5" s="28" t="s">
        <v>2067</v>
      </c>
      <c r="F5" s="36" t="n">
        <v>0.1364</v>
      </c>
      <c r="G5" s="40" t="n">
        <f aca="false">IFERROR(VLOOKUP("电子|1-全球半导体销售额增速",指标更新台账_v3!$A$2:$I$600,9,FALSE()),0)</f>
        <v>8</v>
      </c>
      <c r="H5" s="38" t="s">
        <v>2234</v>
      </c>
      <c r="I5" s="35" t="s">
        <v>2229</v>
      </c>
      <c r="J5" s="39" t="s">
        <v>2235</v>
      </c>
      <c r="K5" s="28" t="s">
        <v>2052</v>
      </c>
      <c r="L5" s="12" t="n">
        <v>0.15</v>
      </c>
      <c r="M5" s="6" t="s">
        <v>2053</v>
      </c>
      <c r="N5" s="6" t="s">
        <v>88</v>
      </c>
      <c r="O5" s="12" t="s">
        <v>108</v>
      </c>
      <c r="P5" s="12" t="n">
        <f aca="false">ROUND(SUMPRODUCT(F11:F14,G11:G14)/SUM(F11:F14),1)</f>
        <v>7.2</v>
      </c>
    </row>
    <row r="6" customFormat="false" ht="28.5" hidden="false" customHeight="true" outlineLevel="0" collapsed="false">
      <c r="A6" s="35" t="s">
        <v>2236</v>
      </c>
      <c r="B6" s="35" t="s">
        <v>269</v>
      </c>
      <c r="C6" s="35" t="s">
        <v>270</v>
      </c>
      <c r="D6" s="35" t="s">
        <v>198</v>
      </c>
      <c r="E6" s="28" t="s">
        <v>2056</v>
      </c>
      <c r="F6" s="36" t="n">
        <v>0.1091</v>
      </c>
      <c r="G6" s="40" t="n">
        <f aca="false">IFERROR(VLOOKUP("电子|2-存储芯片价格变化",指标更新台账_v3!$A$2:$I$600,9,FALSE()),0)</f>
        <v>9</v>
      </c>
      <c r="H6" s="39" t="s">
        <v>2237</v>
      </c>
      <c r="I6" s="35" t="s">
        <v>2238</v>
      </c>
      <c r="J6" s="39" t="s">
        <v>2239</v>
      </c>
      <c r="K6" s="28" t="s">
        <v>2060</v>
      </c>
      <c r="L6" s="12" t="n">
        <v>0.12</v>
      </c>
      <c r="M6" s="6" t="s">
        <v>2053</v>
      </c>
      <c r="N6" s="6" t="s">
        <v>94</v>
      </c>
      <c r="O6" s="12" t="s">
        <v>125</v>
      </c>
      <c r="P6" s="12" t="n">
        <f aca="false">ROUND(SUMPRODUCT(F16:F18,G16:G18)/SUM(F16:F18),1)</f>
        <v>8</v>
      </c>
    </row>
    <row r="7" customFormat="false" ht="28.5" hidden="false" customHeight="true" outlineLevel="0" collapsed="false">
      <c r="A7" s="35" t="s">
        <v>2240</v>
      </c>
      <c r="B7" s="35" t="s">
        <v>273</v>
      </c>
      <c r="C7" s="35" t="s">
        <v>274</v>
      </c>
      <c r="D7" s="35" t="s">
        <v>85</v>
      </c>
      <c r="E7" s="28" t="s">
        <v>2067</v>
      </c>
      <c r="F7" s="36" t="n">
        <v>0.0909</v>
      </c>
      <c r="G7" s="37" t="n">
        <f aca="false">IFERROR(VLOOKUP("电子|3-硅片出货量增速",指标更新台账_v3!$A$2:$I$600,9,FALSE()),0)</f>
        <v>7</v>
      </c>
      <c r="H7" s="38" t="s">
        <v>2241</v>
      </c>
      <c r="I7" s="35" t="s">
        <v>2242</v>
      </c>
      <c r="J7" s="39" t="s">
        <v>2243</v>
      </c>
      <c r="K7" s="28" t="s">
        <v>2100</v>
      </c>
      <c r="L7" s="12" t="n">
        <v>0.1</v>
      </c>
      <c r="M7" s="6" t="s">
        <v>2053</v>
      </c>
      <c r="N7" s="6" t="s">
        <v>213</v>
      </c>
    </row>
    <row r="8" customFormat="false" ht="28.5" hidden="false" customHeight="true" outlineLevel="0" collapsed="false">
      <c r="A8" s="35" t="s">
        <v>2244</v>
      </c>
      <c r="B8" s="28" t="s">
        <v>2245</v>
      </c>
      <c r="C8" s="35" t="s">
        <v>278</v>
      </c>
      <c r="D8" s="35" t="s">
        <v>85</v>
      </c>
      <c r="E8" s="28" t="s">
        <v>2067</v>
      </c>
      <c r="F8" s="36" t="n">
        <v>0.0909</v>
      </c>
      <c r="G8" s="40" t="n">
        <f aca="false">IFERROR(VLOOKUP("电子|4-设备商订单增速",指标更新台账_v3!$A$2:$I$600,9,FALSE()),0)</f>
        <v>8</v>
      </c>
      <c r="H8" s="38" t="s">
        <v>2246</v>
      </c>
      <c r="I8" s="35" t="s">
        <v>2223</v>
      </c>
      <c r="J8" s="39" t="s">
        <v>2247</v>
      </c>
      <c r="K8" s="28" t="s">
        <v>2100</v>
      </c>
      <c r="L8" s="12" t="n">
        <v>0.1</v>
      </c>
      <c r="M8" s="6" t="s">
        <v>2053</v>
      </c>
      <c r="N8" s="6" t="s">
        <v>279</v>
      </c>
    </row>
    <row r="9" customFormat="false" ht="28.5" hidden="false" customHeight="true" outlineLevel="0" collapsed="false">
      <c r="A9" s="35" t="s">
        <v>2248</v>
      </c>
      <c r="B9" s="28" t="s">
        <v>282</v>
      </c>
      <c r="C9" s="35" t="s">
        <v>283</v>
      </c>
      <c r="D9" s="28" t="s">
        <v>167</v>
      </c>
      <c r="E9" s="28" t="s">
        <v>2249</v>
      </c>
      <c r="F9" s="36" t="n">
        <v>0.0727</v>
      </c>
      <c r="G9" s="40" t="n">
        <f aca="false">IFERROR(VLOOKUP("电子|5-下游客户库存周转天数",指标更新台账_v3!$A$2:$I$600,9,FALSE()),0)</f>
        <v>9</v>
      </c>
      <c r="H9" s="39" t="s">
        <v>2250</v>
      </c>
      <c r="I9" s="35" t="s">
        <v>2064</v>
      </c>
      <c r="J9" s="39" t="s">
        <v>2251</v>
      </c>
      <c r="K9" s="28" t="s">
        <v>2100</v>
      </c>
      <c r="L9" s="12" t="n">
        <v>0.08</v>
      </c>
      <c r="M9" s="6" t="s">
        <v>2053</v>
      </c>
      <c r="N9" s="6" t="s">
        <v>168</v>
      </c>
    </row>
    <row r="10" customFormat="false" ht="13.5" hidden="false" customHeight="true" outlineLevel="0" collapsed="false">
      <c r="A10" s="34" t="s">
        <v>2076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28.5" hidden="false" customHeight="true" outlineLevel="0" collapsed="false">
      <c r="A11" s="35" t="s">
        <v>2252</v>
      </c>
      <c r="B11" s="28" t="s">
        <v>2253</v>
      </c>
      <c r="C11" s="35" t="s">
        <v>287</v>
      </c>
      <c r="D11" s="35" t="s">
        <v>129</v>
      </c>
      <c r="E11" s="28" t="s">
        <v>2067</v>
      </c>
      <c r="F11" s="36" t="n">
        <v>0.1105</v>
      </c>
      <c r="G11" s="40" t="n">
        <f aca="false">IFERROR(VLOOKUP("电子|6-晶圆厂产能利用率",指标更新台账_v3!$A$2:$I$600,9,FALSE()),0)</f>
        <v>8</v>
      </c>
      <c r="H11" s="38" t="s">
        <v>2254</v>
      </c>
      <c r="I11" s="35" t="s">
        <v>2223</v>
      </c>
      <c r="J11" s="39" t="s">
        <v>2255</v>
      </c>
      <c r="K11" s="28" t="s">
        <v>2052</v>
      </c>
      <c r="L11" s="12" t="n">
        <v>0.12</v>
      </c>
      <c r="M11" s="6" t="s">
        <v>2082</v>
      </c>
      <c r="N11" s="6" t="s">
        <v>131</v>
      </c>
    </row>
    <row r="12" customFormat="false" ht="28.5" hidden="false" customHeight="true" outlineLevel="0" collapsed="false">
      <c r="A12" s="35" t="s">
        <v>2256</v>
      </c>
      <c r="B12" s="35" t="s">
        <v>290</v>
      </c>
      <c r="C12" s="35" t="s">
        <v>177</v>
      </c>
      <c r="D12" s="35" t="s">
        <v>85</v>
      </c>
      <c r="E12" s="28" t="s">
        <v>2067</v>
      </c>
      <c r="F12" s="36" t="n">
        <v>0.0921</v>
      </c>
      <c r="G12" s="40" t="n">
        <f aca="false">IFERROR(VLOOKUP("电子|7-智能手机出货量增速",指标更新台账_v3!$A$2:$I$600,9,FALSE()),0)</f>
        <v>8</v>
      </c>
      <c r="H12" s="38" t="s">
        <v>2149</v>
      </c>
      <c r="I12" s="35" t="s">
        <v>2103</v>
      </c>
      <c r="J12" s="39" t="s">
        <v>2257</v>
      </c>
      <c r="K12" s="28" t="s">
        <v>2100</v>
      </c>
      <c r="L12" s="12" t="n">
        <v>0.1</v>
      </c>
      <c r="M12" s="6" t="s">
        <v>2082</v>
      </c>
      <c r="N12" s="6" t="s">
        <v>213</v>
      </c>
    </row>
    <row r="13" customFormat="false" ht="28.5" hidden="false" customHeight="true" outlineLevel="0" collapsed="false">
      <c r="A13" s="35" t="s">
        <v>2258</v>
      </c>
      <c r="B13" s="35" t="s">
        <v>293</v>
      </c>
      <c r="C13" s="35" t="s">
        <v>294</v>
      </c>
      <c r="D13" s="35" t="s">
        <v>85</v>
      </c>
      <c r="E13" s="28" t="s">
        <v>2067</v>
      </c>
      <c r="F13" s="36" t="n">
        <v>0.0737</v>
      </c>
      <c r="G13" s="37" t="n">
        <f aca="false">IFERROR(VLOOKUP("电子|8-PC出货量增速",指标更新台账_v3!$A$2:$I$600,9,FALSE()),0)</f>
        <v>6</v>
      </c>
      <c r="H13" s="38" t="s">
        <v>2191</v>
      </c>
      <c r="I13" s="35" t="s">
        <v>2080</v>
      </c>
      <c r="J13" s="38" t="s">
        <v>2259</v>
      </c>
      <c r="K13" s="28" t="s">
        <v>2100</v>
      </c>
      <c r="L13" s="12" t="n">
        <v>0.08</v>
      </c>
      <c r="M13" s="6" t="s">
        <v>2082</v>
      </c>
      <c r="N13" s="6" t="s">
        <v>213</v>
      </c>
    </row>
    <row r="14" customFormat="false" ht="28.5" hidden="false" customHeight="true" outlineLevel="0" collapsed="false">
      <c r="A14" s="35" t="s">
        <v>2260</v>
      </c>
      <c r="B14" s="28" t="s">
        <v>2261</v>
      </c>
      <c r="C14" s="35" t="s">
        <v>298</v>
      </c>
      <c r="D14" s="28" t="s">
        <v>2262</v>
      </c>
      <c r="E14" s="28" t="s">
        <v>2067</v>
      </c>
      <c r="F14" s="36" t="n">
        <v>0.0737</v>
      </c>
      <c r="G14" s="37" t="n">
        <f aca="false">IFERROR(VLOOKUP("电子|9-MLCC出货量",指标更新台账_v3!$A$2:$I$600,9,FALSE()),0)</f>
        <v>6</v>
      </c>
      <c r="H14" s="38" t="s">
        <v>2263</v>
      </c>
      <c r="I14" s="35" t="s">
        <v>2089</v>
      </c>
      <c r="J14" s="39" t="s">
        <v>2264</v>
      </c>
      <c r="K14" s="28" t="s">
        <v>2052</v>
      </c>
      <c r="L14" s="12" t="n">
        <v>0.08</v>
      </c>
      <c r="M14" s="6" t="s">
        <v>2082</v>
      </c>
      <c r="N14" s="6" t="s">
        <v>213</v>
      </c>
    </row>
    <row r="15" customFormat="false" ht="13.5" hidden="false" customHeight="true" outlineLevel="0" collapsed="false">
      <c r="A15" s="34" t="s">
        <v>2096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customFormat="false" ht="28.5" hidden="false" customHeight="true" outlineLevel="0" collapsed="false">
      <c r="A16" s="35" t="s">
        <v>2265</v>
      </c>
      <c r="B16" s="28" t="s">
        <v>127</v>
      </c>
      <c r="C16" s="35" t="s">
        <v>302</v>
      </c>
      <c r="D16" s="35" t="s">
        <v>129</v>
      </c>
      <c r="E16" s="28" t="s">
        <v>2067</v>
      </c>
      <c r="F16" s="36" t="n">
        <v>0.0625</v>
      </c>
      <c r="G16" s="40" t="n">
        <f aca="false">IFERROR(VLOOKUP("电子|10-电子企业季度毛利率",指标更新台账_v3!$A$2:$I$600,9,FALSE()),0)</f>
        <v>8</v>
      </c>
      <c r="H16" s="38" t="s">
        <v>2266</v>
      </c>
      <c r="I16" s="35" t="s">
        <v>2085</v>
      </c>
      <c r="J16" s="38" t="s">
        <v>2267</v>
      </c>
      <c r="K16" s="28" t="s">
        <v>2100</v>
      </c>
      <c r="L16" s="12" t="n">
        <v>0.1</v>
      </c>
      <c r="M16" s="6" t="s">
        <v>2101</v>
      </c>
      <c r="N16" s="6" t="s">
        <v>94</v>
      </c>
    </row>
    <row r="17" customFormat="false" ht="14.25" hidden="false" customHeight="true" outlineLevel="0" collapsed="false">
      <c r="A17" s="35" t="s">
        <v>2268</v>
      </c>
      <c r="B17" s="28" t="s">
        <v>105</v>
      </c>
      <c r="C17" s="35" t="s">
        <v>305</v>
      </c>
      <c r="D17" s="35" t="s">
        <v>85</v>
      </c>
      <c r="E17" s="28" t="s">
        <v>2067</v>
      </c>
      <c r="F17" s="36" t="n">
        <v>0.0437</v>
      </c>
      <c r="G17" s="40" t="n">
        <f aca="false">IFERROR(VLOOKUP("电子|11-电子行业固定资产投资增速",指标更新台账_v3!$A$2:$I$600,9,FALSE()),0)</f>
        <v>8</v>
      </c>
      <c r="H17" s="38" t="s">
        <v>2098</v>
      </c>
      <c r="I17" s="35" t="s">
        <v>2142</v>
      </c>
      <c r="J17" s="39" t="s">
        <v>2269</v>
      </c>
      <c r="K17" s="28" t="s">
        <v>2100</v>
      </c>
      <c r="L17" s="12" t="n">
        <v>0.07</v>
      </c>
      <c r="M17" s="6" t="s">
        <v>2101</v>
      </c>
      <c r="N17" s="6" t="s">
        <v>88</v>
      </c>
    </row>
    <row r="18" customFormat="false" ht="14.25" hidden="false" customHeight="true" outlineLevel="0" collapsed="false">
      <c r="A18" s="35" t="s">
        <v>2270</v>
      </c>
      <c r="B18" s="28" t="s">
        <v>101</v>
      </c>
      <c r="C18" s="35" t="s">
        <v>308</v>
      </c>
      <c r="D18" s="35" t="s">
        <v>85</v>
      </c>
      <c r="E18" s="28" t="s">
        <v>2067</v>
      </c>
      <c r="F18" s="36" t="n">
        <v>0.0437</v>
      </c>
      <c r="G18" s="40" t="n">
        <f aca="false">IFERROR(VLOOKUP("电子|12-电子元器件进口金额增速",指标更新台账_v3!$A$2:$I$600,9,FALSE()),0)</f>
        <v>8</v>
      </c>
      <c r="H18" s="38" t="s">
        <v>2149</v>
      </c>
      <c r="I18" s="35" t="s">
        <v>2242</v>
      </c>
      <c r="J18" s="39" t="s">
        <v>2271</v>
      </c>
      <c r="K18" s="28" t="s">
        <v>2052</v>
      </c>
      <c r="L18" s="12" t="n">
        <v>0.07</v>
      </c>
      <c r="M18" s="6" t="s">
        <v>2101</v>
      </c>
      <c r="N18" s="6" t="s">
        <v>88</v>
      </c>
    </row>
    <row r="19" customFormat="false" ht="17.25" hidden="false" customHeight="true" outlineLevel="0" collapsed="false">
      <c r="A19" s="41" t="s">
        <v>2108</v>
      </c>
      <c r="B19" s="41"/>
      <c r="C19" s="41"/>
      <c r="D19" s="41"/>
      <c r="E19" s="41"/>
      <c r="F19" s="41"/>
      <c r="G19" s="42" t="n">
        <f aca="false">ROUND(SUMPRODUCT(F5:F18,G5:G18),1)</f>
        <v>7.8</v>
      </c>
      <c r="H19" s="43" t="s">
        <v>2109</v>
      </c>
      <c r="I19" s="43"/>
      <c r="J19" s="43"/>
      <c r="K19" s="43"/>
    </row>
  </sheetData>
  <mergeCells count="7">
    <mergeCell ref="A1:K1"/>
    <mergeCell ref="A2:K2"/>
    <mergeCell ref="A4:K4"/>
    <mergeCell ref="A10:K10"/>
    <mergeCell ref="A15:K15"/>
    <mergeCell ref="A19:F19"/>
    <mergeCell ref="H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2272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2273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5.3</v>
      </c>
    </row>
    <row r="5" customFormat="false" ht="28.5" hidden="false" customHeight="true" outlineLevel="0" collapsed="false">
      <c r="A5" s="35" t="s">
        <v>2274</v>
      </c>
      <c r="B5" s="28" t="s">
        <v>105</v>
      </c>
      <c r="C5" s="35" t="s">
        <v>312</v>
      </c>
      <c r="D5" s="35" t="s">
        <v>85</v>
      </c>
      <c r="E5" s="28" t="s">
        <v>2062</v>
      </c>
      <c r="F5" s="36" t="n">
        <v>0.1277</v>
      </c>
      <c r="G5" s="44" t="n">
        <f aca="false">IFERROR(VLOOKUP("家用电器|1-房地产竣工面积增速",指标更新台账_v3!$A$2:$I$600,9,FALSE()),0)</f>
        <v>4</v>
      </c>
      <c r="H5" s="38" t="s">
        <v>2149</v>
      </c>
      <c r="I5" s="35" t="s">
        <v>2275</v>
      </c>
      <c r="J5" s="39" t="s">
        <v>2276</v>
      </c>
      <c r="K5" s="28" t="s">
        <v>2052</v>
      </c>
      <c r="L5" s="12" t="n">
        <v>0.15</v>
      </c>
      <c r="M5" s="6" t="s">
        <v>2211</v>
      </c>
      <c r="N5" s="6" t="s">
        <v>88</v>
      </c>
      <c r="O5" s="12" t="s">
        <v>108</v>
      </c>
      <c r="P5" s="12" t="n">
        <f aca="false">ROUND(SUMPRODUCT(F10:F13,G10:G13)/SUM(F10:F13),1)</f>
        <v>7.2</v>
      </c>
    </row>
    <row r="6" customFormat="false" ht="28.5" hidden="false" customHeight="true" outlineLevel="0" collapsed="false">
      <c r="A6" s="35" t="s">
        <v>2277</v>
      </c>
      <c r="B6" s="28" t="s">
        <v>105</v>
      </c>
      <c r="C6" s="35" t="s">
        <v>315</v>
      </c>
      <c r="D6" s="35" t="s">
        <v>85</v>
      </c>
      <c r="E6" s="28" t="s">
        <v>2062</v>
      </c>
      <c r="F6" s="36" t="n">
        <v>0.1021</v>
      </c>
      <c r="G6" s="44" t="n">
        <f aca="false">IFERROR(VLOOKUP("家用电器|2-商品房销售面积增速",指标更新台账_v3!$A$2:$I$600,9,FALSE()),0)</f>
        <v>4</v>
      </c>
      <c r="H6" s="38" t="s">
        <v>2191</v>
      </c>
      <c r="I6" s="35" t="s">
        <v>2120</v>
      </c>
      <c r="J6" s="39" t="s">
        <v>2278</v>
      </c>
      <c r="K6" s="28" t="s">
        <v>2052</v>
      </c>
      <c r="L6" s="12" t="n">
        <v>0.12</v>
      </c>
      <c r="M6" s="6" t="s">
        <v>2211</v>
      </c>
      <c r="N6" s="6" t="s">
        <v>88</v>
      </c>
      <c r="O6" s="12" t="s">
        <v>125</v>
      </c>
      <c r="P6" s="12" t="n">
        <f aca="false">ROUND(SUMPRODUCT(F15:F17,G15:G17)/SUM(F15:F17),1)</f>
        <v>7.4</v>
      </c>
    </row>
    <row r="7" customFormat="false" ht="28.5" hidden="false" customHeight="true" outlineLevel="0" collapsed="false">
      <c r="A7" s="35" t="s">
        <v>2279</v>
      </c>
      <c r="B7" s="35" t="s">
        <v>2280</v>
      </c>
      <c r="C7" s="35" t="s">
        <v>319</v>
      </c>
      <c r="D7" s="35" t="s">
        <v>85</v>
      </c>
      <c r="E7" s="28" t="s">
        <v>2062</v>
      </c>
      <c r="F7" s="36" t="n">
        <v>0.0851</v>
      </c>
      <c r="G7" s="40" t="n">
        <f aca="false">IFERROR(VLOOKUP("家用电器|3-铜/钢等原材料价格",指标更新台账_v3!$A$2:$I$600,9,FALSE()),0)</f>
        <v>8</v>
      </c>
      <c r="H7" s="38" t="s">
        <v>2068</v>
      </c>
      <c r="I7" s="35" t="s">
        <v>2050</v>
      </c>
      <c r="J7" s="39" t="s">
        <v>2281</v>
      </c>
      <c r="K7" s="28" t="s">
        <v>2095</v>
      </c>
      <c r="L7" s="12" t="n">
        <v>0.1</v>
      </c>
      <c r="M7" s="6" t="s">
        <v>2211</v>
      </c>
      <c r="N7" s="6" t="s">
        <v>94</v>
      </c>
    </row>
    <row r="8" customFormat="false" ht="28.5" hidden="false" customHeight="true" outlineLevel="0" collapsed="false">
      <c r="A8" s="35" t="s">
        <v>2282</v>
      </c>
      <c r="B8" s="28" t="s">
        <v>322</v>
      </c>
      <c r="C8" s="35" t="s">
        <v>249</v>
      </c>
      <c r="D8" s="35" t="s">
        <v>85</v>
      </c>
      <c r="E8" s="28" t="s">
        <v>2067</v>
      </c>
      <c r="F8" s="36" t="n">
        <v>0.0851</v>
      </c>
      <c r="G8" s="37" t="n">
        <f aca="false">IFERROR(VLOOKUP("家用电器|4-家电企业排产计划",指标更新台账_v3!$A$2:$I$600,9,FALSE()),0)</f>
        <v>6</v>
      </c>
      <c r="H8" s="38" t="s">
        <v>2098</v>
      </c>
      <c r="I8" s="35" t="s">
        <v>2080</v>
      </c>
      <c r="J8" s="39" t="s">
        <v>2283</v>
      </c>
      <c r="K8" s="28" t="s">
        <v>2052</v>
      </c>
      <c r="L8" s="12" t="n">
        <v>0.1</v>
      </c>
      <c r="M8" s="6" t="s">
        <v>2211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14.25" hidden="false" customHeight="true" outlineLevel="0" collapsed="false">
      <c r="A10" s="35" t="s">
        <v>2284</v>
      </c>
      <c r="B10" s="28" t="s">
        <v>322</v>
      </c>
      <c r="C10" s="35" t="s">
        <v>305</v>
      </c>
      <c r="D10" s="35" t="s">
        <v>85</v>
      </c>
      <c r="E10" s="28" t="s">
        <v>2067</v>
      </c>
      <c r="F10" s="36" t="n">
        <v>0.1395</v>
      </c>
      <c r="G10" s="40" t="n">
        <f aca="false">IFERROR(VLOOKUP("家用电器|5-空调销量增速",指标更新台账_v3!$A$2:$I$600,9,FALSE()),0)</f>
        <v>8</v>
      </c>
      <c r="H10" s="38" t="s">
        <v>2098</v>
      </c>
      <c r="I10" s="35" t="s">
        <v>2085</v>
      </c>
      <c r="J10" s="39" t="s">
        <v>2285</v>
      </c>
      <c r="K10" s="28" t="s">
        <v>2052</v>
      </c>
      <c r="L10" s="12" t="n">
        <v>0.15</v>
      </c>
      <c r="M10" s="6" t="s">
        <v>2211</v>
      </c>
      <c r="N10" s="6" t="s">
        <v>213</v>
      </c>
    </row>
    <row r="11" customFormat="false" ht="28.5" hidden="false" customHeight="true" outlineLevel="0" collapsed="false">
      <c r="A11" s="35" t="s">
        <v>2286</v>
      </c>
      <c r="B11" s="28" t="s">
        <v>322</v>
      </c>
      <c r="C11" s="35" t="s">
        <v>327</v>
      </c>
      <c r="D11" s="35" t="s">
        <v>85</v>
      </c>
      <c r="E11" s="28" t="s">
        <v>2067</v>
      </c>
      <c r="F11" s="36" t="n">
        <v>0.093</v>
      </c>
      <c r="G11" s="37" t="n">
        <f aca="false">IFERROR(VLOOKUP("家用电器|6-冰箱销量增速",指标更新台账_v3!$A$2:$I$600,9,FALSE()),0)</f>
        <v>6</v>
      </c>
      <c r="H11" s="38" t="s">
        <v>2149</v>
      </c>
      <c r="I11" s="35" t="s">
        <v>2080</v>
      </c>
      <c r="J11" s="39" t="s">
        <v>2287</v>
      </c>
      <c r="K11" s="28" t="s">
        <v>2052</v>
      </c>
      <c r="L11" s="12" t="n">
        <v>0.1</v>
      </c>
      <c r="M11" s="6" t="s">
        <v>2211</v>
      </c>
      <c r="N11" s="6" t="s">
        <v>213</v>
      </c>
    </row>
    <row r="12" customFormat="false" ht="14.25" hidden="false" customHeight="true" outlineLevel="0" collapsed="false">
      <c r="A12" s="35" t="s">
        <v>2288</v>
      </c>
      <c r="B12" s="28" t="s">
        <v>322</v>
      </c>
      <c r="C12" s="35" t="s">
        <v>330</v>
      </c>
      <c r="D12" s="35" t="s">
        <v>85</v>
      </c>
      <c r="E12" s="28" t="s">
        <v>2067</v>
      </c>
      <c r="F12" s="36" t="n">
        <v>0.0744</v>
      </c>
      <c r="G12" s="37" t="n">
        <f aca="false">IFERROR(VLOOKUP("家用电器|7-洗衣机销量增速",指标更新台账_v3!$A$2:$I$600,9,FALSE()),0)</f>
        <v>6</v>
      </c>
      <c r="H12" s="38" t="s">
        <v>2149</v>
      </c>
      <c r="I12" s="35" t="s">
        <v>2069</v>
      </c>
      <c r="J12" s="39" t="s">
        <v>2289</v>
      </c>
      <c r="K12" s="28" t="s">
        <v>2052</v>
      </c>
      <c r="L12" s="12" t="n">
        <v>0.08</v>
      </c>
      <c r="M12" s="6" t="s">
        <v>2211</v>
      </c>
      <c r="N12" s="6" t="s">
        <v>213</v>
      </c>
    </row>
    <row r="13" customFormat="false" ht="14.25" hidden="false" customHeight="true" outlineLevel="0" collapsed="false">
      <c r="A13" s="35" t="s">
        <v>2290</v>
      </c>
      <c r="B13" s="28" t="s">
        <v>101</v>
      </c>
      <c r="C13" s="35" t="s">
        <v>266</v>
      </c>
      <c r="D13" s="35" t="s">
        <v>85</v>
      </c>
      <c r="E13" s="28" t="s">
        <v>2067</v>
      </c>
      <c r="F13" s="36" t="n">
        <v>0.093</v>
      </c>
      <c r="G13" s="40" t="n">
        <f aca="false">IFERROR(VLOOKUP("家用电器|8-家电出口金额增速",指标更新台账_v3!$A$2:$I$600,9,FALSE()),0)</f>
        <v>8</v>
      </c>
      <c r="H13" s="38" t="s">
        <v>2098</v>
      </c>
      <c r="I13" s="35" t="s">
        <v>2291</v>
      </c>
      <c r="J13" s="39" t="s">
        <v>2292</v>
      </c>
      <c r="K13" s="28" t="s">
        <v>2052</v>
      </c>
      <c r="L13" s="12" t="n">
        <v>0.1</v>
      </c>
      <c r="M13" s="6" t="s">
        <v>2211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2293</v>
      </c>
      <c r="B15" s="28" t="s">
        <v>127</v>
      </c>
      <c r="C15" s="35" t="s">
        <v>335</v>
      </c>
      <c r="D15" s="35" t="s">
        <v>129</v>
      </c>
      <c r="E15" s="28" t="s">
        <v>2067</v>
      </c>
      <c r="F15" s="36" t="n">
        <v>0.08</v>
      </c>
      <c r="G15" s="40" t="n">
        <f aca="false">IFERROR(VLOOKUP("家用电器|9-家电企业季度净利润率",指标更新台账_v3!$A$2:$I$600,9,FALSE()),0)</f>
        <v>8</v>
      </c>
      <c r="H15" s="38" t="s">
        <v>2294</v>
      </c>
      <c r="I15" s="35" t="s">
        <v>2103</v>
      </c>
      <c r="J15" s="38" t="s">
        <v>2295</v>
      </c>
      <c r="K15" s="28" t="s">
        <v>2100</v>
      </c>
      <c r="L15" s="12" t="n">
        <v>0.1</v>
      </c>
      <c r="M15" s="6" t="s">
        <v>2296</v>
      </c>
      <c r="N15" s="6" t="s">
        <v>131</v>
      </c>
    </row>
    <row r="16" customFormat="false" ht="28.5" hidden="false" customHeight="true" outlineLevel="0" collapsed="false">
      <c r="A16" s="35" t="s">
        <v>2297</v>
      </c>
      <c r="B16" s="28" t="s">
        <v>127</v>
      </c>
      <c r="C16" s="35" t="s">
        <v>338</v>
      </c>
      <c r="D16" s="28" t="s">
        <v>167</v>
      </c>
      <c r="E16" s="28" t="s">
        <v>2062</v>
      </c>
      <c r="F16" s="36" t="n">
        <v>0.064</v>
      </c>
      <c r="G16" s="40" t="n">
        <f aca="false">IFERROR(VLOOKUP("家用电器|10-家电行业库存周转天数",指标更新台账_v3!$A$2:$I$600,9,FALSE()),0)</f>
        <v>8</v>
      </c>
      <c r="H16" s="38" t="s">
        <v>2298</v>
      </c>
      <c r="I16" s="35" t="s">
        <v>2050</v>
      </c>
      <c r="J16" s="39" t="s">
        <v>2227</v>
      </c>
      <c r="K16" s="28" t="s">
        <v>2100</v>
      </c>
      <c r="L16" s="12" t="n">
        <v>0.08</v>
      </c>
      <c r="M16" s="6" t="s">
        <v>2296</v>
      </c>
      <c r="N16" s="6" t="s">
        <v>168</v>
      </c>
    </row>
    <row r="17" customFormat="false" ht="28.5" hidden="false" customHeight="true" outlineLevel="0" collapsed="false">
      <c r="A17" s="35" t="s">
        <v>2299</v>
      </c>
      <c r="B17" s="28" t="s">
        <v>341</v>
      </c>
      <c r="C17" s="35" t="s">
        <v>180</v>
      </c>
      <c r="D17" s="35" t="s">
        <v>85</v>
      </c>
      <c r="E17" s="28" t="s">
        <v>2067</v>
      </c>
      <c r="F17" s="36" t="n">
        <v>0.056</v>
      </c>
      <c r="G17" s="37" t="n">
        <f aca="false">IFERROR(VLOOKUP("家用电器|11-家电零售均价变化",指标更新台账_v3!$A$2:$I$600,9,FALSE()),0)</f>
        <v>6</v>
      </c>
      <c r="H17" s="38" t="s">
        <v>2152</v>
      </c>
      <c r="I17" s="35" t="s">
        <v>2080</v>
      </c>
      <c r="J17" s="39" t="s">
        <v>2300</v>
      </c>
      <c r="K17" s="28" t="s">
        <v>2052</v>
      </c>
      <c r="L17" s="12" t="n">
        <v>0.07</v>
      </c>
      <c r="M17" s="6" t="s">
        <v>2296</v>
      </c>
      <c r="N17" s="6" t="s">
        <v>94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5" t="n">
        <f aca="false">ROUND(SUMPRODUCT(F5:F17,G5:G17),1)</f>
        <v>6.5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2301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2302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5.9</v>
      </c>
    </row>
    <row r="5" customFormat="false" ht="28.5" hidden="false" customHeight="true" outlineLevel="0" collapsed="false">
      <c r="A5" s="35" t="s">
        <v>2303</v>
      </c>
      <c r="B5" s="28" t="s">
        <v>83</v>
      </c>
      <c r="C5" s="35" t="s">
        <v>345</v>
      </c>
      <c r="D5" s="35" t="s">
        <v>85</v>
      </c>
      <c r="E5" s="28" t="s">
        <v>2067</v>
      </c>
      <c r="F5" s="36" t="n">
        <v>0.08</v>
      </c>
      <c r="G5" s="37" t="n">
        <f aca="false">IFERROR(VLOOKUP("食品饮料|1-粮食价格变化",指标更新台账_v3!$A$2:$I$600,9,FALSE()),0)</f>
        <v>6</v>
      </c>
      <c r="H5" s="38" t="s">
        <v>2304</v>
      </c>
      <c r="I5" s="35" t="s">
        <v>2080</v>
      </c>
      <c r="J5" s="39" t="s">
        <v>2305</v>
      </c>
      <c r="K5" s="28" t="s">
        <v>2052</v>
      </c>
      <c r="L5" s="12" t="n">
        <v>0.12</v>
      </c>
      <c r="M5" s="6" t="s">
        <v>2306</v>
      </c>
      <c r="N5" s="6" t="s">
        <v>94</v>
      </c>
      <c r="O5" s="12" t="s">
        <v>108</v>
      </c>
      <c r="P5" s="12" t="n">
        <f aca="false">ROUND(SUMPRODUCT(F10:F13,G10:G13)/SUM(F10:F13),1)</f>
        <v>6.8</v>
      </c>
    </row>
    <row r="6" customFormat="false" ht="28.5" hidden="false" customHeight="true" outlineLevel="0" collapsed="false">
      <c r="A6" s="35" t="s">
        <v>2307</v>
      </c>
      <c r="B6" s="28" t="s">
        <v>348</v>
      </c>
      <c r="C6" s="35" t="s">
        <v>349</v>
      </c>
      <c r="D6" s="35" t="s">
        <v>85</v>
      </c>
      <c r="E6" s="28" t="s">
        <v>2062</v>
      </c>
      <c r="F6" s="36" t="n">
        <v>0.0667</v>
      </c>
      <c r="G6" s="40" t="n">
        <f aca="false">IFERROR(VLOOKUP("食品饮料|2-包材价格变化",指标更新台账_v3!$A$2:$I$600,9,FALSE()),0)</f>
        <v>8</v>
      </c>
      <c r="H6" s="38" t="s">
        <v>2068</v>
      </c>
      <c r="I6" s="35" t="s">
        <v>2170</v>
      </c>
      <c r="J6" s="39" t="s">
        <v>2308</v>
      </c>
      <c r="K6" s="28" t="s">
        <v>2052</v>
      </c>
      <c r="L6" s="12" t="n">
        <v>0.1</v>
      </c>
      <c r="M6" s="6" t="s">
        <v>2306</v>
      </c>
      <c r="N6" s="6" t="s">
        <v>94</v>
      </c>
      <c r="O6" s="12" t="s">
        <v>125</v>
      </c>
      <c r="P6" s="12" t="n">
        <f aca="false">ROUND(SUMPRODUCT(F15:F17,G15:G17)/SUM(F15:F17),1)</f>
        <v>7.4</v>
      </c>
    </row>
    <row r="7" customFormat="false" ht="28.5" hidden="false" customHeight="true" outlineLevel="0" collapsed="false">
      <c r="A7" s="35" t="s">
        <v>2309</v>
      </c>
      <c r="B7" s="28" t="s">
        <v>105</v>
      </c>
      <c r="C7" s="35" t="s">
        <v>287</v>
      </c>
      <c r="D7" s="28" t="s">
        <v>120</v>
      </c>
      <c r="E7" s="28" t="s">
        <v>2062</v>
      </c>
      <c r="F7" s="36" t="n">
        <v>0.0867</v>
      </c>
      <c r="G7" s="44" t="n">
        <f aca="false">IFERROR(VLOOKUP("食品饮料|3-消费者信心指数",指标更新台账_v3!$A$2:$I$600,9,FALSE()),0)</f>
        <v>4</v>
      </c>
      <c r="H7" s="38" t="s">
        <v>2088</v>
      </c>
      <c r="I7" s="35" t="s">
        <v>2275</v>
      </c>
      <c r="J7" s="39" t="s">
        <v>2310</v>
      </c>
      <c r="K7" s="28" t="s">
        <v>2052</v>
      </c>
      <c r="L7" s="12" t="n">
        <v>0.13</v>
      </c>
      <c r="M7" s="6" t="s">
        <v>2306</v>
      </c>
      <c r="N7" s="6" t="s">
        <v>88</v>
      </c>
    </row>
    <row r="8" customFormat="false" ht="28.5" hidden="false" customHeight="true" outlineLevel="0" collapsed="false">
      <c r="A8" s="35" t="s">
        <v>2311</v>
      </c>
      <c r="B8" s="28" t="s">
        <v>105</v>
      </c>
      <c r="C8" s="35" t="s">
        <v>354</v>
      </c>
      <c r="D8" s="35" t="s">
        <v>85</v>
      </c>
      <c r="E8" s="28" t="s">
        <v>2067</v>
      </c>
      <c r="F8" s="36" t="n">
        <v>0.0667</v>
      </c>
      <c r="G8" s="37" t="n">
        <f aca="false">IFERROR(VLOOKUP("食品饮料|4-社会消费品零售总额增速",指标更新台账_v3!$A$2:$I$600,9,FALSE()),0)</f>
        <v>6</v>
      </c>
      <c r="H8" s="38" t="s">
        <v>2312</v>
      </c>
      <c r="I8" s="35" t="s">
        <v>2073</v>
      </c>
      <c r="J8" s="39" t="s">
        <v>2313</v>
      </c>
      <c r="K8" s="28" t="s">
        <v>2052</v>
      </c>
      <c r="L8" s="12" t="n">
        <v>0.1</v>
      </c>
      <c r="M8" s="6" t="s">
        <v>2306</v>
      </c>
      <c r="N8" s="6" t="s">
        <v>213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2314</v>
      </c>
      <c r="B10" s="28" t="s">
        <v>357</v>
      </c>
      <c r="C10" s="35" t="s">
        <v>358</v>
      </c>
      <c r="D10" s="28" t="s">
        <v>2315</v>
      </c>
      <c r="E10" s="28" t="s">
        <v>2062</v>
      </c>
      <c r="F10" s="36" t="n">
        <v>0.1776</v>
      </c>
      <c r="G10" s="40" t="n">
        <f aca="false">IFERROR(VLOOKUP("食品饮料|5-白酒批价",指标更新台账_v3!$A$2:$I$600,9,FALSE()),0)</f>
        <v>8</v>
      </c>
      <c r="H10" s="38" t="s">
        <v>2316</v>
      </c>
      <c r="I10" s="35" t="s">
        <v>2142</v>
      </c>
      <c r="J10" s="39" t="s">
        <v>2317</v>
      </c>
      <c r="K10" s="28" t="s">
        <v>2060</v>
      </c>
      <c r="L10" s="12" t="n">
        <v>0.15</v>
      </c>
      <c r="M10" s="6" t="s">
        <v>2197</v>
      </c>
      <c r="N10" s="6" t="s">
        <v>94</v>
      </c>
    </row>
    <row r="11" customFormat="false" ht="14.25" hidden="false" customHeight="true" outlineLevel="0" collapsed="false">
      <c r="A11" s="35" t="s">
        <v>2318</v>
      </c>
      <c r="B11" s="28" t="s">
        <v>105</v>
      </c>
      <c r="C11" s="35" t="s">
        <v>155</v>
      </c>
      <c r="D11" s="35" t="s">
        <v>85</v>
      </c>
      <c r="E11" s="28" t="s">
        <v>2067</v>
      </c>
      <c r="F11" s="36" t="n">
        <v>0.0947</v>
      </c>
      <c r="G11" s="37" t="n">
        <f aca="false">IFERROR(VLOOKUP("食品饮料|6-乳制品产量增速",指标更新台账_v3!$A$2:$I$600,9,FALSE()),0)</f>
        <v>6</v>
      </c>
      <c r="H11" s="38" t="s">
        <v>2319</v>
      </c>
      <c r="I11" s="35" t="s">
        <v>2069</v>
      </c>
      <c r="J11" s="39" t="s">
        <v>2320</v>
      </c>
      <c r="K11" s="28" t="s">
        <v>2052</v>
      </c>
      <c r="L11" s="12" t="n">
        <v>0.08</v>
      </c>
      <c r="M11" s="6" t="s">
        <v>2197</v>
      </c>
      <c r="N11" s="6" t="s">
        <v>213</v>
      </c>
    </row>
    <row r="12" customFormat="false" ht="14.25" hidden="false" customHeight="true" outlineLevel="0" collapsed="false">
      <c r="A12" s="35" t="s">
        <v>2321</v>
      </c>
      <c r="B12" s="28" t="s">
        <v>105</v>
      </c>
      <c r="C12" s="35" t="s">
        <v>223</v>
      </c>
      <c r="D12" s="35" t="s">
        <v>85</v>
      </c>
      <c r="E12" s="28" t="s">
        <v>2067</v>
      </c>
      <c r="F12" s="36" t="n">
        <v>0.0947</v>
      </c>
      <c r="G12" s="37" t="n">
        <f aca="false">IFERROR(VLOOKUP("食品饮料|7-啤酒产量增速",指标更新台账_v3!$A$2:$I$600,9,FALSE()),0)</f>
        <v>6</v>
      </c>
      <c r="H12" s="38" t="s">
        <v>2319</v>
      </c>
      <c r="I12" s="35" t="s">
        <v>2073</v>
      </c>
      <c r="J12" s="39" t="s">
        <v>2322</v>
      </c>
      <c r="K12" s="28" t="s">
        <v>2052</v>
      </c>
      <c r="L12" s="12" t="n">
        <v>0.08</v>
      </c>
      <c r="M12" s="6" t="s">
        <v>2197</v>
      </c>
      <c r="N12" s="6" t="s">
        <v>213</v>
      </c>
    </row>
    <row r="13" customFormat="false" ht="14.25" hidden="false" customHeight="true" outlineLevel="0" collapsed="false">
      <c r="A13" s="35" t="s">
        <v>2323</v>
      </c>
      <c r="B13" s="28" t="s">
        <v>366</v>
      </c>
      <c r="C13" s="35" t="s">
        <v>180</v>
      </c>
      <c r="D13" s="35" t="s">
        <v>85</v>
      </c>
      <c r="E13" s="28" t="s">
        <v>2067</v>
      </c>
      <c r="F13" s="36" t="n">
        <v>0.0829</v>
      </c>
      <c r="G13" s="37" t="n">
        <f aca="false">IFERROR(VLOOKUP("食品饮料|8-调味品产量增速",指标更新台账_v3!$A$2:$I$600,9,FALSE()),0)</f>
        <v>6</v>
      </c>
      <c r="H13" s="38" t="s">
        <v>2319</v>
      </c>
      <c r="I13" s="35" t="s">
        <v>2146</v>
      </c>
      <c r="J13" s="39" t="s">
        <v>2324</v>
      </c>
      <c r="K13" s="28" t="s">
        <v>2052</v>
      </c>
      <c r="L13" s="12" t="n">
        <v>0.07</v>
      </c>
      <c r="M13" s="6" t="s">
        <v>2197</v>
      </c>
      <c r="N13" s="6" t="s">
        <v>213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2325</v>
      </c>
      <c r="B15" s="28" t="s">
        <v>127</v>
      </c>
      <c r="C15" s="35" t="s">
        <v>369</v>
      </c>
      <c r="D15" s="35" t="s">
        <v>129</v>
      </c>
      <c r="E15" s="28" t="s">
        <v>2067</v>
      </c>
      <c r="F15" s="36" t="n">
        <v>0.1</v>
      </c>
      <c r="G15" s="40" t="n">
        <f aca="false">IFERROR(VLOOKUP("食品饮料|9-食品饮料企业季度ROE",指标更新台账_v3!$A$2:$I$600,9,FALSE()),0)</f>
        <v>8</v>
      </c>
      <c r="H15" s="38" t="s">
        <v>2326</v>
      </c>
      <c r="I15" s="35" t="s">
        <v>2142</v>
      </c>
      <c r="J15" s="38" t="s">
        <v>2327</v>
      </c>
      <c r="K15" s="28" t="s">
        <v>2100</v>
      </c>
      <c r="L15" s="12" t="n">
        <v>0.1</v>
      </c>
      <c r="M15" s="6" t="s">
        <v>2328</v>
      </c>
      <c r="N15" s="6" t="s">
        <v>131</v>
      </c>
    </row>
    <row r="16" customFormat="false" ht="28.5" hidden="false" customHeight="true" outlineLevel="0" collapsed="false">
      <c r="A16" s="35" t="s">
        <v>2329</v>
      </c>
      <c r="B16" s="28" t="s">
        <v>127</v>
      </c>
      <c r="C16" s="35" t="s">
        <v>372</v>
      </c>
      <c r="D16" s="35" t="s">
        <v>129</v>
      </c>
      <c r="E16" s="28" t="s">
        <v>2067</v>
      </c>
      <c r="F16" s="36" t="n">
        <v>0.08</v>
      </c>
      <c r="G16" s="40" t="n">
        <f aca="false">IFERROR(VLOOKUP("食品饮料|10-食品饮料行业毛利率",指标更新台账_v3!$A$2:$I$600,9,FALSE()),0)</f>
        <v>8</v>
      </c>
      <c r="H16" s="38" t="s">
        <v>2330</v>
      </c>
      <c r="I16" s="35" t="s">
        <v>2085</v>
      </c>
      <c r="J16" s="39" t="s">
        <v>2331</v>
      </c>
      <c r="K16" s="28" t="s">
        <v>2100</v>
      </c>
      <c r="L16" s="12" t="n">
        <v>0.08</v>
      </c>
      <c r="M16" s="6" t="s">
        <v>2328</v>
      </c>
      <c r="N16" s="6" t="s">
        <v>94</v>
      </c>
    </row>
    <row r="17" customFormat="false" ht="28.5" hidden="false" customHeight="true" outlineLevel="0" collapsed="false">
      <c r="A17" s="35" t="s">
        <v>2332</v>
      </c>
      <c r="B17" s="28" t="s">
        <v>105</v>
      </c>
      <c r="C17" s="35" t="s">
        <v>106</v>
      </c>
      <c r="D17" s="35" t="s">
        <v>129</v>
      </c>
      <c r="E17" s="28" t="s">
        <v>2067</v>
      </c>
      <c r="F17" s="36" t="n">
        <v>0.07</v>
      </c>
      <c r="G17" s="37" t="n">
        <f aca="false">IFERROR(VLOOKUP("食品饮料|11-CPI非食品项同比",指标更新台账_v3!$A$2:$I$600,9,FALSE()),0)</f>
        <v>6</v>
      </c>
      <c r="H17" s="38" t="s">
        <v>2333</v>
      </c>
      <c r="I17" s="35" t="s">
        <v>2106</v>
      </c>
      <c r="J17" s="39" t="s">
        <v>2334</v>
      </c>
      <c r="K17" s="28" t="s">
        <v>2052</v>
      </c>
      <c r="L17" s="12" t="n">
        <v>0.07</v>
      </c>
      <c r="M17" s="6" t="s">
        <v>2328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5" t="n">
        <f aca="false">ROUND(SUMPRODUCT(F5:F17,G5:G17),1)</f>
        <v>6.7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2335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2336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7.6</v>
      </c>
    </row>
    <row r="5" customFormat="false" ht="28.5" hidden="false" customHeight="true" outlineLevel="0" collapsed="false">
      <c r="A5" s="35" t="s">
        <v>2337</v>
      </c>
      <c r="B5" s="28" t="s">
        <v>2338</v>
      </c>
      <c r="C5" s="35" t="s">
        <v>315</v>
      </c>
      <c r="D5" s="35" t="s">
        <v>85</v>
      </c>
      <c r="E5" s="28" t="s">
        <v>2062</v>
      </c>
      <c r="F5" s="36" t="n">
        <v>0.1333</v>
      </c>
      <c r="G5" s="40" t="n">
        <f aca="false">IFERROR(VLOOKUP("纺织服饰|1-棉花价格变化",指标更新台账_v3!$A$2:$I$600,9,FALSE()),0)</f>
        <v>8</v>
      </c>
      <c r="H5" s="38" t="s">
        <v>2063</v>
      </c>
      <c r="I5" s="35" t="s">
        <v>2106</v>
      </c>
      <c r="J5" s="39" t="s">
        <v>2339</v>
      </c>
      <c r="K5" s="28" t="s">
        <v>2095</v>
      </c>
      <c r="L5" s="12" t="n">
        <v>0.15</v>
      </c>
      <c r="M5" s="6" t="s">
        <v>2211</v>
      </c>
      <c r="N5" s="6" t="s">
        <v>94</v>
      </c>
      <c r="O5" s="12" t="s">
        <v>108</v>
      </c>
      <c r="P5" s="12" t="n">
        <f aca="false">ROUND(SUMPRODUCT(F10:F13,G10:G13)/SUM(F10:F13),1)</f>
        <v>6.7</v>
      </c>
    </row>
    <row r="6" customFormat="false" ht="28.5" hidden="false" customHeight="true" outlineLevel="0" collapsed="false">
      <c r="A6" s="35" t="s">
        <v>2340</v>
      </c>
      <c r="B6" s="35" t="s">
        <v>381</v>
      </c>
      <c r="C6" s="35" t="s">
        <v>382</v>
      </c>
      <c r="D6" s="35" t="s">
        <v>85</v>
      </c>
      <c r="E6" s="28" t="s">
        <v>2062</v>
      </c>
      <c r="F6" s="36" t="n">
        <v>0.1067</v>
      </c>
      <c r="G6" s="40" t="n">
        <f aca="false">IFERROR(VLOOKUP("纺织服饰|2-化纤价格变化",指标更新台账_v3!$A$2:$I$600,9,FALSE()),0)</f>
        <v>8</v>
      </c>
      <c r="H6" s="38" t="s">
        <v>2068</v>
      </c>
      <c r="I6" s="35" t="s">
        <v>2050</v>
      </c>
      <c r="J6" s="39" t="s">
        <v>2341</v>
      </c>
      <c r="K6" s="28" t="s">
        <v>2060</v>
      </c>
      <c r="L6" s="12" t="n">
        <v>0.12</v>
      </c>
      <c r="M6" s="6" t="s">
        <v>2211</v>
      </c>
      <c r="N6" s="6" t="s">
        <v>94</v>
      </c>
      <c r="O6" s="12" t="s">
        <v>125</v>
      </c>
      <c r="P6" s="12" t="n">
        <f aca="false">ROUND(SUMPRODUCT(F15:F17,G15:G17)/SUM(F15:F17),1)</f>
        <v>6</v>
      </c>
    </row>
    <row r="7" customFormat="false" ht="28.5" hidden="false" customHeight="true" outlineLevel="0" collapsed="false">
      <c r="A7" s="35" t="s">
        <v>2342</v>
      </c>
      <c r="B7" s="28" t="s">
        <v>385</v>
      </c>
      <c r="C7" s="35" t="s">
        <v>98</v>
      </c>
      <c r="D7" s="35" t="s">
        <v>85</v>
      </c>
      <c r="E7" s="28" t="s">
        <v>2169</v>
      </c>
      <c r="F7" s="36" t="n">
        <v>0.0889</v>
      </c>
      <c r="G7" s="40" t="n">
        <f aca="false">IFERROR(VLOOKUP("纺织服饰|3-美国服装零售库存",指标更新台账_v3!$A$2:$I$600,9,FALSE()),0)</f>
        <v>8</v>
      </c>
      <c r="H7" s="38" t="s">
        <v>2068</v>
      </c>
      <c r="I7" s="35" t="s">
        <v>2170</v>
      </c>
      <c r="J7" s="39" t="s">
        <v>2343</v>
      </c>
      <c r="K7" s="28" t="s">
        <v>2052</v>
      </c>
      <c r="L7" s="12" t="n">
        <v>0.1</v>
      </c>
      <c r="M7" s="6" t="s">
        <v>2211</v>
      </c>
      <c r="N7" s="6" t="s">
        <v>168</v>
      </c>
    </row>
    <row r="8" customFormat="false" ht="28.5" hidden="false" customHeight="true" outlineLevel="0" collapsed="false">
      <c r="A8" s="35" t="s">
        <v>2344</v>
      </c>
      <c r="B8" s="28" t="s">
        <v>388</v>
      </c>
      <c r="C8" s="35" t="s">
        <v>389</v>
      </c>
      <c r="D8" s="28"/>
      <c r="E8" s="28" t="s">
        <v>2345</v>
      </c>
      <c r="F8" s="36" t="n">
        <v>0.0711</v>
      </c>
      <c r="G8" s="37" t="n">
        <f aca="false">IFERROR(VLOOKUP("纺织服饰|4-人民币汇率",指标更新台账_v3!$A$2:$I$600,9,FALSE()),0)</f>
        <v>6</v>
      </c>
      <c r="H8" s="39" t="s">
        <v>2346</v>
      </c>
      <c r="I8" s="35" t="s">
        <v>2080</v>
      </c>
      <c r="J8" s="39" t="s">
        <v>2347</v>
      </c>
      <c r="K8" s="28" t="s">
        <v>2095</v>
      </c>
      <c r="L8" s="12" t="n">
        <v>0.08</v>
      </c>
      <c r="M8" s="6" t="s">
        <v>2211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2348</v>
      </c>
      <c r="B10" s="28" t="s">
        <v>101</v>
      </c>
      <c r="C10" s="35" t="s">
        <v>177</v>
      </c>
      <c r="D10" s="35" t="s">
        <v>85</v>
      </c>
      <c r="E10" s="28" t="s">
        <v>2067</v>
      </c>
      <c r="F10" s="36" t="n">
        <v>0.1333</v>
      </c>
      <c r="G10" s="40" t="n">
        <f aca="false">IFERROR(VLOOKUP("纺织服饰|5-纺织品出口金额增速",指标更新台账_v3!$A$2:$I$600,9,FALSE()),0)</f>
        <v>8</v>
      </c>
      <c r="H10" s="38" t="s">
        <v>2149</v>
      </c>
      <c r="I10" s="35" t="s">
        <v>2089</v>
      </c>
      <c r="J10" s="39" t="s">
        <v>2349</v>
      </c>
      <c r="K10" s="28" t="s">
        <v>2052</v>
      </c>
      <c r="L10" s="12" t="n">
        <v>0.15</v>
      </c>
      <c r="M10" s="6" t="s">
        <v>2211</v>
      </c>
      <c r="N10" s="6" t="s">
        <v>88</v>
      </c>
    </row>
    <row r="11" customFormat="false" ht="14.25" hidden="false" customHeight="true" outlineLevel="0" collapsed="false">
      <c r="A11" s="35" t="s">
        <v>2350</v>
      </c>
      <c r="B11" s="28" t="s">
        <v>101</v>
      </c>
      <c r="C11" s="35" t="s">
        <v>394</v>
      </c>
      <c r="D11" s="35" t="s">
        <v>85</v>
      </c>
      <c r="E11" s="28" t="s">
        <v>2067</v>
      </c>
      <c r="F11" s="36" t="n">
        <v>0.1067</v>
      </c>
      <c r="G11" s="37" t="n">
        <f aca="false">IFERROR(VLOOKUP("纺织服饰|6-服装出口金额增速",指标更新台账_v3!$A$2:$I$600,9,FALSE()),0)</f>
        <v>6</v>
      </c>
      <c r="H11" s="38" t="s">
        <v>2149</v>
      </c>
      <c r="I11" s="35" t="s">
        <v>2080</v>
      </c>
      <c r="J11" s="39" t="s">
        <v>2351</v>
      </c>
      <c r="K11" s="28" t="s">
        <v>2052</v>
      </c>
      <c r="L11" s="12" t="n">
        <v>0.12</v>
      </c>
      <c r="M11" s="6" t="s">
        <v>2211</v>
      </c>
      <c r="N11" s="6" t="s">
        <v>88</v>
      </c>
    </row>
    <row r="12" customFormat="false" ht="28.5" hidden="false" customHeight="true" outlineLevel="0" collapsed="false">
      <c r="A12" s="35" t="s">
        <v>2352</v>
      </c>
      <c r="B12" s="28" t="s">
        <v>397</v>
      </c>
      <c r="C12" s="35" t="s">
        <v>398</v>
      </c>
      <c r="D12" s="28" t="s">
        <v>120</v>
      </c>
      <c r="E12" s="28" t="s">
        <v>2067</v>
      </c>
      <c r="F12" s="36" t="n">
        <v>0.0889</v>
      </c>
      <c r="G12" s="37" t="n">
        <f aca="false">IFERROR(VLOOKUP("纺织服饰|7-柯桥纺织价格指数",指标更新台账_v3!$A$2:$I$600,9,FALSE()),0)</f>
        <v>6</v>
      </c>
      <c r="H12" s="38" t="s">
        <v>2353</v>
      </c>
      <c r="I12" s="35" t="s">
        <v>2089</v>
      </c>
      <c r="J12" s="39" t="s">
        <v>2354</v>
      </c>
      <c r="K12" s="28" t="s">
        <v>2060</v>
      </c>
      <c r="L12" s="12" t="n">
        <v>0.1</v>
      </c>
      <c r="M12" s="6" t="s">
        <v>2211</v>
      </c>
      <c r="N12" s="6" t="s">
        <v>94</v>
      </c>
    </row>
    <row r="13" customFormat="false" ht="28.5" hidden="false" customHeight="true" outlineLevel="0" collapsed="false">
      <c r="A13" s="35" t="s">
        <v>2355</v>
      </c>
      <c r="B13" s="28" t="s">
        <v>401</v>
      </c>
      <c r="C13" s="35" t="s">
        <v>402</v>
      </c>
      <c r="D13" s="35" t="s">
        <v>129</v>
      </c>
      <c r="E13" s="28" t="s">
        <v>2067</v>
      </c>
      <c r="F13" s="36" t="n">
        <v>0.0711</v>
      </c>
      <c r="G13" s="37" t="n">
        <f aca="false">IFERROR(VLOOKUP("纺织服饰|8-纺服企业开工率",指标更新台账_v3!$A$2:$I$600,9,FALSE()),0)</f>
        <v>6</v>
      </c>
      <c r="H13" s="38" t="s">
        <v>2166</v>
      </c>
      <c r="I13" s="35" t="s">
        <v>2069</v>
      </c>
      <c r="J13" s="39" t="s">
        <v>2356</v>
      </c>
      <c r="K13" s="28" t="s">
        <v>2052</v>
      </c>
      <c r="L13" s="12" t="n">
        <v>0.08</v>
      </c>
      <c r="M13" s="6" t="s">
        <v>2211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2357</v>
      </c>
      <c r="B15" s="28" t="s">
        <v>127</v>
      </c>
      <c r="C15" s="35" t="s">
        <v>405</v>
      </c>
      <c r="D15" s="35" t="s">
        <v>129</v>
      </c>
      <c r="E15" s="28" t="s">
        <v>2067</v>
      </c>
      <c r="F15" s="36" t="n">
        <v>0.08</v>
      </c>
      <c r="G15" s="37" t="n">
        <f aca="false">IFERROR(VLOOKUP("纺织服饰|9-纺服企业季度净利润率",指标更新台账_v3!$A$2:$I$600,9,FALSE()),0)</f>
        <v>6</v>
      </c>
      <c r="H15" s="38" t="s">
        <v>2312</v>
      </c>
      <c r="I15" s="35" t="s">
        <v>2146</v>
      </c>
      <c r="J15" s="38" t="s">
        <v>2358</v>
      </c>
      <c r="K15" s="28" t="s">
        <v>2100</v>
      </c>
      <c r="L15" s="12" t="n">
        <v>0.1</v>
      </c>
      <c r="M15" s="6" t="s">
        <v>2296</v>
      </c>
      <c r="N15" s="6" t="s">
        <v>131</v>
      </c>
    </row>
    <row r="16" customFormat="false" ht="28.5" hidden="false" customHeight="true" outlineLevel="0" collapsed="false">
      <c r="A16" s="35" t="s">
        <v>2359</v>
      </c>
      <c r="B16" s="28" t="s">
        <v>127</v>
      </c>
      <c r="C16" s="35" t="s">
        <v>408</v>
      </c>
      <c r="D16" s="28" t="s">
        <v>167</v>
      </c>
      <c r="E16" s="28" t="s">
        <v>2062</v>
      </c>
      <c r="F16" s="36" t="n">
        <v>0.064</v>
      </c>
      <c r="G16" s="37" t="n">
        <f aca="false">IFERROR(VLOOKUP("纺织服饰|10-纺服行业库存周转天数",指标更新台账_v3!$A$2:$I$600,9,FALSE()),0)</f>
        <v>6</v>
      </c>
      <c r="H16" s="38" t="s">
        <v>2360</v>
      </c>
      <c r="I16" s="35" t="s">
        <v>2073</v>
      </c>
      <c r="J16" s="39" t="s">
        <v>2227</v>
      </c>
      <c r="K16" s="28" t="s">
        <v>2100</v>
      </c>
      <c r="L16" s="12" t="n">
        <v>0.08</v>
      </c>
      <c r="M16" s="6" t="s">
        <v>2296</v>
      </c>
      <c r="N16" s="6" t="s">
        <v>168</v>
      </c>
    </row>
    <row r="17" customFormat="false" ht="14.25" hidden="false" customHeight="true" outlineLevel="0" collapsed="false">
      <c r="A17" s="35" t="s">
        <v>2361</v>
      </c>
      <c r="B17" s="28" t="s">
        <v>105</v>
      </c>
      <c r="C17" s="35" t="s">
        <v>411</v>
      </c>
      <c r="D17" s="35" t="s">
        <v>85</v>
      </c>
      <c r="E17" s="28" t="s">
        <v>2067</v>
      </c>
      <c r="F17" s="36" t="n">
        <v>0.056</v>
      </c>
      <c r="G17" s="37" t="n">
        <f aca="false">IFERROR(VLOOKUP("纺织服饰|11-社会消费品零售-服装类",指标更新台账_v3!$A$2:$I$600,9,FALSE()),0)</f>
        <v>6</v>
      </c>
      <c r="H17" s="38" t="s">
        <v>2149</v>
      </c>
      <c r="I17" s="35" t="s">
        <v>2073</v>
      </c>
      <c r="J17" s="39" t="s">
        <v>2362</v>
      </c>
      <c r="K17" s="28" t="s">
        <v>2052</v>
      </c>
      <c r="L17" s="12" t="n">
        <v>0.07</v>
      </c>
      <c r="M17" s="6" t="s">
        <v>2296</v>
      </c>
      <c r="N17" s="6" t="s">
        <v>213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5" t="n">
        <f aca="false">ROUND(SUMPRODUCT(F5:F17,G5:G17),1)</f>
        <v>6.9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2363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2364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6.6</v>
      </c>
    </row>
    <row r="5" customFormat="false" ht="28.5" hidden="false" customHeight="true" outlineLevel="0" collapsed="false">
      <c r="A5" s="35" t="s">
        <v>2365</v>
      </c>
      <c r="B5" s="28" t="s">
        <v>2366</v>
      </c>
      <c r="C5" s="35" t="s">
        <v>312</v>
      </c>
      <c r="D5" s="35" t="s">
        <v>85</v>
      </c>
      <c r="E5" s="28" t="s">
        <v>2062</v>
      </c>
      <c r="F5" s="36" t="n">
        <v>0.1333</v>
      </c>
      <c r="G5" s="40" t="n">
        <f aca="false">IFERROR(VLOOKUP("轻工制造|1-纸浆价格变化",指标更新台账_v3!$A$2:$I$600,9,FALSE()),0)</f>
        <v>8</v>
      </c>
      <c r="H5" s="38" t="s">
        <v>2063</v>
      </c>
      <c r="I5" s="35" t="s">
        <v>2064</v>
      </c>
      <c r="J5" s="39" t="s">
        <v>2367</v>
      </c>
      <c r="K5" s="28" t="s">
        <v>2060</v>
      </c>
      <c r="L5" s="12" t="n">
        <v>0.15</v>
      </c>
      <c r="M5" s="6" t="s">
        <v>2211</v>
      </c>
      <c r="N5" s="6" t="s">
        <v>94</v>
      </c>
      <c r="O5" s="12" t="s">
        <v>108</v>
      </c>
      <c r="P5" s="12" t="n">
        <f aca="false">ROUND(SUMPRODUCT(F10:F13,G10:G13)/SUM(F10:F13),1)</f>
        <v>5</v>
      </c>
    </row>
    <row r="6" customFormat="false" ht="28.5" hidden="false" customHeight="true" outlineLevel="0" collapsed="false">
      <c r="A6" s="35" t="s">
        <v>2368</v>
      </c>
      <c r="B6" s="28" t="s">
        <v>418</v>
      </c>
      <c r="C6" s="35" t="s">
        <v>319</v>
      </c>
      <c r="D6" s="35" t="s">
        <v>85</v>
      </c>
      <c r="E6" s="28" t="s">
        <v>2062</v>
      </c>
      <c r="F6" s="36" t="n">
        <v>0.0889</v>
      </c>
      <c r="G6" s="40" t="n">
        <f aca="false">IFERROR(VLOOKUP("轻工制造|2-木材价格变化",指标更新台账_v3!$A$2:$I$600,9,FALSE()),0)</f>
        <v>8</v>
      </c>
      <c r="H6" s="38" t="s">
        <v>2068</v>
      </c>
      <c r="I6" s="35" t="s">
        <v>2106</v>
      </c>
      <c r="J6" s="39" t="s">
        <v>2369</v>
      </c>
      <c r="K6" s="28" t="s">
        <v>2052</v>
      </c>
      <c r="L6" s="12" t="n">
        <v>0.1</v>
      </c>
      <c r="M6" s="6" t="s">
        <v>2211</v>
      </c>
      <c r="N6" s="6" t="s">
        <v>94</v>
      </c>
      <c r="O6" s="12" t="s">
        <v>125</v>
      </c>
      <c r="P6" s="12" t="n">
        <f aca="false">ROUND(SUMPRODUCT(F15:F17,G15:G17)/SUM(F15:F17),1)</f>
        <v>6</v>
      </c>
    </row>
    <row r="7" customFormat="false" ht="28.5" hidden="false" customHeight="true" outlineLevel="0" collapsed="false">
      <c r="A7" s="35" t="s">
        <v>2370</v>
      </c>
      <c r="B7" s="28" t="s">
        <v>105</v>
      </c>
      <c r="C7" s="35" t="s">
        <v>312</v>
      </c>
      <c r="D7" s="35" t="s">
        <v>85</v>
      </c>
      <c r="E7" s="28" t="s">
        <v>2062</v>
      </c>
      <c r="F7" s="36" t="n">
        <v>0.1067</v>
      </c>
      <c r="G7" s="44" t="n">
        <f aca="false">IFERROR(VLOOKUP("轻工制造|3-房地产竣工面积增速",指标更新台账_v3!$A$2:$I$600,9,FALSE()),0)</f>
        <v>4</v>
      </c>
      <c r="H7" s="38" t="s">
        <v>2149</v>
      </c>
      <c r="I7" s="35" t="s">
        <v>2275</v>
      </c>
      <c r="J7" s="39" t="s">
        <v>2276</v>
      </c>
      <c r="K7" s="28" t="s">
        <v>2052</v>
      </c>
      <c r="L7" s="12" t="n">
        <v>0.12</v>
      </c>
      <c r="M7" s="6" t="s">
        <v>2211</v>
      </c>
      <c r="N7" s="6" t="s">
        <v>88</v>
      </c>
    </row>
    <row r="8" customFormat="false" ht="28.5" hidden="false" customHeight="true" outlineLevel="0" collapsed="false">
      <c r="A8" s="35" t="s">
        <v>2371</v>
      </c>
      <c r="B8" s="28" t="s">
        <v>385</v>
      </c>
      <c r="C8" s="35" t="s">
        <v>180</v>
      </c>
      <c r="D8" s="35" t="s">
        <v>85</v>
      </c>
      <c r="E8" s="28" t="s">
        <v>2067</v>
      </c>
      <c r="F8" s="36" t="n">
        <v>0.0711</v>
      </c>
      <c r="G8" s="37" t="n">
        <f aca="false">IFERROR(VLOOKUP("轻工制造|4-美国新房销售",指标更新台账_v3!$A$2:$I$600,9,FALSE()),0)</f>
        <v>6</v>
      </c>
      <c r="H8" s="38" t="s">
        <v>2191</v>
      </c>
      <c r="I8" s="35" t="s">
        <v>2069</v>
      </c>
      <c r="J8" s="39" t="s">
        <v>2372</v>
      </c>
      <c r="K8" s="28" t="s">
        <v>2052</v>
      </c>
      <c r="L8" s="12" t="n">
        <v>0.08</v>
      </c>
      <c r="M8" s="6" t="s">
        <v>2211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2373</v>
      </c>
      <c r="B10" s="28" t="s">
        <v>150</v>
      </c>
      <c r="C10" s="35" t="s">
        <v>425</v>
      </c>
      <c r="D10" s="28" t="s">
        <v>2118</v>
      </c>
      <c r="E10" s="28" t="s">
        <v>2062</v>
      </c>
      <c r="F10" s="36" t="n">
        <v>0.1143</v>
      </c>
      <c r="G10" s="44" t="n">
        <f aca="false">IFERROR(VLOOKUP("轻工制造|5-瓦楞纸价格",指标更新台账_v3!$A$2:$I$600,9,FALSE()),0)</f>
        <v>4</v>
      </c>
      <c r="H10" s="38" t="s">
        <v>2374</v>
      </c>
      <c r="I10" s="35" t="s">
        <v>2375</v>
      </c>
      <c r="J10" s="39" t="s">
        <v>2376</v>
      </c>
      <c r="K10" s="28" t="s">
        <v>2060</v>
      </c>
      <c r="L10" s="12" t="n">
        <v>0.12</v>
      </c>
      <c r="M10" s="6" t="s">
        <v>2211</v>
      </c>
      <c r="N10" s="6" t="s">
        <v>94</v>
      </c>
    </row>
    <row r="11" customFormat="false" ht="28.5" hidden="false" customHeight="true" outlineLevel="0" collapsed="false">
      <c r="A11" s="35" t="s">
        <v>2377</v>
      </c>
      <c r="B11" s="28" t="s">
        <v>150</v>
      </c>
      <c r="C11" s="35" t="s">
        <v>428</v>
      </c>
      <c r="D11" s="28" t="s">
        <v>2118</v>
      </c>
      <c r="E11" s="28" t="s">
        <v>2062</v>
      </c>
      <c r="F11" s="36" t="n">
        <v>0.0952</v>
      </c>
      <c r="G11" s="44" t="n">
        <f aca="false">IFERROR(VLOOKUP("轻工制造|6-双胶纸价格",指标更新台账_v3!$A$2:$I$600,9,FALSE()),0)</f>
        <v>4</v>
      </c>
      <c r="H11" s="38" t="s">
        <v>2378</v>
      </c>
      <c r="I11" s="35" t="s">
        <v>2170</v>
      </c>
      <c r="J11" s="39" t="s">
        <v>2379</v>
      </c>
      <c r="K11" s="28" t="s">
        <v>2060</v>
      </c>
      <c r="L11" s="12" t="n">
        <v>0.1</v>
      </c>
      <c r="M11" s="6" t="s">
        <v>2211</v>
      </c>
      <c r="N11" s="6" t="s">
        <v>94</v>
      </c>
    </row>
    <row r="12" customFormat="false" ht="28.5" hidden="false" customHeight="true" outlineLevel="0" collapsed="false">
      <c r="A12" s="35" t="s">
        <v>2380</v>
      </c>
      <c r="B12" s="28" t="s">
        <v>105</v>
      </c>
      <c r="C12" s="35" t="s">
        <v>431</v>
      </c>
      <c r="D12" s="35" t="s">
        <v>85</v>
      </c>
      <c r="E12" s="28" t="s">
        <v>2067</v>
      </c>
      <c r="F12" s="36" t="n">
        <v>0.1143</v>
      </c>
      <c r="G12" s="37" t="n">
        <f aca="false">IFERROR(VLOOKUP("轻工制造|7-家具零售额增速",指标更新台账_v3!$A$2:$I$600,9,FALSE()),0)</f>
        <v>6</v>
      </c>
      <c r="H12" s="38" t="s">
        <v>2149</v>
      </c>
      <c r="I12" s="35" t="s">
        <v>2050</v>
      </c>
      <c r="J12" s="39" t="s">
        <v>2381</v>
      </c>
      <c r="K12" s="28" t="s">
        <v>2052</v>
      </c>
      <c r="L12" s="12" t="n">
        <v>0.12</v>
      </c>
      <c r="M12" s="6" t="s">
        <v>2211</v>
      </c>
      <c r="N12" s="6" t="s">
        <v>213</v>
      </c>
    </row>
    <row r="13" customFormat="false" ht="28.5" hidden="false" customHeight="true" outlineLevel="0" collapsed="false">
      <c r="A13" s="35" t="s">
        <v>2382</v>
      </c>
      <c r="B13" s="28" t="s">
        <v>150</v>
      </c>
      <c r="C13" s="35" t="s">
        <v>141</v>
      </c>
      <c r="D13" s="35" t="s">
        <v>129</v>
      </c>
      <c r="E13" s="28" t="s">
        <v>2067</v>
      </c>
      <c r="F13" s="36" t="n">
        <v>0.0762</v>
      </c>
      <c r="G13" s="37" t="n">
        <f aca="false">IFERROR(VLOOKUP("轻工制造|8-造纸企业开工率",指标更新台账_v3!$A$2:$I$600,9,FALSE()),0)</f>
        <v>6</v>
      </c>
      <c r="H13" s="38" t="s">
        <v>2123</v>
      </c>
      <c r="I13" s="35" t="s">
        <v>2073</v>
      </c>
      <c r="J13" s="39" t="s">
        <v>2383</v>
      </c>
      <c r="K13" s="28" t="s">
        <v>2052</v>
      </c>
      <c r="L13" s="12" t="n">
        <v>0.08</v>
      </c>
      <c r="M13" s="6" t="s">
        <v>2211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2384</v>
      </c>
      <c r="B15" s="28" t="s">
        <v>127</v>
      </c>
      <c r="C15" s="35" t="s">
        <v>174</v>
      </c>
      <c r="D15" s="35" t="s">
        <v>129</v>
      </c>
      <c r="E15" s="28" t="s">
        <v>2067</v>
      </c>
      <c r="F15" s="36" t="n">
        <v>0.08</v>
      </c>
      <c r="G15" s="37" t="n">
        <f aca="false">IFERROR(VLOOKUP("轻工制造|9-轻工企业季度ROE",指标更新台账_v3!$A$2:$I$600,9,FALSE()),0)</f>
        <v>6</v>
      </c>
      <c r="H15" s="38" t="s">
        <v>2145</v>
      </c>
      <c r="I15" s="35" t="s">
        <v>2073</v>
      </c>
      <c r="J15" s="38" t="s">
        <v>2385</v>
      </c>
      <c r="K15" s="28" t="s">
        <v>2100</v>
      </c>
      <c r="L15" s="12" t="n">
        <v>0.1</v>
      </c>
      <c r="M15" s="6" t="s">
        <v>2296</v>
      </c>
      <c r="N15" s="6" t="s">
        <v>131</v>
      </c>
    </row>
    <row r="16" customFormat="false" ht="28.5" hidden="false" customHeight="true" outlineLevel="0" collapsed="false">
      <c r="A16" s="35" t="s">
        <v>2386</v>
      </c>
      <c r="B16" s="28" t="s">
        <v>127</v>
      </c>
      <c r="C16" s="35" t="s">
        <v>283</v>
      </c>
      <c r="D16" s="28" t="s">
        <v>167</v>
      </c>
      <c r="E16" s="28" t="s">
        <v>2062</v>
      </c>
      <c r="F16" s="36" t="n">
        <v>0.064</v>
      </c>
      <c r="G16" s="37" t="n">
        <f aca="false">IFERROR(VLOOKUP("轻工制造|10-轻工行业库存周转天数",指标更新台账_v3!$A$2:$I$600,9,FALSE()),0)</f>
        <v>6</v>
      </c>
      <c r="H16" s="38" t="s">
        <v>2387</v>
      </c>
      <c r="I16" s="35" t="s">
        <v>2050</v>
      </c>
      <c r="J16" s="39" t="s">
        <v>2227</v>
      </c>
      <c r="K16" s="28" t="s">
        <v>2100</v>
      </c>
      <c r="L16" s="12" t="n">
        <v>0.08</v>
      </c>
      <c r="M16" s="6" t="s">
        <v>2296</v>
      </c>
      <c r="N16" s="6" t="s">
        <v>168</v>
      </c>
    </row>
    <row r="17" customFormat="false" ht="28.5" hidden="false" customHeight="true" outlineLevel="0" collapsed="false">
      <c r="A17" s="35" t="s">
        <v>2388</v>
      </c>
      <c r="B17" s="28" t="s">
        <v>105</v>
      </c>
      <c r="C17" s="35" t="s">
        <v>327</v>
      </c>
      <c r="D17" s="35" t="s">
        <v>85</v>
      </c>
      <c r="E17" s="28" t="s">
        <v>2067</v>
      </c>
      <c r="F17" s="36" t="n">
        <v>0.056</v>
      </c>
      <c r="G17" s="37" t="n">
        <f aca="false">IFERROR(VLOOKUP("轻工制造|11-轻工行业固定资产投资",指标更新台账_v3!$A$2:$I$600,9,FALSE()),0)</f>
        <v>6</v>
      </c>
      <c r="H17" s="38" t="s">
        <v>2149</v>
      </c>
      <c r="I17" s="35" t="s">
        <v>2069</v>
      </c>
      <c r="J17" s="39" t="s">
        <v>2389</v>
      </c>
      <c r="K17" s="28" t="s">
        <v>2100</v>
      </c>
      <c r="L17" s="12" t="n">
        <v>0.07</v>
      </c>
      <c r="M17" s="6" t="s">
        <v>2296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5" t="n">
        <f aca="false">ROUND(SUMPRODUCT(F5:F17,G5:G17),1)</f>
        <v>5.8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2390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2391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8</v>
      </c>
    </row>
    <row r="5" customFormat="false" ht="28.5" hidden="false" customHeight="true" outlineLevel="0" collapsed="false">
      <c r="A5" s="35" t="s">
        <v>2392</v>
      </c>
      <c r="B5" s="35" t="s">
        <v>443</v>
      </c>
      <c r="C5" s="35" t="s">
        <v>444</v>
      </c>
      <c r="D5" s="28" t="s">
        <v>2393</v>
      </c>
      <c r="E5" s="28" t="s">
        <v>2067</v>
      </c>
      <c r="F5" s="36" t="n">
        <v>0.1667</v>
      </c>
      <c r="G5" s="40" t="n">
        <f aca="false">IFERROR(VLOOKUP("医药生物|1-创新药IND数量",指标更新台账_v3!$A$2:$I$600,9,FALSE()),0)</f>
        <v>8</v>
      </c>
      <c r="H5" s="38" t="s">
        <v>2394</v>
      </c>
      <c r="I5" s="35" t="s">
        <v>2223</v>
      </c>
      <c r="J5" s="39" t="s">
        <v>2395</v>
      </c>
      <c r="K5" s="28" t="s">
        <v>2052</v>
      </c>
      <c r="L5" s="12" t="n">
        <v>0.15</v>
      </c>
      <c r="M5" s="6" t="s">
        <v>2053</v>
      </c>
      <c r="N5" s="6" t="s">
        <v>88</v>
      </c>
      <c r="O5" s="12" t="s">
        <v>108</v>
      </c>
      <c r="P5" s="12" t="n">
        <f aca="false">ROUND(SUMPRODUCT(F10:F13,G10:G13)/SUM(F10:F13),1)</f>
        <v>7.2</v>
      </c>
    </row>
    <row r="6" customFormat="false" ht="28.5" hidden="false" customHeight="true" outlineLevel="0" collapsed="false">
      <c r="A6" s="35" t="s">
        <v>2396</v>
      </c>
      <c r="B6" s="28" t="s">
        <v>448</v>
      </c>
      <c r="C6" s="35" t="s">
        <v>449</v>
      </c>
      <c r="D6" s="35" t="s">
        <v>129</v>
      </c>
      <c r="E6" s="28" t="s">
        <v>2397</v>
      </c>
      <c r="F6" s="36" t="n">
        <v>0.1111</v>
      </c>
      <c r="G6" s="40" t="n">
        <f aca="false">IFERROR(VLOOKUP("医药生物|2-医保谈判降价幅度",指标更新台账_v3!$A$2:$I$600,9,FALSE()),0)</f>
        <v>8</v>
      </c>
      <c r="H6" s="38" t="s">
        <v>2398</v>
      </c>
      <c r="I6" s="35" t="s">
        <v>2080</v>
      </c>
      <c r="J6" s="39" t="s">
        <v>2399</v>
      </c>
      <c r="K6" s="28" t="s">
        <v>2075</v>
      </c>
      <c r="L6" s="12" t="n">
        <v>0.1</v>
      </c>
      <c r="M6" s="6" t="s">
        <v>2053</v>
      </c>
      <c r="N6" s="6" t="s">
        <v>88</v>
      </c>
      <c r="O6" s="12" t="s">
        <v>125</v>
      </c>
      <c r="P6" s="12" t="n">
        <f aca="false">ROUND(SUMPRODUCT(F15:F17,G15:G17)/SUM(F15:F17),1)</f>
        <v>8</v>
      </c>
    </row>
    <row r="7" customFormat="false" ht="28.5" hidden="false" customHeight="true" outlineLevel="0" collapsed="false">
      <c r="A7" s="35" t="s">
        <v>2400</v>
      </c>
      <c r="B7" s="28" t="s">
        <v>452</v>
      </c>
      <c r="C7" s="35" t="s">
        <v>319</v>
      </c>
      <c r="D7" s="35" t="s">
        <v>85</v>
      </c>
      <c r="E7" s="28" t="s">
        <v>2062</v>
      </c>
      <c r="F7" s="36" t="n">
        <v>0.1111</v>
      </c>
      <c r="G7" s="40" t="n">
        <f aca="false">IFERROR(VLOOKUP("医药生物|3-原料药价格变化",指标更新台账_v3!$A$2:$I$600,9,FALSE()),0)</f>
        <v>8</v>
      </c>
      <c r="H7" s="38" t="s">
        <v>2068</v>
      </c>
      <c r="I7" s="35" t="s">
        <v>2106</v>
      </c>
      <c r="J7" s="39" t="s">
        <v>2401</v>
      </c>
      <c r="K7" s="28" t="s">
        <v>2052</v>
      </c>
      <c r="L7" s="12" t="n">
        <v>0.1</v>
      </c>
      <c r="M7" s="6" t="s">
        <v>2053</v>
      </c>
      <c r="N7" s="6" t="s">
        <v>94</v>
      </c>
    </row>
    <row r="8" customFormat="false" ht="28.5" hidden="false" customHeight="true" outlineLevel="0" collapsed="false">
      <c r="A8" s="35" t="s">
        <v>2402</v>
      </c>
      <c r="B8" s="35" t="s">
        <v>455</v>
      </c>
      <c r="C8" s="35" t="s">
        <v>308</v>
      </c>
      <c r="D8" s="35" t="s">
        <v>85</v>
      </c>
      <c r="E8" s="28" t="s">
        <v>2067</v>
      </c>
      <c r="F8" s="36" t="n">
        <v>0.1111</v>
      </c>
      <c r="G8" s="40" t="n">
        <f aca="false">IFERROR(VLOOKUP("医药生物|4-全球生物医药融资额",指标更新台账_v3!$A$2:$I$600,9,FALSE()),0)</f>
        <v>8</v>
      </c>
      <c r="H8" s="38" t="s">
        <v>2403</v>
      </c>
      <c r="I8" s="35" t="s">
        <v>2103</v>
      </c>
      <c r="J8" s="39" t="s">
        <v>2404</v>
      </c>
      <c r="K8" s="28" t="s">
        <v>2100</v>
      </c>
      <c r="L8" s="12" t="n">
        <v>0.1</v>
      </c>
      <c r="M8" s="6" t="s">
        <v>2053</v>
      </c>
      <c r="N8" s="6" t="s">
        <v>279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14.25" hidden="false" customHeight="true" outlineLevel="0" collapsed="false">
      <c r="A10" s="35" t="s">
        <v>2405</v>
      </c>
      <c r="B10" s="28" t="s">
        <v>105</v>
      </c>
      <c r="C10" s="35" t="s">
        <v>177</v>
      </c>
      <c r="D10" s="35" t="s">
        <v>85</v>
      </c>
      <c r="E10" s="28" t="s">
        <v>2067</v>
      </c>
      <c r="F10" s="36" t="n">
        <v>0.1105</v>
      </c>
      <c r="G10" s="40" t="n">
        <f aca="false">IFERROR(VLOOKUP("医药生物|5-医药制造业收入增速",指标更新台账_v3!$A$2:$I$600,9,FALSE()),0)</f>
        <v>8</v>
      </c>
      <c r="H10" s="38" t="s">
        <v>2149</v>
      </c>
      <c r="I10" s="35" t="s">
        <v>2085</v>
      </c>
      <c r="J10" s="39" t="s">
        <v>2406</v>
      </c>
      <c r="K10" s="28" t="s">
        <v>2052</v>
      </c>
      <c r="L10" s="12" t="n">
        <v>0.12</v>
      </c>
      <c r="M10" s="6" t="s">
        <v>2082</v>
      </c>
      <c r="N10" s="6" t="s">
        <v>213</v>
      </c>
    </row>
    <row r="11" customFormat="false" ht="14.25" hidden="false" customHeight="true" outlineLevel="0" collapsed="false">
      <c r="A11" s="35" t="s">
        <v>2407</v>
      </c>
      <c r="B11" s="28" t="s">
        <v>105</v>
      </c>
      <c r="C11" s="35" t="s">
        <v>330</v>
      </c>
      <c r="D11" s="35" t="s">
        <v>85</v>
      </c>
      <c r="E11" s="28" t="s">
        <v>2067</v>
      </c>
      <c r="F11" s="36" t="n">
        <v>0.0737</v>
      </c>
      <c r="G11" s="37" t="n">
        <f aca="false">IFERROR(VLOOKUP("医药生物|6-化学药品原药产量",指标更新台账_v3!$A$2:$I$600,9,FALSE()),0)</f>
        <v>6</v>
      </c>
      <c r="H11" s="38" t="s">
        <v>2319</v>
      </c>
      <c r="I11" s="35" t="s">
        <v>2080</v>
      </c>
      <c r="J11" s="39" t="s">
        <v>2408</v>
      </c>
      <c r="K11" s="28" t="s">
        <v>2052</v>
      </c>
      <c r="L11" s="12" t="n">
        <v>0.08</v>
      </c>
      <c r="M11" s="6" t="s">
        <v>2082</v>
      </c>
      <c r="N11" s="6" t="s">
        <v>213</v>
      </c>
    </row>
    <row r="12" customFormat="false" ht="28.5" hidden="false" customHeight="true" outlineLevel="0" collapsed="false">
      <c r="A12" s="35" t="s">
        <v>2409</v>
      </c>
      <c r="B12" s="28" t="s">
        <v>101</v>
      </c>
      <c r="C12" s="35" t="s">
        <v>266</v>
      </c>
      <c r="D12" s="35" t="s">
        <v>85</v>
      </c>
      <c r="E12" s="28" t="s">
        <v>2067</v>
      </c>
      <c r="F12" s="36" t="n">
        <v>0.0921</v>
      </c>
      <c r="G12" s="40" t="n">
        <f aca="false">IFERROR(VLOOKUP("医药生物|7-医疗器械出口增速",指标更新台账_v3!$A$2:$I$600,9,FALSE()),0)</f>
        <v>8</v>
      </c>
      <c r="H12" s="38" t="s">
        <v>2098</v>
      </c>
      <c r="I12" s="35" t="s">
        <v>2291</v>
      </c>
      <c r="J12" s="39" t="s">
        <v>2410</v>
      </c>
      <c r="K12" s="28" t="s">
        <v>2052</v>
      </c>
      <c r="L12" s="12" t="n">
        <v>0.1</v>
      </c>
      <c r="M12" s="6" t="s">
        <v>2082</v>
      </c>
      <c r="N12" s="6" t="s">
        <v>88</v>
      </c>
    </row>
    <row r="13" customFormat="false" ht="28.5" hidden="false" customHeight="true" outlineLevel="0" collapsed="false">
      <c r="A13" s="35" t="s">
        <v>2411</v>
      </c>
      <c r="B13" s="28" t="s">
        <v>464</v>
      </c>
      <c r="C13" s="35" t="s">
        <v>327</v>
      </c>
      <c r="D13" s="35" t="s">
        <v>85</v>
      </c>
      <c r="E13" s="28" t="s">
        <v>2067</v>
      </c>
      <c r="F13" s="36" t="n">
        <v>0.0737</v>
      </c>
      <c r="G13" s="37" t="n">
        <f aca="false">IFERROR(VLOOKUP("医药生物|8-医院诊疗人次增速",指标更新台账_v3!$A$2:$I$600,9,FALSE()),0)</f>
        <v>6</v>
      </c>
      <c r="H13" s="38" t="s">
        <v>2149</v>
      </c>
      <c r="I13" s="35" t="s">
        <v>2089</v>
      </c>
      <c r="J13" s="39" t="s">
        <v>2412</v>
      </c>
      <c r="K13" s="28" t="s">
        <v>2052</v>
      </c>
      <c r="L13" s="12" t="n">
        <v>0.08</v>
      </c>
      <c r="M13" s="6" t="s">
        <v>2082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2413</v>
      </c>
      <c r="B15" s="28" t="s">
        <v>127</v>
      </c>
      <c r="C15" s="35" t="s">
        <v>208</v>
      </c>
      <c r="D15" s="35" t="s">
        <v>129</v>
      </c>
      <c r="E15" s="28" t="s">
        <v>2067</v>
      </c>
      <c r="F15" s="36" t="n">
        <v>0.06</v>
      </c>
      <c r="G15" s="40" t="n">
        <f aca="false">IFERROR(VLOOKUP("医药生物|9-医药企业季度毛利率",指标更新台账_v3!$A$2:$I$600,9,FALSE()),0)</f>
        <v>8</v>
      </c>
      <c r="H15" s="38" t="s">
        <v>2414</v>
      </c>
      <c r="I15" s="35" t="s">
        <v>2142</v>
      </c>
      <c r="J15" s="38" t="s">
        <v>2415</v>
      </c>
      <c r="K15" s="28" t="s">
        <v>2100</v>
      </c>
      <c r="L15" s="12" t="n">
        <v>0.1</v>
      </c>
      <c r="M15" s="6" t="s">
        <v>2101</v>
      </c>
      <c r="N15" s="6" t="s">
        <v>94</v>
      </c>
    </row>
    <row r="16" customFormat="false" ht="28.5" hidden="false" customHeight="true" outlineLevel="0" collapsed="false">
      <c r="A16" s="35" t="s">
        <v>2416</v>
      </c>
      <c r="B16" s="28" t="s">
        <v>127</v>
      </c>
      <c r="C16" s="35" t="s">
        <v>469</v>
      </c>
      <c r="D16" s="35" t="s">
        <v>129</v>
      </c>
      <c r="E16" s="28" t="s">
        <v>2067</v>
      </c>
      <c r="F16" s="36" t="n">
        <v>0.048</v>
      </c>
      <c r="G16" s="40" t="n">
        <f aca="false">IFERROR(VLOOKUP("医药生物|10-医药企业研发费用率",指标更新台账_v3!$A$2:$I$600,9,FALSE()),0)</f>
        <v>8</v>
      </c>
      <c r="H16" s="38" t="s">
        <v>2417</v>
      </c>
      <c r="I16" s="35" t="s">
        <v>2103</v>
      </c>
      <c r="J16" s="39" t="s">
        <v>2418</v>
      </c>
      <c r="K16" s="28" t="s">
        <v>2100</v>
      </c>
      <c r="L16" s="12" t="n">
        <v>0.08</v>
      </c>
      <c r="M16" s="6" t="s">
        <v>2101</v>
      </c>
      <c r="N16" s="6" t="s">
        <v>88</v>
      </c>
    </row>
    <row r="17" customFormat="false" ht="28.5" hidden="false" customHeight="true" outlineLevel="0" collapsed="false">
      <c r="A17" s="35" t="s">
        <v>2419</v>
      </c>
      <c r="B17" s="28" t="s">
        <v>105</v>
      </c>
      <c r="C17" s="35" t="s">
        <v>305</v>
      </c>
      <c r="D17" s="35" t="s">
        <v>85</v>
      </c>
      <c r="E17" s="28" t="s">
        <v>2067</v>
      </c>
      <c r="F17" s="36" t="n">
        <v>0.042</v>
      </c>
      <c r="G17" s="40" t="n">
        <f aca="false">IFERROR(VLOOKUP("医药生物|11-医药制造业利润增速",指标更新台账_v3!$A$2:$I$600,9,FALSE()),0)</f>
        <v>8</v>
      </c>
      <c r="H17" s="38" t="s">
        <v>2098</v>
      </c>
      <c r="I17" s="35" t="s">
        <v>2142</v>
      </c>
      <c r="J17" s="39" t="s">
        <v>2420</v>
      </c>
      <c r="K17" s="28" t="s">
        <v>2052</v>
      </c>
      <c r="L17" s="12" t="n">
        <v>0.07</v>
      </c>
      <c r="M17" s="6" t="s">
        <v>2101</v>
      </c>
      <c r="N17" s="6" t="s">
        <v>131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2" t="n">
        <f aca="false">ROUND(SUMPRODUCT(F5:F17,G5:G17),1)</f>
        <v>7.7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2421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2422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9</v>
      </c>
    </row>
    <row r="5" customFormat="false" ht="28.5" hidden="false" customHeight="true" outlineLevel="0" collapsed="false">
      <c r="A5" s="35" t="s">
        <v>2423</v>
      </c>
      <c r="B5" s="28" t="s">
        <v>145</v>
      </c>
      <c r="C5" s="35" t="s">
        <v>228</v>
      </c>
      <c r="D5" s="35" t="s">
        <v>85</v>
      </c>
      <c r="E5" s="28" t="s">
        <v>2062</v>
      </c>
      <c r="F5" s="36" t="n">
        <v>0.1</v>
      </c>
      <c r="G5" s="40" t="n">
        <f aca="false">IFERROR(VLOOKUP("公用事业|1-动力煤价格变化",指标更新台账_v3!$A$2:$I$600,9,FALSE()),0)</f>
        <v>10</v>
      </c>
      <c r="H5" s="38" t="s">
        <v>2063</v>
      </c>
      <c r="I5" s="35" t="s">
        <v>2424</v>
      </c>
      <c r="J5" s="39" t="s">
        <v>2425</v>
      </c>
      <c r="K5" s="28" t="s">
        <v>2060</v>
      </c>
      <c r="L5" s="12" t="n">
        <v>0.15</v>
      </c>
      <c r="M5" s="6" t="s">
        <v>2306</v>
      </c>
      <c r="N5" s="6" t="s">
        <v>94</v>
      </c>
      <c r="O5" s="12" t="s">
        <v>108</v>
      </c>
      <c r="P5" s="12" t="n">
        <f aca="false">ROUND(SUMPRODUCT(F10:F13,G10:G13)/SUM(F10:F13),1)</f>
        <v>7.1</v>
      </c>
    </row>
    <row r="6" customFormat="false" ht="28.5" hidden="false" customHeight="true" outlineLevel="0" collapsed="false">
      <c r="A6" s="35" t="s">
        <v>2426</v>
      </c>
      <c r="B6" s="28" t="s">
        <v>101</v>
      </c>
      <c r="C6" s="35" t="s">
        <v>477</v>
      </c>
      <c r="D6" s="35" t="s">
        <v>85</v>
      </c>
      <c r="E6" s="28" t="s">
        <v>2062</v>
      </c>
      <c r="F6" s="36" t="n">
        <v>0.08</v>
      </c>
      <c r="G6" s="40" t="n">
        <f aca="false">IFERROR(VLOOKUP("公用事业|2-天然气进口价格",指标更新台账_v3!$A$2:$I$600,9,FALSE()),0)</f>
        <v>8</v>
      </c>
      <c r="H6" s="38" t="s">
        <v>2068</v>
      </c>
      <c r="I6" s="35" t="s">
        <v>2170</v>
      </c>
      <c r="J6" s="39" t="s">
        <v>2427</v>
      </c>
      <c r="K6" s="28" t="s">
        <v>2052</v>
      </c>
      <c r="L6" s="12" t="n">
        <v>0.12</v>
      </c>
      <c r="M6" s="6" t="s">
        <v>2306</v>
      </c>
      <c r="N6" s="6" t="s">
        <v>94</v>
      </c>
      <c r="O6" s="12" t="s">
        <v>125</v>
      </c>
      <c r="P6" s="12" t="n">
        <f aca="false">ROUND(SUMPRODUCT(F15:F17,G15:G17)/SUM(F15:F17),1)</f>
        <v>8</v>
      </c>
    </row>
    <row r="7" customFormat="false" ht="28.5" hidden="false" customHeight="true" outlineLevel="0" collapsed="false">
      <c r="A7" s="35" t="s">
        <v>2428</v>
      </c>
      <c r="B7" s="28" t="s">
        <v>480</v>
      </c>
      <c r="C7" s="35" t="s">
        <v>481</v>
      </c>
      <c r="D7" s="35" t="s">
        <v>482</v>
      </c>
      <c r="E7" s="28" t="s">
        <v>2429</v>
      </c>
      <c r="F7" s="36" t="n">
        <v>0.0667</v>
      </c>
      <c r="G7" s="40" t="n">
        <f aca="false">IFERROR(VLOOKUP("公用事业|3-来水情况(三峡出库流量)",指标更新台账_v3!$A$2:$I$600,9,FALSE()),0)</f>
        <v>8</v>
      </c>
      <c r="H7" s="38" t="s">
        <v>2430</v>
      </c>
      <c r="I7" s="35" t="s">
        <v>2223</v>
      </c>
      <c r="J7" s="39" t="s">
        <v>2431</v>
      </c>
      <c r="K7" s="28" t="s">
        <v>2095</v>
      </c>
      <c r="L7" s="12" t="n">
        <v>0.1</v>
      </c>
      <c r="M7" s="6" t="s">
        <v>2306</v>
      </c>
      <c r="N7" s="6" t="s">
        <v>88</v>
      </c>
    </row>
    <row r="8" customFormat="false" ht="28.5" hidden="false" customHeight="true" outlineLevel="0" collapsed="false">
      <c r="A8" s="35" t="s">
        <v>2432</v>
      </c>
      <c r="B8" s="28" t="s">
        <v>485</v>
      </c>
      <c r="C8" s="35" t="s">
        <v>486</v>
      </c>
      <c r="D8" s="35" t="s">
        <v>487</v>
      </c>
      <c r="E8" s="28" t="s">
        <v>2433</v>
      </c>
      <c r="F8" s="36" t="n">
        <v>0.0533</v>
      </c>
      <c r="G8" s="40" t="n">
        <f aca="false">IFERROR(VLOOKUP("公用事业|4-新能源装机规划",指标更新台账_v3!$A$2:$I$600,9,FALSE()),0)</f>
        <v>10</v>
      </c>
      <c r="H8" s="38" t="s">
        <v>2434</v>
      </c>
      <c r="I8" s="35" t="s">
        <v>2209</v>
      </c>
      <c r="J8" s="39" t="s">
        <v>2435</v>
      </c>
      <c r="K8" s="28" t="s">
        <v>2075</v>
      </c>
      <c r="L8" s="12" t="n">
        <v>0.08</v>
      </c>
      <c r="M8" s="6" t="s">
        <v>2306</v>
      </c>
      <c r="N8" s="6" t="s">
        <v>279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2436</v>
      </c>
      <c r="B10" s="28" t="s">
        <v>485</v>
      </c>
      <c r="C10" s="35" t="s">
        <v>253</v>
      </c>
      <c r="D10" s="35" t="s">
        <v>85</v>
      </c>
      <c r="E10" s="28" t="s">
        <v>2067</v>
      </c>
      <c r="F10" s="36" t="n">
        <v>0.1646</v>
      </c>
      <c r="G10" s="40" t="n">
        <f aca="false">IFERROR(VLOOKUP("公用事业|5-全社会用电量增速",指标更新台账_v3!$A$2:$I$600,9,FALSE()),0)</f>
        <v>8</v>
      </c>
      <c r="H10" s="38" t="s">
        <v>2312</v>
      </c>
      <c r="I10" s="35" t="s">
        <v>2085</v>
      </c>
      <c r="J10" s="39" t="s">
        <v>2437</v>
      </c>
      <c r="K10" s="28" t="s">
        <v>2052</v>
      </c>
      <c r="L10" s="12" t="n">
        <v>0.15</v>
      </c>
      <c r="M10" s="6" t="s">
        <v>2197</v>
      </c>
      <c r="N10" s="6" t="s">
        <v>88</v>
      </c>
    </row>
    <row r="11" customFormat="false" ht="28.5" hidden="false" customHeight="true" outlineLevel="0" collapsed="false">
      <c r="A11" s="35" t="s">
        <v>2438</v>
      </c>
      <c r="B11" s="28" t="s">
        <v>485</v>
      </c>
      <c r="C11" s="35" t="s">
        <v>492</v>
      </c>
      <c r="D11" s="28" t="s">
        <v>2439</v>
      </c>
      <c r="E11" s="28" t="s">
        <v>2067</v>
      </c>
      <c r="F11" s="36" t="n">
        <v>0.1098</v>
      </c>
      <c r="G11" s="37" t="n">
        <f aca="false">IFERROR(VLOOKUP("公用事业|6-火电利用小时数",指标更新台账_v3!$A$2:$I$600,9,FALSE()),0)</f>
        <v>6</v>
      </c>
      <c r="H11" s="38" t="s">
        <v>2440</v>
      </c>
      <c r="I11" s="35" t="s">
        <v>2080</v>
      </c>
      <c r="J11" s="39" t="s">
        <v>2441</v>
      </c>
      <c r="K11" s="28" t="s">
        <v>2052</v>
      </c>
      <c r="L11" s="12" t="n">
        <v>0.1</v>
      </c>
      <c r="M11" s="6" t="s">
        <v>2197</v>
      </c>
      <c r="N11" s="6" t="s">
        <v>88</v>
      </c>
    </row>
    <row r="12" customFormat="false" ht="28.5" hidden="false" customHeight="true" outlineLevel="0" collapsed="false">
      <c r="A12" s="35" t="s">
        <v>2442</v>
      </c>
      <c r="B12" s="28" t="s">
        <v>485</v>
      </c>
      <c r="C12" s="35" t="s">
        <v>496</v>
      </c>
      <c r="D12" s="28" t="s">
        <v>2439</v>
      </c>
      <c r="E12" s="28" t="s">
        <v>2067</v>
      </c>
      <c r="F12" s="36" t="n">
        <v>0.0878</v>
      </c>
      <c r="G12" s="40" t="n">
        <f aca="false">IFERROR(VLOOKUP("公用事业|7-水电利用小时数",指标更新台账_v3!$A$2:$I$600,9,FALSE()),0)</f>
        <v>8</v>
      </c>
      <c r="H12" s="38" t="s">
        <v>2443</v>
      </c>
      <c r="I12" s="35" t="s">
        <v>2291</v>
      </c>
      <c r="J12" s="39" t="s">
        <v>2444</v>
      </c>
      <c r="K12" s="28" t="s">
        <v>2052</v>
      </c>
      <c r="L12" s="12" t="n">
        <v>0.08</v>
      </c>
      <c r="M12" s="6" t="s">
        <v>2197</v>
      </c>
      <c r="N12" s="6" t="s">
        <v>88</v>
      </c>
    </row>
    <row r="13" customFormat="false" ht="28.5" hidden="false" customHeight="true" outlineLevel="0" collapsed="false">
      <c r="A13" s="35" t="s">
        <v>2445</v>
      </c>
      <c r="B13" s="28" t="s">
        <v>485</v>
      </c>
      <c r="C13" s="35" t="s">
        <v>162</v>
      </c>
      <c r="D13" s="35" t="s">
        <v>2134</v>
      </c>
      <c r="E13" s="28" t="s">
        <v>2067</v>
      </c>
      <c r="F13" s="36" t="n">
        <v>0.0878</v>
      </c>
      <c r="G13" s="37" t="n">
        <f aca="false">IFERROR(VLOOKUP("公用事业|8-风电/光伏利用小时数",指标更新台账_v3!$A$2:$I$600,9,FALSE()),0)</f>
        <v>6</v>
      </c>
      <c r="H13" s="38" t="s">
        <v>2446</v>
      </c>
      <c r="I13" s="35" t="s">
        <v>2089</v>
      </c>
      <c r="J13" s="39" t="s">
        <v>2447</v>
      </c>
      <c r="K13" s="28" t="s">
        <v>2052</v>
      </c>
      <c r="L13" s="12" t="n">
        <v>0.08</v>
      </c>
      <c r="M13" s="6" t="s">
        <v>2197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2448</v>
      </c>
      <c r="B15" s="28" t="s">
        <v>127</v>
      </c>
      <c r="C15" s="35" t="s">
        <v>335</v>
      </c>
      <c r="D15" s="35" t="s">
        <v>129</v>
      </c>
      <c r="E15" s="28" t="s">
        <v>2067</v>
      </c>
      <c r="F15" s="36" t="n">
        <v>0.1</v>
      </c>
      <c r="G15" s="40" t="n">
        <f aca="false">IFERROR(VLOOKUP("公用事业|9-电力企业季度ROE",指标更新台账_v3!$A$2:$I$600,9,FALSE()),0)</f>
        <v>8</v>
      </c>
      <c r="H15" s="38" t="s">
        <v>2294</v>
      </c>
      <c r="I15" s="35" t="s">
        <v>2103</v>
      </c>
      <c r="J15" s="38" t="s">
        <v>2449</v>
      </c>
      <c r="K15" s="28" t="s">
        <v>2100</v>
      </c>
      <c r="L15" s="12" t="n">
        <v>0.1</v>
      </c>
      <c r="M15" s="6" t="s">
        <v>2328</v>
      </c>
      <c r="N15" s="6" t="s">
        <v>131</v>
      </c>
    </row>
    <row r="16" customFormat="false" ht="28.5" hidden="false" customHeight="true" outlineLevel="0" collapsed="false">
      <c r="A16" s="35" t="s">
        <v>2450</v>
      </c>
      <c r="B16" s="28" t="s">
        <v>127</v>
      </c>
      <c r="C16" s="35" t="s">
        <v>503</v>
      </c>
      <c r="D16" s="35" t="s">
        <v>129</v>
      </c>
      <c r="E16" s="28" t="s">
        <v>2062</v>
      </c>
      <c r="F16" s="36" t="n">
        <v>0.08</v>
      </c>
      <c r="G16" s="40" t="n">
        <f aca="false">IFERROR(VLOOKUP("公用事业|10-电力行业资产负债率",指标更新台账_v3!$A$2:$I$600,9,FALSE()),0)</f>
        <v>8</v>
      </c>
      <c r="H16" s="38" t="s">
        <v>2451</v>
      </c>
      <c r="I16" s="35" t="s">
        <v>2050</v>
      </c>
      <c r="J16" s="39" t="s">
        <v>2452</v>
      </c>
      <c r="K16" s="28" t="s">
        <v>2100</v>
      </c>
      <c r="L16" s="12" t="n">
        <v>0.08</v>
      </c>
      <c r="M16" s="6" t="s">
        <v>2328</v>
      </c>
      <c r="N16" s="6" t="s">
        <v>168</v>
      </c>
    </row>
    <row r="17" customFormat="false" ht="28.5" hidden="false" customHeight="true" outlineLevel="0" collapsed="false">
      <c r="A17" s="35" t="s">
        <v>2453</v>
      </c>
      <c r="B17" s="28" t="s">
        <v>105</v>
      </c>
      <c r="C17" s="35" t="s">
        <v>240</v>
      </c>
      <c r="D17" s="35" t="s">
        <v>85</v>
      </c>
      <c r="E17" s="28" t="s">
        <v>2067</v>
      </c>
      <c r="F17" s="36" t="n">
        <v>0.07</v>
      </c>
      <c r="G17" s="40" t="n">
        <f aca="false">IFERROR(VLOOKUP("公用事业|11-电力行业固定资产投资",指标更新台账_v3!$A$2:$I$600,9,FALSE()),0)</f>
        <v>8</v>
      </c>
      <c r="H17" s="38" t="s">
        <v>2098</v>
      </c>
      <c r="I17" s="35" t="s">
        <v>2223</v>
      </c>
      <c r="J17" s="39" t="s">
        <v>2454</v>
      </c>
      <c r="K17" s="28" t="s">
        <v>2100</v>
      </c>
      <c r="L17" s="12" t="n">
        <v>0.07</v>
      </c>
      <c r="M17" s="6" t="s">
        <v>2328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2" t="n">
        <f aca="false">ROUND(SUMPRODUCT(F5:F17,G5:G17),1)</f>
        <v>7.9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2455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2456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8</v>
      </c>
    </row>
    <row r="5" customFormat="false" ht="28.5" hidden="false" customHeight="true" outlineLevel="0" collapsed="false">
      <c r="A5" s="35" t="s">
        <v>2457</v>
      </c>
      <c r="B5" s="28" t="s">
        <v>509</v>
      </c>
      <c r="C5" s="35" t="s">
        <v>510</v>
      </c>
      <c r="D5" s="28" t="s">
        <v>120</v>
      </c>
      <c r="E5" s="28" t="s">
        <v>2067</v>
      </c>
      <c r="F5" s="36" t="n">
        <v>0.1333</v>
      </c>
      <c r="G5" s="40" t="n">
        <f aca="false">IFERROR(VLOOKUP("交通运输|1-BDI指数",指标更新台账_v3!$A$2:$I$600,9,FALSE()),0)</f>
        <v>8</v>
      </c>
      <c r="H5" s="38" t="s">
        <v>2458</v>
      </c>
      <c r="I5" s="35" t="s">
        <v>2242</v>
      </c>
      <c r="J5" s="39" t="s">
        <v>2459</v>
      </c>
      <c r="K5" s="28" t="s">
        <v>2095</v>
      </c>
      <c r="L5" s="12" t="n">
        <v>0.15</v>
      </c>
      <c r="M5" s="6" t="s">
        <v>2211</v>
      </c>
      <c r="N5" s="6" t="s">
        <v>88</v>
      </c>
      <c r="O5" s="12" t="s">
        <v>108</v>
      </c>
      <c r="P5" s="12" t="n">
        <f aca="false">ROUND(SUMPRODUCT(F10:F13,G10:G13)/SUM(F10:F13),1)</f>
        <v>8</v>
      </c>
    </row>
    <row r="6" customFormat="false" ht="28.5" hidden="false" customHeight="true" outlineLevel="0" collapsed="false">
      <c r="A6" s="35" t="s">
        <v>2460</v>
      </c>
      <c r="B6" s="28" t="s">
        <v>509</v>
      </c>
      <c r="C6" s="35" t="s">
        <v>513</v>
      </c>
      <c r="D6" s="28" t="s">
        <v>120</v>
      </c>
      <c r="E6" s="28" t="s">
        <v>2067</v>
      </c>
      <c r="F6" s="36" t="n">
        <v>0.0889</v>
      </c>
      <c r="G6" s="40" t="n">
        <f aca="false">IFERROR(VLOOKUP("交通运输|2-原油运输指数(BDTI)",指标更新台账_v3!$A$2:$I$600,9,FALSE()),0)</f>
        <v>8</v>
      </c>
      <c r="H6" s="38" t="s">
        <v>2461</v>
      </c>
      <c r="I6" s="35" t="s">
        <v>2142</v>
      </c>
      <c r="J6" s="39" t="s">
        <v>2462</v>
      </c>
      <c r="K6" s="28" t="s">
        <v>2095</v>
      </c>
      <c r="L6" s="12" t="n">
        <v>0.1</v>
      </c>
      <c r="M6" s="6" t="s">
        <v>2211</v>
      </c>
      <c r="N6" s="6" t="s">
        <v>88</v>
      </c>
      <c r="O6" s="12" t="s">
        <v>125</v>
      </c>
      <c r="P6" s="12" t="n">
        <f aca="false">ROUND(SUMPRODUCT(F15:F17,G15:G17)/SUM(F15:F17),1)</f>
        <v>8</v>
      </c>
    </row>
    <row r="7" customFormat="false" ht="28.5" hidden="false" customHeight="true" outlineLevel="0" collapsed="false">
      <c r="A7" s="35" t="s">
        <v>2463</v>
      </c>
      <c r="B7" s="28" t="s">
        <v>516</v>
      </c>
      <c r="C7" s="35" t="s">
        <v>517</v>
      </c>
      <c r="D7" s="28" t="s">
        <v>120</v>
      </c>
      <c r="E7" s="28" t="s">
        <v>2067</v>
      </c>
      <c r="F7" s="36" t="n">
        <v>0.1067</v>
      </c>
      <c r="G7" s="40" t="n">
        <f aca="false">IFERROR(VLOOKUP("交通运输|3-集装箱运价指数(CCFI)",指标更新台账_v3!$A$2:$I$600,9,FALSE()),0)</f>
        <v>8</v>
      </c>
      <c r="H7" s="38" t="s">
        <v>2464</v>
      </c>
      <c r="I7" s="35" t="s">
        <v>2085</v>
      </c>
      <c r="J7" s="39" t="s">
        <v>2465</v>
      </c>
      <c r="K7" s="28" t="s">
        <v>2060</v>
      </c>
      <c r="L7" s="12" t="n">
        <v>0.12</v>
      </c>
      <c r="M7" s="6" t="s">
        <v>2211</v>
      </c>
      <c r="N7" s="6" t="s">
        <v>88</v>
      </c>
    </row>
    <row r="8" customFormat="false" ht="28.5" hidden="false" customHeight="true" outlineLevel="0" collapsed="false">
      <c r="A8" s="35" t="s">
        <v>2466</v>
      </c>
      <c r="B8" s="35" t="s">
        <v>520</v>
      </c>
      <c r="C8" s="35" t="s">
        <v>312</v>
      </c>
      <c r="D8" s="35" t="s">
        <v>85</v>
      </c>
      <c r="E8" s="28" t="s">
        <v>2062</v>
      </c>
      <c r="F8" s="36" t="n">
        <v>0.0711</v>
      </c>
      <c r="G8" s="40" t="n">
        <f aca="false">IFERROR(VLOOKUP("交通运输|4-航空煤油价格",指标更新台账_v3!$A$2:$I$600,9,FALSE()),0)</f>
        <v>8</v>
      </c>
      <c r="H8" s="38" t="s">
        <v>2063</v>
      </c>
      <c r="I8" s="35" t="s">
        <v>2064</v>
      </c>
      <c r="J8" s="39" t="s">
        <v>2467</v>
      </c>
      <c r="K8" s="28" t="s">
        <v>2052</v>
      </c>
      <c r="L8" s="12" t="n">
        <v>0.08</v>
      </c>
      <c r="M8" s="6" t="s">
        <v>2211</v>
      </c>
      <c r="N8" s="6" t="s">
        <v>94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2468</v>
      </c>
      <c r="B10" s="28" t="s">
        <v>523</v>
      </c>
      <c r="C10" s="35" t="s">
        <v>524</v>
      </c>
      <c r="D10" s="35" t="s">
        <v>85</v>
      </c>
      <c r="E10" s="28" t="s">
        <v>2067</v>
      </c>
      <c r="F10" s="36" t="n">
        <v>0.12</v>
      </c>
      <c r="G10" s="40" t="n">
        <f aca="false">IFERROR(VLOOKUP("交通运输|5-港口货物吞吐量增速",指标更新台账_v3!$A$2:$I$600,9,FALSE()),0)</f>
        <v>8</v>
      </c>
      <c r="H10" s="38" t="s">
        <v>2469</v>
      </c>
      <c r="I10" s="35" t="s">
        <v>2089</v>
      </c>
      <c r="J10" s="39" t="s">
        <v>2470</v>
      </c>
      <c r="K10" s="28" t="s">
        <v>2052</v>
      </c>
      <c r="L10" s="12" t="n">
        <v>0.12</v>
      </c>
      <c r="M10" s="6" t="s">
        <v>2211</v>
      </c>
      <c r="N10" s="6" t="s">
        <v>213</v>
      </c>
    </row>
    <row r="11" customFormat="false" ht="28.5" hidden="false" customHeight="true" outlineLevel="0" collapsed="false">
      <c r="A11" s="35" t="s">
        <v>2471</v>
      </c>
      <c r="B11" s="28" t="s">
        <v>527</v>
      </c>
      <c r="C11" s="35" t="s">
        <v>528</v>
      </c>
      <c r="D11" s="35" t="s">
        <v>85</v>
      </c>
      <c r="E11" s="28" t="s">
        <v>2067</v>
      </c>
      <c r="F11" s="36" t="n">
        <v>0.12</v>
      </c>
      <c r="G11" s="40" t="n">
        <f aca="false">IFERROR(VLOOKUP("交通运输|6-民航客运量增速",指标更新台账_v3!$A$2:$I$600,9,FALSE()),0)</f>
        <v>8</v>
      </c>
      <c r="H11" s="38" t="s">
        <v>2472</v>
      </c>
      <c r="I11" s="35" t="s">
        <v>2291</v>
      </c>
      <c r="J11" s="39" t="s">
        <v>2473</v>
      </c>
      <c r="K11" s="28" t="s">
        <v>2052</v>
      </c>
      <c r="L11" s="12" t="n">
        <v>0.12</v>
      </c>
      <c r="M11" s="6" t="s">
        <v>2211</v>
      </c>
      <c r="N11" s="6" t="s">
        <v>213</v>
      </c>
    </row>
    <row r="12" customFormat="false" ht="14.25" hidden="false" customHeight="true" outlineLevel="0" collapsed="false">
      <c r="A12" s="35" t="s">
        <v>2474</v>
      </c>
      <c r="B12" s="28" t="s">
        <v>531</v>
      </c>
      <c r="C12" s="35" t="s">
        <v>532</v>
      </c>
      <c r="D12" s="35" t="s">
        <v>85</v>
      </c>
      <c r="E12" s="28" t="s">
        <v>2067</v>
      </c>
      <c r="F12" s="36" t="n">
        <v>0.08</v>
      </c>
      <c r="G12" s="37" t="n">
        <f aca="false">IFERROR(VLOOKUP("交通运输|7-铁路货运量增速",指标更新台账_v3!$A$2:$I$600,9,FALSE()),0)</f>
        <v>6</v>
      </c>
      <c r="H12" s="38" t="s">
        <v>2469</v>
      </c>
      <c r="I12" s="35" t="s">
        <v>2080</v>
      </c>
      <c r="J12" s="39" t="s">
        <v>2475</v>
      </c>
      <c r="K12" s="28" t="s">
        <v>2052</v>
      </c>
      <c r="L12" s="12" t="n">
        <v>0.08</v>
      </c>
      <c r="M12" s="6" t="s">
        <v>2211</v>
      </c>
      <c r="N12" s="6" t="s">
        <v>213</v>
      </c>
    </row>
    <row r="13" customFormat="false" ht="28.5" hidden="false" customHeight="true" outlineLevel="0" collapsed="false">
      <c r="A13" s="35" t="s">
        <v>2476</v>
      </c>
      <c r="B13" s="28" t="s">
        <v>535</v>
      </c>
      <c r="C13" s="35" t="s">
        <v>270</v>
      </c>
      <c r="D13" s="35" t="s">
        <v>85</v>
      </c>
      <c r="E13" s="28" t="s">
        <v>2067</v>
      </c>
      <c r="F13" s="36" t="n">
        <v>0.08</v>
      </c>
      <c r="G13" s="40" t="n">
        <f aca="false">IFERROR(VLOOKUP("交通运输|8-快递业务量增速",指标更新台账_v3!$A$2:$I$600,9,FALSE()),0)</f>
        <v>10</v>
      </c>
      <c r="H13" s="38" t="s">
        <v>2326</v>
      </c>
      <c r="I13" s="35" t="s">
        <v>2229</v>
      </c>
      <c r="J13" s="39" t="s">
        <v>2477</v>
      </c>
      <c r="K13" s="28" t="s">
        <v>2052</v>
      </c>
      <c r="L13" s="12" t="n">
        <v>0.08</v>
      </c>
      <c r="M13" s="6" t="s">
        <v>2211</v>
      </c>
      <c r="N13" s="6" t="s">
        <v>213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2478</v>
      </c>
      <c r="B15" s="28" t="s">
        <v>127</v>
      </c>
      <c r="C15" s="35" t="s">
        <v>538</v>
      </c>
      <c r="D15" s="28" t="s">
        <v>217</v>
      </c>
      <c r="E15" s="28" t="s">
        <v>2067</v>
      </c>
      <c r="F15" s="36" t="n">
        <v>0.08</v>
      </c>
      <c r="G15" s="40" t="n">
        <f aca="false">IFERROR(VLOOKUP("交通运输|9-交运企业季度净利润",指标更新台账_v3!$A$2:$I$600,9,FALSE()),0)</f>
        <v>8</v>
      </c>
      <c r="H15" s="38" t="s">
        <v>2186</v>
      </c>
      <c r="I15" s="35" t="s">
        <v>2242</v>
      </c>
      <c r="J15" s="38" t="s">
        <v>2479</v>
      </c>
      <c r="K15" s="28" t="s">
        <v>2100</v>
      </c>
      <c r="L15" s="12" t="n">
        <v>0.1</v>
      </c>
      <c r="M15" s="6" t="s">
        <v>2296</v>
      </c>
      <c r="N15" s="6" t="s">
        <v>131</v>
      </c>
    </row>
    <row r="16" customFormat="false" ht="28.5" hidden="false" customHeight="true" outlineLevel="0" collapsed="false">
      <c r="A16" s="35" t="s">
        <v>2480</v>
      </c>
      <c r="B16" s="28" t="s">
        <v>127</v>
      </c>
      <c r="C16" s="35" t="s">
        <v>283</v>
      </c>
      <c r="D16" s="35" t="s">
        <v>129</v>
      </c>
      <c r="E16" s="28" t="s">
        <v>2062</v>
      </c>
      <c r="F16" s="36" t="n">
        <v>0.064</v>
      </c>
      <c r="G16" s="40" t="n">
        <f aca="false">IFERROR(VLOOKUP("交通运输|10-交运行业资产负债率",指标更新台账_v3!$A$2:$I$600,9,FALSE()),0)</f>
        <v>8</v>
      </c>
      <c r="H16" s="38" t="s">
        <v>2481</v>
      </c>
      <c r="I16" s="35" t="s">
        <v>2073</v>
      </c>
      <c r="J16" s="39" t="s">
        <v>2452</v>
      </c>
      <c r="K16" s="28" t="s">
        <v>2100</v>
      </c>
      <c r="L16" s="12" t="n">
        <v>0.08</v>
      </c>
      <c r="M16" s="6" t="s">
        <v>2296</v>
      </c>
      <c r="N16" s="6" t="s">
        <v>168</v>
      </c>
    </row>
    <row r="17" customFormat="false" ht="28.5" hidden="false" customHeight="true" outlineLevel="0" collapsed="false">
      <c r="A17" s="35" t="s">
        <v>2482</v>
      </c>
      <c r="B17" s="28" t="s">
        <v>105</v>
      </c>
      <c r="C17" s="35" t="s">
        <v>177</v>
      </c>
      <c r="D17" s="35" t="s">
        <v>85</v>
      </c>
      <c r="E17" s="28" t="s">
        <v>2067</v>
      </c>
      <c r="F17" s="36" t="n">
        <v>0.056</v>
      </c>
      <c r="G17" s="40" t="n">
        <f aca="false">IFERROR(VLOOKUP("交通运输|11-交运行业固定资产投资",指标更新台账_v3!$A$2:$I$600,9,FALSE()),0)</f>
        <v>8</v>
      </c>
      <c r="H17" s="38" t="s">
        <v>2149</v>
      </c>
      <c r="I17" s="35" t="s">
        <v>2089</v>
      </c>
      <c r="J17" s="39" t="s">
        <v>2483</v>
      </c>
      <c r="K17" s="28" t="s">
        <v>2100</v>
      </c>
      <c r="L17" s="12" t="n">
        <v>0.07</v>
      </c>
      <c r="M17" s="6" t="s">
        <v>2296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2" t="n">
        <f aca="false">ROUND(SUMPRODUCT(F5:F17,G5:G17),1)</f>
        <v>8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2484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2485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4.9</v>
      </c>
    </row>
    <row r="5" customFormat="false" ht="28.5" hidden="false" customHeight="true" outlineLevel="0" collapsed="false">
      <c r="A5" s="35" t="s">
        <v>2486</v>
      </c>
      <c r="B5" s="28" t="s">
        <v>546</v>
      </c>
      <c r="C5" s="35" t="s">
        <v>547</v>
      </c>
      <c r="D5" s="35" t="s">
        <v>85</v>
      </c>
      <c r="E5" s="28" t="s">
        <v>2062</v>
      </c>
      <c r="F5" s="36" t="n">
        <v>0.1667</v>
      </c>
      <c r="G5" s="44" t="n">
        <f aca="false">IFERROR(VLOOKUP("房地产|1-百城土地成交面积增速",指标更新台账_v3!$A$2:$I$600,9,FALSE()),0)</f>
        <v>4</v>
      </c>
      <c r="H5" s="38" t="s">
        <v>2487</v>
      </c>
      <c r="I5" s="35" t="s">
        <v>2488</v>
      </c>
      <c r="J5" s="39" t="s">
        <v>2489</v>
      </c>
      <c r="K5" s="28" t="s">
        <v>2052</v>
      </c>
      <c r="L5" s="12" t="n">
        <v>0.15</v>
      </c>
      <c r="M5" s="6" t="s">
        <v>2053</v>
      </c>
      <c r="N5" s="6" t="s">
        <v>88</v>
      </c>
      <c r="O5" s="12" t="s">
        <v>108</v>
      </c>
      <c r="P5" s="12" t="n">
        <f aca="false">ROUND(SUMPRODUCT(F10:F13,G10:G13)/SUM(F10:F13),1)</f>
        <v>4</v>
      </c>
    </row>
    <row r="6" customFormat="false" ht="28.5" hidden="false" customHeight="true" outlineLevel="0" collapsed="false">
      <c r="A6" s="35" t="s">
        <v>2490</v>
      </c>
      <c r="B6" s="28" t="s">
        <v>546</v>
      </c>
      <c r="C6" s="35" t="s">
        <v>550</v>
      </c>
      <c r="D6" s="35" t="s">
        <v>85</v>
      </c>
      <c r="E6" s="28" t="s">
        <v>2062</v>
      </c>
      <c r="F6" s="36" t="n">
        <v>0.1333</v>
      </c>
      <c r="G6" s="44" t="n">
        <f aca="false">IFERROR(VLOOKUP("房地产|2-房企拿地金额增速",指标更新台账_v3!$A$2:$I$600,9,FALSE()),0)</f>
        <v>4</v>
      </c>
      <c r="H6" s="38" t="s">
        <v>2491</v>
      </c>
      <c r="I6" s="35" t="s">
        <v>2492</v>
      </c>
      <c r="J6" s="39" t="s">
        <v>2493</v>
      </c>
      <c r="K6" s="28" t="s">
        <v>2052</v>
      </c>
      <c r="L6" s="12" t="n">
        <v>0.12</v>
      </c>
      <c r="M6" s="6" t="s">
        <v>2053</v>
      </c>
      <c r="N6" s="6" t="s">
        <v>88</v>
      </c>
      <c r="O6" s="12" t="s">
        <v>125</v>
      </c>
      <c r="P6" s="12" t="n">
        <f aca="false">ROUND(SUMPRODUCT(F15:F17,G15:G17)/SUM(F15:F17),1)</f>
        <v>3.4</v>
      </c>
    </row>
    <row r="7" customFormat="false" ht="28.5" hidden="false" customHeight="true" outlineLevel="0" collapsed="false">
      <c r="A7" s="35" t="s">
        <v>2494</v>
      </c>
      <c r="B7" s="28" t="s">
        <v>553</v>
      </c>
      <c r="C7" s="35" t="s">
        <v>554</v>
      </c>
      <c r="D7" s="35" t="s">
        <v>129</v>
      </c>
      <c r="E7" s="28" t="s">
        <v>2062</v>
      </c>
      <c r="F7" s="36" t="n">
        <v>0.1111</v>
      </c>
      <c r="G7" s="40" t="n">
        <f aca="false">IFERROR(VLOOKUP("房地产|3-房贷利率",指标更新台账_v3!$A$2:$I$600,9,FALSE()),0)</f>
        <v>8</v>
      </c>
      <c r="H7" s="38" t="s">
        <v>2495</v>
      </c>
      <c r="I7" s="35" t="s">
        <v>2064</v>
      </c>
      <c r="J7" s="39" t="s">
        <v>2496</v>
      </c>
      <c r="K7" s="28" t="s">
        <v>2052</v>
      </c>
      <c r="L7" s="12" t="n">
        <v>0.1</v>
      </c>
      <c r="M7" s="6" t="s">
        <v>2053</v>
      </c>
      <c r="N7" s="6" t="s">
        <v>94</v>
      </c>
    </row>
    <row r="8" customFormat="false" ht="28.5" hidden="false" customHeight="true" outlineLevel="0" collapsed="false">
      <c r="A8" s="35" t="s">
        <v>2497</v>
      </c>
      <c r="B8" s="28" t="s">
        <v>557</v>
      </c>
      <c r="C8" s="35" t="s">
        <v>558</v>
      </c>
      <c r="D8" s="35" t="s">
        <v>85</v>
      </c>
      <c r="E8" s="28" t="s">
        <v>2062</v>
      </c>
      <c r="F8" s="36" t="n">
        <v>0.0889</v>
      </c>
      <c r="G8" s="44" t="n">
        <f aca="false">IFERROR(VLOOKUP("房地产|4-房地产信托发行规模",指标更新台账_v3!$A$2:$I$600,9,FALSE()),0)</f>
        <v>4</v>
      </c>
      <c r="H8" s="38" t="s">
        <v>2487</v>
      </c>
      <c r="I8" s="35" t="s">
        <v>2498</v>
      </c>
      <c r="J8" s="39" t="s">
        <v>2499</v>
      </c>
      <c r="K8" s="28" t="s">
        <v>2100</v>
      </c>
      <c r="L8" s="12" t="n">
        <v>0.08</v>
      </c>
      <c r="M8" s="6" t="s">
        <v>2053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2500</v>
      </c>
      <c r="B10" s="28" t="s">
        <v>105</v>
      </c>
      <c r="C10" s="35" t="s">
        <v>312</v>
      </c>
      <c r="D10" s="35" t="s">
        <v>85</v>
      </c>
      <c r="E10" s="28" t="s">
        <v>2062</v>
      </c>
      <c r="F10" s="36" t="n">
        <v>0.1167</v>
      </c>
      <c r="G10" s="44" t="n">
        <f aca="false">IFERROR(VLOOKUP("房地产|5-商品房销售面积增速",指标更新台账_v3!$A$2:$I$600,9,FALSE()),0)</f>
        <v>4</v>
      </c>
      <c r="H10" s="38" t="s">
        <v>2191</v>
      </c>
      <c r="I10" s="35" t="s">
        <v>2275</v>
      </c>
      <c r="J10" s="39" t="s">
        <v>2501</v>
      </c>
      <c r="K10" s="28" t="s">
        <v>2052</v>
      </c>
      <c r="L10" s="12" t="n">
        <v>0.15</v>
      </c>
      <c r="M10" s="6" t="s">
        <v>2082</v>
      </c>
      <c r="N10" s="6" t="s">
        <v>88</v>
      </c>
    </row>
    <row r="11" customFormat="false" ht="28.5" hidden="false" customHeight="true" outlineLevel="0" collapsed="false">
      <c r="A11" s="35" t="s">
        <v>2502</v>
      </c>
      <c r="B11" s="28" t="s">
        <v>105</v>
      </c>
      <c r="C11" s="35" t="s">
        <v>563</v>
      </c>
      <c r="D11" s="35" t="s">
        <v>198</v>
      </c>
      <c r="E11" s="28" t="s">
        <v>2062</v>
      </c>
      <c r="F11" s="36" t="n">
        <v>0.0933</v>
      </c>
      <c r="G11" s="44" t="n">
        <f aca="false">IFERROR(VLOOKUP("房地产|6-70城新建商品住宅价格指数",指标更新台账_v3!$A$2:$I$600,9,FALSE()),0)</f>
        <v>4</v>
      </c>
      <c r="H11" s="38" t="s">
        <v>2503</v>
      </c>
      <c r="I11" s="35" t="s">
        <v>2488</v>
      </c>
      <c r="J11" s="39" t="s">
        <v>2504</v>
      </c>
      <c r="K11" s="28" t="s">
        <v>2052</v>
      </c>
      <c r="L11" s="12" t="n">
        <v>0.12</v>
      </c>
      <c r="M11" s="6" t="s">
        <v>2082</v>
      </c>
      <c r="N11" s="6" t="s">
        <v>94</v>
      </c>
    </row>
    <row r="12" customFormat="false" ht="28.5" hidden="false" customHeight="true" outlineLevel="0" collapsed="false">
      <c r="A12" s="35" t="s">
        <v>2505</v>
      </c>
      <c r="B12" s="28" t="s">
        <v>566</v>
      </c>
      <c r="C12" s="35" t="s">
        <v>177</v>
      </c>
      <c r="D12" s="35" t="s">
        <v>198</v>
      </c>
      <c r="E12" s="28" t="s">
        <v>2067</v>
      </c>
      <c r="F12" s="36" t="n">
        <v>0.0622</v>
      </c>
      <c r="G12" s="44" t="n">
        <f aca="false">IFERROR(VLOOKUP("房地产|7-二手房挂牌量变化",指标更新台账_v3!$A$2:$I$600,9,FALSE()),0)</f>
        <v>4</v>
      </c>
      <c r="H12" s="38" t="s">
        <v>2068</v>
      </c>
      <c r="I12" s="35" t="s">
        <v>2242</v>
      </c>
      <c r="J12" s="39" t="s">
        <v>2506</v>
      </c>
      <c r="K12" s="28" t="s">
        <v>2052</v>
      </c>
      <c r="L12" s="12" t="n">
        <v>0.08</v>
      </c>
      <c r="M12" s="6" t="s">
        <v>2082</v>
      </c>
      <c r="N12" s="6" t="s">
        <v>168</v>
      </c>
    </row>
    <row r="13" customFormat="false" ht="28.5" hidden="false" customHeight="true" outlineLevel="0" collapsed="false">
      <c r="A13" s="35" t="s">
        <v>2507</v>
      </c>
      <c r="B13" s="28" t="s">
        <v>105</v>
      </c>
      <c r="C13" s="35" t="s">
        <v>569</v>
      </c>
      <c r="D13" s="35" t="s">
        <v>85</v>
      </c>
      <c r="E13" s="28" t="s">
        <v>2062</v>
      </c>
      <c r="F13" s="36" t="n">
        <v>0.0778</v>
      </c>
      <c r="G13" s="44" t="n">
        <f aca="false">IFERROR(VLOOKUP("房地产|8-房地产新开工面积增速",指标更新台账_v3!$A$2:$I$600,9,FALSE()),0)</f>
        <v>4</v>
      </c>
      <c r="H13" s="38" t="s">
        <v>2491</v>
      </c>
      <c r="I13" s="35" t="s">
        <v>2498</v>
      </c>
      <c r="J13" s="39" t="s">
        <v>2508</v>
      </c>
      <c r="K13" s="28" t="s">
        <v>2052</v>
      </c>
      <c r="L13" s="12" t="n">
        <v>0.1</v>
      </c>
      <c r="M13" s="6" t="s">
        <v>2082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2509</v>
      </c>
      <c r="B15" s="28" t="s">
        <v>105</v>
      </c>
      <c r="C15" s="35" t="s">
        <v>228</v>
      </c>
      <c r="D15" s="35" t="s">
        <v>85</v>
      </c>
      <c r="E15" s="28" t="s">
        <v>2062</v>
      </c>
      <c r="F15" s="36" t="n">
        <v>0.06</v>
      </c>
      <c r="G15" s="44" t="n">
        <f aca="false">IFERROR(VLOOKUP("房地产|9-房地产竣工面积增速",指标更新台账_v3!$A$2:$I$600,9,FALSE()),0)</f>
        <v>4</v>
      </c>
      <c r="H15" s="38" t="s">
        <v>2149</v>
      </c>
      <c r="I15" s="35" t="s">
        <v>2424</v>
      </c>
      <c r="J15" s="39" t="s">
        <v>2510</v>
      </c>
      <c r="K15" s="28" t="s">
        <v>2052</v>
      </c>
      <c r="L15" s="12" t="n">
        <v>0.1</v>
      </c>
      <c r="M15" s="6" t="s">
        <v>2101</v>
      </c>
      <c r="N15" s="6" t="s">
        <v>88</v>
      </c>
    </row>
    <row r="16" customFormat="false" ht="28.5" hidden="false" customHeight="true" outlineLevel="0" collapsed="false">
      <c r="A16" s="35" t="s">
        <v>2511</v>
      </c>
      <c r="B16" s="28" t="s">
        <v>127</v>
      </c>
      <c r="C16" s="35" t="s">
        <v>574</v>
      </c>
      <c r="D16" s="28" t="s">
        <v>217</v>
      </c>
      <c r="E16" s="28" t="s">
        <v>2512</v>
      </c>
      <c r="F16" s="36" t="n">
        <v>0.048</v>
      </c>
      <c r="G16" s="46" t="n">
        <f aca="false">IFERROR(VLOOKUP("房地产|10-房企季度净利润",指标更新台账_v3!$A$2:$I$600,9,FALSE()),0)</f>
        <v>2</v>
      </c>
      <c r="H16" s="38" t="s">
        <v>2513</v>
      </c>
      <c r="I16" s="35" t="s">
        <v>2200</v>
      </c>
      <c r="J16" s="38" t="s">
        <v>2514</v>
      </c>
      <c r="K16" s="28" t="s">
        <v>2100</v>
      </c>
      <c r="L16" s="12" t="n">
        <v>0.08</v>
      </c>
      <c r="M16" s="6" t="s">
        <v>2101</v>
      </c>
      <c r="N16" s="6" t="s">
        <v>131</v>
      </c>
    </row>
    <row r="17" customFormat="false" ht="28.5" hidden="false" customHeight="true" outlineLevel="0" collapsed="false">
      <c r="A17" s="35" t="s">
        <v>2515</v>
      </c>
      <c r="B17" s="28" t="s">
        <v>105</v>
      </c>
      <c r="C17" s="35" t="s">
        <v>577</v>
      </c>
      <c r="D17" s="35" t="s">
        <v>85</v>
      </c>
      <c r="E17" s="28" t="s">
        <v>2062</v>
      </c>
      <c r="F17" s="36" t="n">
        <v>0.042</v>
      </c>
      <c r="G17" s="44" t="n">
        <f aca="false">IFERROR(VLOOKUP("房地产|11-房地产投资增速",指标更新台账_v3!$A$2:$I$600,9,FALSE()),0)</f>
        <v>4</v>
      </c>
      <c r="H17" s="38" t="s">
        <v>2191</v>
      </c>
      <c r="I17" s="35" t="s">
        <v>2492</v>
      </c>
      <c r="J17" s="39" t="s">
        <v>2516</v>
      </c>
      <c r="K17" s="28" t="s">
        <v>2052</v>
      </c>
      <c r="L17" s="12" t="n">
        <v>0.07</v>
      </c>
      <c r="M17" s="6" t="s">
        <v>2101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7" t="n">
        <f aca="false">ROUND(SUMPRODUCT(F5:F17,G5:G17),1)</f>
        <v>4.3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2517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2518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5.5</v>
      </c>
    </row>
    <row r="5" customFormat="false" ht="28.5" hidden="false" customHeight="true" outlineLevel="0" collapsed="false">
      <c r="A5" s="35" t="s">
        <v>2519</v>
      </c>
      <c r="B5" s="28" t="s">
        <v>105</v>
      </c>
      <c r="C5" s="35" t="s">
        <v>354</v>
      </c>
      <c r="D5" s="35" t="s">
        <v>85</v>
      </c>
      <c r="E5" s="28" t="s">
        <v>2067</v>
      </c>
      <c r="F5" s="36" t="n">
        <v>0.1333</v>
      </c>
      <c r="G5" s="37" t="n">
        <f aca="false">IFERROR(VLOOKUP("商贸零售|1-社会消费品零售总额增速",指标更新台账_v3!$A$2:$I$600,9,FALSE()),0)</f>
        <v>6</v>
      </c>
      <c r="H5" s="38" t="s">
        <v>2312</v>
      </c>
      <c r="I5" s="35" t="s">
        <v>2073</v>
      </c>
      <c r="J5" s="39" t="s">
        <v>2313</v>
      </c>
      <c r="K5" s="28" t="s">
        <v>2052</v>
      </c>
      <c r="L5" s="12" t="n">
        <v>0.15</v>
      </c>
      <c r="M5" s="6" t="s">
        <v>2211</v>
      </c>
      <c r="N5" s="6" t="s">
        <v>213</v>
      </c>
      <c r="O5" s="12" t="s">
        <v>108</v>
      </c>
      <c r="P5" s="12" t="n">
        <f aca="false">ROUND(SUMPRODUCT(F10:F13,G10:G13)/SUM(F10:F13),1)</f>
        <v>7.4</v>
      </c>
    </row>
    <row r="6" customFormat="false" ht="28.5" hidden="false" customHeight="true" outlineLevel="0" collapsed="false">
      <c r="A6" s="35" t="s">
        <v>2520</v>
      </c>
      <c r="B6" s="28" t="s">
        <v>105</v>
      </c>
      <c r="C6" s="35" t="s">
        <v>287</v>
      </c>
      <c r="D6" s="28" t="s">
        <v>120</v>
      </c>
      <c r="E6" s="28" t="s">
        <v>2062</v>
      </c>
      <c r="F6" s="36" t="n">
        <v>0.1067</v>
      </c>
      <c r="G6" s="44" t="n">
        <f aca="false">IFERROR(VLOOKUP("商贸零售|2-消费者信心指数",指标更新台账_v3!$A$2:$I$600,9,FALSE()),0)</f>
        <v>4</v>
      </c>
      <c r="H6" s="38" t="s">
        <v>2088</v>
      </c>
      <c r="I6" s="35" t="s">
        <v>2275</v>
      </c>
      <c r="J6" s="39" t="s">
        <v>2521</v>
      </c>
      <c r="K6" s="28" t="s">
        <v>2052</v>
      </c>
      <c r="L6" s="12" t="n">
        <v>0.12</v>
      </c>
      <c r="M6" s="6" t="s">
        <v>2211</v>
      </c>
      <c r="N6" s="6" t="s">
        <v>88</v>
      </c>
      <c r="O6" s="12" t="s">
        <v>125</v>
      </c>
      <c r="P6" s="12" t="n">
        <f aca="false">ROUND(SUMPRODUCT(F15:F17,G15:G17)/SUM(F15:F17),1)</f>
        <v>6.6</v>
      </c>
    </row>
    <row r="7" customFormat="false" ht="28.5" hidden="false" customHeight="true" outlineLevel="0" collapsed="false">
      <c r="A7" s="35" t="s">
        <v>2522</v>
      </c>
      <c r="B7" s="28" t="s">
        <v>105</v>
      </c>
      <c r="C7" s="35" t="s">
        <v>585</v>
      </c>
      <c r="D7" s="35" t="s">
        <v>85</v>
      </c>
      <c r="E7" s="28" t="s">
        <v>2067</v>
      </c>
      <c r="F7" s="36" t="n">
        <v>0.0889</v>
      </c>
      <c r="G7" s="37" t="n">
        <f aca="false">IFERROR(VLOOKUP("商贸零售|3-人均可支配收入增速",指标更新台账_v3!$A$2:$I$600,9,FALSE()),0)</f>
        <v>6</v>
      </c>
      <c r="H7" s="38" t="s">
        <v>2523</v>
      </c>
      <c r="I7" s="35" t="s">
        <v>2073</v>
      </c>
      <c r="J7" s="39" t="s">
        <v>2524</v>
      </c>
      <c r="K7" s="28" t="s">
        <v>2100</v>
      </c>
      <c r="L7" s="12" t="n">
        <v>0.1</v>
      </c>
      <c r="M7" s="6" t="s">
        <v>2211</v>
      </c>
      <c r="N7" s="6" t="s">
        <v>213</v>
      </c>
    </row>
    <row r="8" customFormat="false" ht="28.5" hidden="false" customHeight="true" outlineLevel="0" collapsed="false">
      <c r="A8" s="35" t="s">
        <v>2525</v>
      </c>
      <c r="B8" s="28" t="s">
        <v>588</v>
      </c>
      <c r="C8" s="35" t="s">
        <v>589</v>
      </c>
      <c r="D8" s="35" t="s">
        <v>129</v>
      </c>
      <c r="E8" s="28" t="s">
        <v>2067</v>
      </c>
      <c r="F8" s="36" t="n">
        <v>0.0711</v>
      </c>
      <c r="G8" s="37" t="n">
        <f aca="false">IFERROR(VLOOKUP("商贸零售|4-网购渗透率",指标更新台账_v3!$A$2:$I$600,9,FALSE()),0)</f>
        <v>6</v>
      </c>
      <c r="H8" s="38" t="s">
        <v>2526</v>
      </c>
      <c r="I8" s="35" t="s">
        <v>2080</v>
      </c>
      <c r="J8" s="39" t="s">
        <v>2527</v>
      </c>
      <c r="K8" s="28" t="s">
        <v>2100</v>
      </c>
      <c r="L8" s="12" t="n">
        <v>0.08</v>
      </c>
      <c r="M8" s="6" t="s">
        <v>2211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2528</v>
      </c>
      <c r="B10" s="28" t="s">
        <v>105</v>
      </c>
      <c r="C10" s="35" t="s">
        <v>171</v>
      </c>
      <c r="D10" s="35" t="s">
        <v>85</v>
      </c>
      <c r="E10" s="28" t="s">
        <v>2067</v>
      </c>
      <c r="F10" s="36" t="n">
        <v>0.12</v>
      </c>
      <c r="G10" s="40" t="n">
        <f aca="false">IFERROR(VLOOKUP("商贸零售|5-网上零售额增速",指标更新台账_v3!$A$2:$I$600,9,FALSE()),0)</f>
        <v>8</v>
      </c>
      <c r="H10" s="38" t="s">
        <v>2472</v>
      </c>
      <c r="I10" s="35" t="s">
        <v>2085</v>
      </c>
      <c r="J10" s="39" t="s">
        <v>2529</v>
      </c>
      <c r="K10" s="28" t="s">
        <v>2052</v>
      </c>
      <c r="L10" s="12" t="n">
        <v>0.12</v>
      </c>
      <c r="M10" s="6" t="s">
        <v>2211</v>
      </c>
      <c r="N10" s="6" t="s">
        <v>213</v>
      </c>
    </row>
    <row r="11" customFormat="false" ht="14.25" hidden="false" customHeight="true" outlineLevel="0" collapsed="false">
      <c r="A11" s="35" t="s">
        <v>2530</v>
      </c>
      <c r="B11" s="28" t="s">
        <v>105</v>
      </c>
      <c r="C11" s="35" t="s">
        <v>594</v>
      </c>
      <c r="D11" s="35" t="s">
        <v>85</v>
      </c>
      <c r="E11" s="28" t="s">
        <v>2067</v>
      </c>
      <c r="F11" s="36" t="n">
        <v>0.1</v>
      </c>
      <c r="G11" s="37" t="n">
        <f aca="false">IFERROR(VLOOKUP("商贸零售|6-限额以上零售企业收入",指标更新台账_v3!$A$2:$I$600,9,FALSE()),0)</f>
        <v>6</v>
      </c>
      <c r="H11" s="38" t="s">
        <v>2149</v>
      </c>
      <c r="I11" s="35" t="s">
        <v>2146</v>
      </c>
      <c r="J11" s="39" t="s">
        <v>2531</v>
      </c>
      <c r="K11" s="28" t="s">
        <v>2052</v>
      </c>
      <c r="L11" s="12" t="n">
        <v>0.1</v>
      </c>
      <c r="M11" s="6" t="s">
        <v>2211</v>
      </c>
      <c r="N11" s="6" t="s">
        <v>213</v>
      </c>
    </row>
    <row r="12" customFormat="false" ht="14.25" hidden="false" customHeight="true" outlineLevel="0" collapsed="false">
      <c r="A12" s="35" t="s">
        <v>2532</v>
      </c>
      <c r="B12" s="28" t="s">
        <v>588</v>
      </c>
      <c r="C12" s="35" t="s">
        <v>180</v>
      </c>
      <c r="D12" s="35" t="s">
        <v>85</v>
      </c>
      <c r="E12" s="28" t="s">
        <v>2067</v>
      </c>
      <c r="F12" s="36" t="n">
        <v>0.1</v>
      </c>
      <c r="G12" s="37" t="n">
        <f aca="false">IFERROR(VLOOKUP("商贸零售|7-超市/百货销售额增速",指标更新台账_v3!$A$2:$I$600,9,FALSE()),0)</f>
        <v>6</v>
      </c>
      <c r="H12" s="38" t="s">
        <v>2319</v>
      </c>
      <c r="I12" s="35" t="s">
        <v>2073</v>
      </c>
      <c r="J12" s="39" t="s">
        <v>2533</v>
      </c>
      <c r="K12" s="28" t="s">
        <v>2052</v>
      </c>
      <c r="L12" s="12" t="n">
        <v>0.1</v>
      </c>
      <c r="M12" s="6" t="s">
        <v>2211</v>
      </c>
      <c r="N12" s="6" t="s">
        <v>88</v>
      </c>
    </row>
    <row r="13" customFormat="false" ht="28.5" hidden="false" customHeight="true" outlineLevel="0" collapsed="false">
      <c r="A13" s="35" t="s">
        <v>2476</v>
      </c>
      <c r="B13" s="28" t="s">
        <v>535</v>
      </c>
      <c r="C13" s="35" t="s">
        <v>270</v>
      </c>
      <c r="D13" s="35" t="s">
        <v>85</v>
      </c>
      <c r="E13" s="28" t="s">
        <v>2067</v>
      </c>
      <c r="F13" s="36" t="n">
        <v>0.08</v>
      </c>
      <c r="G13" s="40" t="n">
        <f aca="false">IFERROR(VLOOKUP("商贸零售|8-快递业务量增速",指标更新台账_v3!$A$2:$I$600,9,FALSE()),0)</f>
        <v>10</v>
      </c>
      <c r="H13" s="38" t="s">
        <v>2326</v>
      </c>
      <c r="I13" s="35" t="s">
        <v>2229</v>
      </c>
      <c r="J13" s="39" t="s">
        <v>2534</v>
      </c>
      <c r="K13" s="28" t="s">
        <v>2052</v>
      </c>
      <c r="L13" s="12" t="n">
        <v>0.08</v>
      </c>
      <c r="M13" s="6" t="s">
        <v>2211</v>
      </c>
      <c r="N13" s="6" t="s">
        <v>213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2535</v>
      </c>
      <c r="B15" s="28" t="s">
        <v>127</v>
      </c>
      <c r="C15" s="35" t="s">
        <v>600</v>
      </c>
      <c r="D15" s="35" t="s">
        <v>129</v>
      </c>
      <c r="E15" s="28" t="s">
        <v>2067</v>
      </c>
      <c r="F15" s="36" t="n">
        <v>0.08</v>
      </c>
      <c r="G15" s="37" t="n">
        <f aca="false">IFERROR(VLOOKUP("商贸零售|9-零售企业季度净利润率",指标更新台账_v3!$A$2:$I$600,9,FALSE()),0)</f>
        <v>6</v>
      </c>
      <c r="H15" s="38" t="s">
        <v>2536</v>
      </c>
      <c r="I15" s="35" t="s">
        <v>2146</v>
      </c>
      <c r="J15" s="38" t="s">
        <v>2537</v>
      </c>
      <c r="K15" s="28" t="s">
        <v>2100</v>
      </c>
      <c r="L15" s="12" t="n">
        <v>0.1</v>
      </c>
      <c r="M15" s="6" t="s">
        <v>2296</v>
      </c>
      <c r="N15" s="6" t="s">
        <v>131</v>
      </c>
    </row>
    <row r="16" customFormat="false" ht="28.5" hidden="false" customHeight="true" outlineLevel="0" collapsed="false">
      <c r="A16" s="35" t="s">
        <v>2538</v>
      </c>
      <c r="B16" s="28" t="s">
        <v>127</v>
      </c>
      <c r="C16" s="35" t="s">
        <v>449</v>
      </c>
      <c r="D16" s="28" t="s">
        <v>167</v>
      </c>
      <c r="E16" s="28" t="s">
        <v>2062</v>
      </c>
      <c r="F16" s="36" t="n">
        <v>0.064</v>
      </c>
      <c r="G16" s="40" t="n">
        <f aca="false">IFERROR(VLOOKUP("商贸零售|10-零售行业库存周转天数",指标更新台账_v3!$A$2:$I$600,9,FALSE()),0)</f>
        <v>8</v>
      </c>
      <c r="H16" s="38" t="s">
        <v>2298</v>
      </c>
      <c r="I16" s="35" t="s">
        <v>2073</v>
      </c>
      <c r="J16" s="39" t="s">
        <v>2227</v>
      </c>
      <c r="K16" s="28" t="s">
        <v>2100</v>
      </c>
      <c r="L16" s="12" t="n">
        <v>0.08</v>
      </c>
      <c r="M16" s="6" t="s">
        <v>2296</v>
      </c>
      <c r="N16" s="6" t="s">
        <v>168</v>
      </c>
    </row>
    <row r="17" customFormat="false" ht="14.25" hidden="false" customHeight="true" outlineLevel="0" collapsed="false">
      <c r="A17" s="35" t="s">
        <v>2539</v>
      </c>
      <c r="B17" s="28" t="s">
        <v>105</v>
      </c>
      <c r="C17" s="35" t="s">
        <v>605</v>
      </c>
      <c r="D17" s="35" t="s">
        <v>129</v>
      </c>
      <c r="E17" s="28" t="s">
        <v>2067</v>
      </c>
      <c r="F17" s="36" t="n">
        <v>0.056</v>
      </c>
      <c r="G17" s="37" t="n">
        <f aca="false">IFERROR(VLOOKUP("商贸零售|11-CPI同比",指标更新台账_v3!$A$2:$I$600,9,FALSE()),0)</f>
        <v>6</v>
      </c>
      <c r="H17" s="38" t="s">
        <v>2333</v>
      </c>
      <c r="I17" s="35" t="s">
        <v>2064</v>
      </c>
      <c r="J17" s="39" t="s">
        <v>2540</v>
      </c>
      <c r="K17" s="28" t="s">
        <v>2052</v>
      </c>
      <c r="L17" s="12" t="n">
        <v>0.07</v>
      </c>
      <c r="M17" s="6" t="s">
        <v>2296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5" t="n">
        <f aca="false">ROUND(SUMPRODUCT(F5:F17,G5:G17),1)</f>
        <v>6.5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2541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2542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7.2</v>
      </c>
    </row>
    <row r="5" customFormat="false" ht="28.5" hidden="false" customHeight="true" outlineLevel="0" collapsed="false">
      <c r="A5" s="35" t="s">
        <v>2543</v>
      </c>
      <c r="B5" s="28" t="s">
        <v>105</v>
      </c>
      <c r="C5" s="35" t="s">
        <v>585</v>
      </c>
      <c r="D5" s="35" t="s">
        <v>85</v>
      </c>
      <c r="E5" s="28" t="s">
        <v>2067</v>
      </c>
      <c r="F5" s="36" t="n">
        <v>0.1333</v>
      </c>
      <c r="G5" s="37" t="n">
        <f aca="false">IFERROR(VLOOKUP("社会服务|1-居民可支配收入增速",指标更新台账_v3!$A$2:$I$600,9,FALSE()),0)</f>
        <v>6</v>
      </c>
      <c r="H5" s="38" t="s">
        <v>2523</v>
      </c>
      <c r="I5" s="35" t="s">
        <v>2073</v>
      </c>
      <c r="J5" s="39" t="s">
        <v>2524</v>
      </c>
      <c r="K5" s="28" t="s">
        <v>2100</v>
      </c>
      <c r="L5" s="12" t="n">
        <v>0.15</v>
      </c>
      <c r="M5" s="6" t="s">
        <v>2211</v>
      </c>
      <c r="N5" s="6" t="s">
        <v>213</v>
      </c>
      <c r="O5" s="12" t="s">
        <v>108</v>
      </c>
      <c r="P5" s="12" t="n">
        <f aca="false">ROUND(SUMPRODUCT(F10:F13,G10:G13)/SUM(F10:F13),1)</f>
        <v>7.6</v>
      </c>
    </row>
    <row r="6" customFormat="false" ht="28.5" hidden="false" customHeight="true" outlineLevel="0" collapsed="false">
      <c r="A6" s="35" t="s">
        <v>2544</v>
      </c>
      <c r="B6" s="28" t="s">
        <v>2545</v>
      </c>
      <c r="C6" s="35" t="s">
        <v>93</v>
      </c>
      <c r="D6" s="35" t="s">
        <v>85</v>
      </c>
      <c r="E6" s="28" t="s">
        <v>2067</v>
      </c>
      <c r="F6" s="36" t="n">
        <v>0.1067</v>
      </c>
      <c r="G6" s="40" t="n">
        <f aca="false">IFERROR(VLOOKUP("社会服务|2-节假日旅游预订量",指标更新台账_v3!$A$2:$I$600,9,FALSE()),0)</f>
        <v>9</v>
      </c>
      <c r="H6" s="38" t="s">
        <v>2241</v>
      </c>
      <c r="I6" s="35" t="s">
        <v>2058</v>
      </c>
      <c r="J6" s="39" t="s">
        <v>2546</v>
      </c>
      <c r="K6" s="28" t="s">
        <v>2547</v>
      </c>
      <c r="L6" s="12" t="n">
        <v>0.12</v>
      </c>
      <c r="M6" s="6" t="s">
        <v>2211</v>
      </c>
      <c r="N6" s="6" t="s">
        <v>88</v>
      </c>
      <c r="O6" s="12" t="s">
        <v>125</v>
      </c>
      <c r="P6" s="12" t="n">
        <f aca="false">ROUND(SUMPRODUCT(F15:F17,G15:G17)/SUM(F15:F17),1)</f>
        <v>5.4</v>
      </c>
    </row>
    <row r="7" customFormat="false" ht="28.5" hidden="false" customHeight="true" outlineLevel="0" collapsed="false">
      <c r="A7" s="35" t="s">
        <v>2548</v>
      </c>
      <c r="B7" s="28" t="s">
        <v>527</v>
      </c>
      <c r="C7" s="35" t="s">
        <v>194</v>
      </c>
      <c r="D7" s="35" t="s">
        <v>129</v>
      </c>
      <c r="E7" s="28" t="s">
        <v>2067</v>
      </c>
      <c r="F7" s="36" t="n">
        <v>0.0889</v>
      </c>
      <c r="G7" s="37" t="n">
        <f aca="false">IFERROR(VLOOKUP("社会服务|3-航空客座率",指标更新台账_v3!$A$2:$I$600,9,FALSE()),0)</f>
        <v>6</v>
      </c>
      <c r="H7" s="38" t="s">
        <v>2166</v>
      </c>
      <c r="I7" s="35" t="s">
        <v>2085</v>
      </c>
      <c r="J7" s="39" t="s">
        <v>2549</v>
      </c>
      <c r="K7" s="28" t="s">
        <v>2052</v>
      </c>
      <c r="L7" s="12" t="n">
        <v>0.1</v>
      </c>
      <c r="M7" s="6" t="s">
        <v>2211</v>
      </c>
      <c r="N7" s="6" t="s">
        <v>88</v>
      </c>
    </row>
    <row r="8" customFormat="false" ht="28.5" hidden="false" customHeight="true" outlineLevel="0" collapsed="false">
      <c r="A8" s="35" t="s">
        <v>2550</v>
      </c>
      <c r="B8" s="35" t="s">
        <v>616</v>
      </c>
      <c r="C8" s="35" t="s">
        <v>617</v>
      </c>
      <c r="D8" s="28" t="s">
        <v>618</v>
      </c>
      <c r="E8" s="28" t="s">
        <v>2067</v>
      </c>
      <c r="F8" s="36" t="n">
        <v>0.0711</v>
      </c>
      <c r="G8" s="40" t="n">
        <f aca="false">IFERROR(VLOOKUP("社会服务|4-酒店RevPAR",指标更新台账_v3!$A$2:$I$600,9,FALSE()),0)</f>
        <v>8</v>
      </c>
      <c r="H8" s="38" t="s">
        <v>2551</v>
      </c>
      <c r="I8" s="35" t="s">
        <v>2242</v>
      </c>
      <c r="J8" s="38" t="s">
        <v>2552</v>
      </c>
      <c r="K8" s="28" t="s">
        <v>2052</v>
      </c>
      <c r="L8" s="12" t="n">
        <v>0.08</v>
      </c>
      <c r="M8" s="6" t="s">
        <v>2211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2553</v>
      </c>
      <c r="B10" s="28" t="s">
        <v>621</v>
      </c>
      <c r="C10" s="35" t="s">
        <v>270</v>
      </c>
      <c r="D10" s="35" t="s">
        <v>85</v>
      </c>
      <c r="E10" s="28" t="s">
        <v>2067</v>
      </c>
      <c r="F10" s="36" t="n">
        <v>0.1395</v>
      </c>
      <c r="G10" s="40" t="n">
        <f aca="false">IFERROR(VLOOKUP("社会服务|5-国内旅游人次",指标更新台账_v3!$A$2:$I$600,9,FALSE()),0)</f>
        <v>8</v>
      </c>
      <c r="H10" s="38" t="s">
        <v>2234</v>
      </c>
      <c r="I10" s="35" t="s">
        <v>2223</v>
      </c>
      <c r="J10" s="39" t="s">
        <v>2554</v>
      </c>
      <c r="K10" s="28" t="s">
        <v>2100</v>
      </c>
      <c r="L10" s="12" t="n">
        <v>0.15</v>
      </c>
      <c r="M10" s="6" t="s">
        <v>2211</v>
      </c>
      <c r="N10" s="6" t="s">
        <v>88</v>
      </c>
    </row>
    <row r="11" customFormat="false" ht="14.25" hidden="false" customHeight="true" outlineLevel="0" collapsed="false">
      <c r="A11" s="35" t="s">
        <v>2555</v>
      </c>
      <c r="B11" s="28" t="s">
        <v>621</v>
      </c>
      <c r="C11" s="35" t="s">
        <v>624</v>
      </c>
      <c r="D11" s="35" t="s">
        <v>85</v>
      </c>
      <c r="E11" s="28" t="s">
        <v>2067</v>
      </c>
      <c r="F11" s="36" t="n">
        <v>0.093</v>
      </c>
      <c r="G11" s="40" t="n">
        <f aca="false">IFERROR(VLOOKUP("社会服务|6-国内旅游收入",指标更新台账_v3!$A$2:$I$600,9,FALSE()),0)</f>
        <v>8</v>
      </c>
      <c r="H11" s="38" t="s">
        <v>2234</v>
      </c>
      <c r="I11" s="35" t="s">
        <v>2229</v>
      </c>
      <c r="J11" s="39" t="s">
        <v>2556</v>
      </c>
      <c r="K11" s="28" t="s">
        <v>2100</v>
      </c>
      <c r="L11" s="12" t="n">
        <v>0.1</v>
      </c>
      <c r="M11" s="6" t="s">
        <v>2211</v>
      </c>
      <c r="N11" s="6" t="s">
        <v>213</v>
      </c>
    </row>
    <row r="12" customFormat="false" ht="28.5" hidden="false" customHeight="true" outlineLevel="0" collapsed="false">
      <c r="A12" s="35" t="s">
        <v>2557</v>
      </c>
      <c r="B12" s="28" t="s">
        <v>105</v>
      </c>
      <c r="C12" s="35" t="s">
        <v>177</v>
      </c>
      <c r="D12" s="35" t="s">
        <v>85</v>
      </c>
      <c r="E12" s="28" t="s">
        <v>2067</v>
      </c>
      <c r="F12" s="36" t="n">
        <v>0.093</v>
      </c>
      <c r="G12" s="40" t="n">
        <f aca="false">IFERROR(VLOOKUP("社会服务|7-餐饮收入增速",指标更新台账_v3!$A$2:$I$600,9,FALSE()),0)</f>
        <v>8</v>
      </c>
      <c r="H12" s="38" t="s">
        <v>2149</v>
      </c>
      <c r="I12" s="35" t="s">
        <v>2085</v>
      </c>
      <c r="J12" s="39" t="s">
        <v>2558</v>
      </c>
      <c r="K12" s="28" t="s">
        <v>2052</v>
      </c>
      <c r="L12" s="12" t="n">
        <v>0.1</v>
      </c>
      <c r="M12" s="6" t="s">
        <v>2211</v>
      </c>
      <c r="N12" s="6" t="s">
        <v>213</v>
      </c>
    </row>
    <row r="13" customFormat="false" ht="28.5" hidden="false" customHeight="true" outlineLevel="0" collapsed="false">
      <c r="A13" s="35" t="s">
        <v>2559</v>
      </c>
      <c r="B13" s="28" t="s">
        <v>2560</v>
      </c>
      <c r="C13" s="35" t="s">
        <v>338</v>
      </c>
      <c r="D13" s="28" t="s">
        <v>2561</v>
      </c>
      <c r="E13" s="28" t="s">
        <v>2067</v>
      </c>
      <c r="F13" s="36" t="n">
        <v>0.0744</v>
      </c>
      <c r="G13" s="37" t="n">
        <f aca="false">IFERROR(VLOOKUP("社会服务|8-电影票房收入",指标更新台账_v3!$A$2:$I$600,9,FALSE()),0)</f>
        <v>6</v>
      </c>
      <c r="H13" s="38" t="s">
        <v>2562</v>
      </c>
      <c r="I13" s="35" t="s">
        <v>2080</v>
      </c>
      <c r="J13" s="39" t="s">
        <v>2563</v>
      </c>
      <c r="K13" s="28" t="s">
        <v>2052</v>
      </c>
      <c r="L13" s="12" t="n">
        <v>0.08</v>
      </c>
      <c r="M13" s="6" t="s">
        <v>2211</v>
      </c>
      <c r="N13" s="6" t="s">
        <v>213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2564</v>
      </c>
      <c r="B15" s="28" t="s">
        <v>127</v>
      </c>
      <c r="C15" s="35" t="s">
        <v>633</v>
      </c>
      <c r="D15" s="28" t="s">
        <v>217</v>
      </c>
      <c r="E15" s="28" t="s">
        <v>2067</v>
      </c>
      <c r="F15" s="36" t="n">
        <v>0.08</v>
      </c>
      <c r="G15" s="37" t="n">
        <f aca="false">IFERROR(VLOOKUP("社会服务|9-社会服务企业季度净利润",指标更新台账_v3!$A$2:$I$600,9,FALSE()),0)</f>
        <v>6</v>
      </c>
      <c r="H15" s="38" t="s">
        <v>2565</v>
      </c>
      <c r="I15" s="35" t="s">
        <v>2080</v>
      </c>
      <c r="J15" s="38" t="s">
        <v>2566</v>
      </c>
      <c r="K15" s="28" t="s">
        <v>2100</v>
      </c>
      <c r="L15" s="12" t="n">
        <v>0.1</v>
      </c>
      <c r="M15" s="6" t="s">
        <v>2296</v>
      </c>
      <c r="N15" s="6" t="s">
        <v>131</v>
      </c>
    </row>
    <row r="16" customFormat="false" ht="28.5" hidden="false" customHeight="true" outlineLevel="0" collapsed="false">
      <c r="A16" s="35" t="s">
        <v>2567</v>
      </c>
      <c r="B16" s="28" t="s">
        <v>127</v>
      </c>
      <c r="C16" s="35" t="s">
        <v>259</v>
      </c>
      <c r="D16" s="35" t="s">
        <v>129</v>
      </c>
      <c r="E16" s="28" t="s">
        <v>2067</v>
      </c>
      <c r="F16" s="36" t="n">
        <v>0.064</v>
      </c>
      <c r="G16" s="37" t="n">
        <f aca="false">IFERROR(VLOOKUP("社会服务|10-社会服务行业毛利率",指标更新台账_v3!$A$2:$I$600,9,FALSE()),0)</f>
        <v>6</v>
      </c>
      <c r="H16" s="38" t="s">
        <v>2568</v>
      </c>
      <c r="I16" s="35" t="s">
        <v>2089</v>
      </c>
      <c r="J16" s="39" t="s">
        <v>2569</v>
      </c>
      <c r="K16" s="28" t="s">
        <v>2100</v>
      </c>
      <c r="L16" s="12" t="n">
        <v>0.08</v>
      </c>
      <c r="M16" s="6" t="s">
        <v>2296</v>
      </c>
      <c r="N16" s="6" t="s">
        <v>94</v>
      </c>
    </row>
    <row r="17" customFormat="false" ht="28.5" hidden="false" customHeight="true" outlineLevel="0" collapsed="false">
      <c r="A17" s="35" t="s">
        <v>2570</v>
      </c>
      <c r="B17" s="28" t="s">
        <v>105</v>
      </c>
      <c r="C17" s="35" t="s">
        <v>638</v>
      </c>
      <c r="D17" s="28" t="s">
        <v>120</v>
      </c>
      <c r="E17" s="28" t="s">
        <v>2062</v>
      </c>
      <c r="F17" s="36" t="n">
        <v>0.056</v>
      </c>
      <c r="G17" s="44" t="n">
        <f aca="false">IFERROR(VLOOKUP("社会服务|11-服务业PMI",指标更新台账_v3!$A$2:$I$600,9,FALSE()),0)</f>
        <v>4</v>
      </c>
      <c r="H17" s="38" t="s">
        <v>2571</v>
      </c>
      <c r="I17" s="35" t="s">
        <v>2064</v>
      </c>
      <c r="J17" s="39" t="s">
        <v>2572</v>
      </c>
      <c r="K17" s="28" t="s">
        <v>2052</v>
      </c>
      <c r="L17" s="12" t="n">
        <v>0.07</v>
      </c>
      <c r="M17" s="6" t="s">
        <v>2296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5" t="n">
        <f aca="false">ROUND(SUMPRODUCT(F5:F17,G5:G17),1)</f>
        <v>7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2573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2574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ROUND(SUMPRODUCT(F5:F7,G5:G7)/SUM(F5:F7),1)</f>
        <v>6.4</v>
      </c>
    </row>
    <row r="5" customFormat="false" ht="28.5" hidden="false" customHeight="true" outlineLevel="0" collapsed="false">
      <c r="A5" s="35" t="s">
        <v>2575</v>
      </c>
      <c r="B5" s="28" t="s">
        <v>105</v>
      </c>
      <c r="C5" s="35" t="s">
        <v>642</v>
      </c>
      <c r="D5" s="28" t="s">
        <v>120</v>
      </c>
      <c r="E5" s="28" t="s">
        <v>2067</v>
      </c>
      <c r="F5" s="36" t="n">
        <v>0.2</v>
      </c>
      <c r="G5" s="37" t="n">
        <f aca="false">IFERROR(VLOOKUP("综合|1-宏观经济景气指数",指标更新台账_v3!$A$2:$I$600,9,FALSE()),0)</f>
        <v>6</v>
      </c>
      <c r="H5" s="38" t="s">
        <v>2088</v>
      </c>
      <c r="I5" s="35" t="s">
        <v>2069</v>
      </c>
      <c r="J5" s="39" t="s">
        <v>2576</v>
      </c>
      <c r="K5" s="28" t="s">
        <v>2052</v>
      </c>
      <c r="L5" s="12" t="n">
        <v>0.2</v>
      </c>
      <c r="M5" s="6" t="s">
        <v>2197</v>
      </c>
      <c r="N5" s="6" t="s">
        <v>88</v>
      </c>
      <c r="O5" s="12" t="s">
        <v>108</v>
      </c>
      <c r="P5" s="12" t="n">
        <f aca="false">ROUND(SUMPRODUCT(F9:F11,G9:G11)/SUM(F9:F11),1)</f>
        <v>6.7</v>
      </c>
    </row>
    <row r="6" customFormat="false" ht="28.5" hidden="false" customHeight="true" outlineLevel="0" collapsed="false">
      <c r="A6" s="35" t="s">
        <v>2577</v>
      </c>
      <c r="B6" s="28" t="s">
        <v>105</v>
      </c>
      <c r="C6" s="35" t="s">
        <v>645</v>
      </c>
      <c r="D6" s="28" t="s">
        <v>120</v>
      </c>
      <c r="E6" s="28" t="s">
        <v>2067</v>
      </c>
      <c r="F6" s="36" t="n">
        <v>0.15</v>
      </c>
      <c r="G6" s="37" t="n">
        <f aca="false">IFERROR(VLOOKUP("综合|2-制造业PMI",指标更新台账_v3!$A$2:$I$600,9,FALSE()),0)</f>
        <v>6</v>
      </c>
      <c r="H6" s="38" t="s">
        <v>2578</v>
      </c>
      <c r="I6" s="35" t="s">
        <v>2069</v>
      </c>
      <c r="J6" s="38" t="s">
        <v>2579</v>
      </c>
      <c r="K6" s="28" t="s">
        <v>2052</v>
      </c>
      <c r="L6" s="12" t="n">
        <v>0.15</v>
      </c>
      <c r="M6" s="6" t="s">
        <v>2197</v>
      </c>
      <c r="N6" s="6" t="s">
        <v>88</v>
      </c>
      <c r="O6" s="12" t="s">
        <v>125</v>
      </c>
      <c r="P6" s="12" t="n">
        <f aca="false">ROUND(SUMPRODUCT(F13:F14,G13:G14)/SUM(F13:F14),1)</f>
        <v>7.2</v>
      </c>
    </row>
    <row r="7" customFormat="false" ht="28.5" hidden="false" customHeight="true" outlineLevel="0" collapsed="false">
      <c r="A7" s="35" t="s">
        <v>2580</v>
      </c>
      <c r="B7" s="28" t="s">
        <v>553</v>
      </c>
      <c r="C7" s="35" t="s">
        <v>648</v>
      </c>
      <c r="D7" s="28" t="s">
        <v>2581</v>
      </c>
      <c r="E7" s="28" t="s">
        <v>2067</v>
      </c>
      <c r="F7" s="36" t="n">
        <v>0.1</v>
      </c>
      <c r="G7" s="40" t="n">
        <f aca="false">IFERROR(VLOOKUP("综合|3-新增社融规模",指标更新台账_v3!$A$2:$I$600,9,FALSE()),0)</f>
        <v>8</v>
      </c>
      <c r="H7" s="38" t="s">
        <v>2582</v>
      </c>
      <c r="I7" s="35" t="s">
        <v>2089</v>
      </c>
      <c r="J7" s="39" t="s">
        <v>2583</v>
      </c>
      <c r="K7" s="28" t="s">
        <v>2052</v>
      </c>
      <c r="L7" s="12" t="n">
        <v>0.1</v>
      </c>
      <c r="M7" s="6" t="s">
        <v>2197</v>
      </c>
      <c r="N7" s="6" t="s">
        <v>88</v>
      </c>
    </row>
    <row r="8" customFormat="false" ht="13.5" hidden="false" customHeight="true" outlineLevel="0" collapsed="false">
      <c r="A8" s="34" t="s">
        <v>2076</v>
      </c>
      <c r="B8" s="34"/>
      <c r="C8" s="34"/>
      <c r="D8" s="34"/>
      <c r="E8" s="34"/>
      <c r="F8" s="34"/>
      <c r="G8" s="34"/>
      <c r="H8" s="34"/>
      <c r="I8" s="34"/>
      <c r="J8" s="34"/>
      <c r="K8" s="34"/>
    </row>
    <row r="9" customFormat="false" ht="28.5" hidden="false" customHeight="true" outlineLevel="0" collapsed="false">
      <c r="A9" s="35" t="s">
        <v>2584</v>
      </c>
      <c r="B9" s="28" t="s">
        <v>105</v>
      </c>
      <c r="C9" s="35" t="s">
        <v>354</v>
      </c>
      <c r="D9" s="35" t="s">
        <v>85</v>
      </c>
      <c r="E9" s="28" t="s">
        <v>2067</v>
      </c>
      <c r="F9" s="36" t="n">
        <v>0.1778</v>
      </c>
      <c r="G9" s="37" t="n">
        <f aca="false">IFERROR(VLOOKUP("综合|4-GDP增速",指标更新台账_v3!$A$2:$I$600,9,FALSE()),0)</f>
        <v>6</v>
      </c>
      <c r="H9" s="38" t="s">
        <v>2585</v>
      </c>
      <c r="I9" s="35" t="s">
        <v>2073</v>
      </c>
      <c r="J9" s="38" t="s">
        <v>2586</v>
      </c>
      <c r="K9" s="28" t="s">
        <v>2100</v>
      </c>
      <c r="L9" s="12" t="n">
        <v>0.2</v>
      </c>
      <c r="M9" s="6" t="s">
        <v>2211</v>
      </c>
      <c r="N9" s="6" t="s">
        <v>88</v>
      </c>
    </row>
    <row r="10" customFormat="false" ht="28.5" hidden="false" customHeight="true" outlineLevel="0" collapsed="false">
      <c r="A10" s="35" t="s">
        <v>2587</v>
      </c>
      <c r="B10" s="28" t="s">
        <v>105</v>
      </c>
      <c r="C10" s="35" t="s">
        <v>327</v>
      </c>
      <c r="D10" s="35" t="s">
        <v>85</v>
      </c>
      <c r="E10" s="28" t="s">
        <v>2067</v>
      </c>
      <c r="F10" s="36" t="n">
        <v>0.1333</v>
      </c>
      <c r="G10" s="40" t="n">
        <f aca="false">IFERROR(VLOOKUP("综合|5-工业增加值增速",指标更新台账_v3!$A$2:$I$600,9,FALSE()),0)</f>
        <v>8</v>
      </c>
      <c r="H10" s="38" t="s">
        <v>2585</v>
      </c>
      <c r="I10" s="35" t="s">
        <v>2089</v>
      </c>
      <c r="J10" s="39" t="s">
        <v>2588</v>
      </c>
      <c r="K10" s="28" t="s">
        <v>2052</v>
      </c>
      <c r="L10" s="12" t="n">
        <v>0.15</v>
      </c>
      <c r="M10" s="6" t="s">
        <v>2211</v>
      </c>
      <c r="N10" s="6" t="s">
        <v>88</v>
      </c>
    </row>
    <row r="11" customFormat="false" ht="28.5" hidden="false" customHeight="true" outlineLevel="0" collapsed="false">
      <c r="A11" s="35" t="s">
        <v>2589</v>
      </c>
      <c r="B11" s="28" t="s">
        <v>105</v>
      </c>
      <c r="C11" s="35" t="s">
        <v>594</v>
      </c>
      <c r="D11" s="35" t="s">
        <v>85</v>
      </c>
      <c r="E11" s="28" t="s">
        <v>2067</v>
      </c>
      <c r="F11" s="36" t="n">
        <v>0.0889</v>
      </c>
      <c r="G11" s="37" t="n">
        <f aca="false">IFERROR(VLOOKUP("综合|6-固定资产投资增速",指标更新台账_v3!$A$2:$I$600,9,FALSE()),0)</f>
        <v>6</v>
      </c>
      <c r="H11" s="38" t="s">
        <v>2312</v>
      </c>
      <c r="I11" s="35" t="s">
        <v>2073</v>
      </c>
      <c r="J11" s="39" t="s">
        <v>2590</v>
      </c>
      <c r="K11" s="28" t="s">
        <v>2052</v>
      </c>
      <c r="L11" s="12" t="n">
        <v>0.1</v>
      </c>
      <c r="M11" s="6" t="s">
        <v>2211</v>
      </c>
      <c r="N11" s="6" t="s">
        <v>88</v>
      </c>
    </row>
    <row r="12" customFormat="false" ht="13.5" hidden="false" customHeight="true" outlineLevel="0" collapsed="false">
      <c r="A12" s="34" t="s">
        <v>2096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customFormat="false" ht="28.5" hidden="false" customHeight="true" outlineLevel="0" collapsed="false">
      <c r="A13" s="35" t="s">
        <v>2591</v>
      </c>
      <c r="B13" s="28" t="s">
        <v>105</v>
      </c>
      <c r="C13" s="35" t="s">
        <v>177</v>
      </c>
      <c r="D13" s="35" t="s">
        <v>85</v>
      </c>
      <c r="E13" s="28" t="s">
        <v>2067</v>
      </c>
      <c r="F13" s="36" t="n">
        <v>0.09</v>
      </c>
      <c r="G13" s="40" t="n">
        <f aca="false">IFERROR(VLOOKUP("综合|7-企业盈利增速",指标更新台账_v3!$A$2:$I$600,9,FALSE()),0)</f>
        <v>8</v>
      </c>
      <c r="H13" s="38" t="s">
        <v>2149</v>
      </c>
      <c r="I13" s="35" t="s">
        <v>2089</v>
      </c>
      <c r="J13" s="39" t="s">
        <v>2592</v>
      </c>
      <c r="K13" s="28" t="s">
        <v>2052</v>
      </c>
      <c r="L13" s="12" t="n">
        <v>0.15</v>
      </c>
      <c r="M13" s="6" t="s">
        <v>2101</v>
      </c>
      <c r="N13" s="6" t="s">
        <v>88</v>
      </c>
    </row>
    <row r="14" customFormat="false" ht="28.5" hidden="false" customHeight="true" outlineLevel="0" collapsed="false">
      <c r="A14" s="35" t="s">
        <v>2593</v>
      </c>
      <c r="B14" s="28" t="s">
        <v>105</v>
      </c>
      <c r="C14" s="35" t="s">
        <v>660</v>
      </c>
      <c r="D14" s="35" t="s">
        <v>129</v>
      </c>
      <c r="E14" s="28" t="s">
        <v>2062</v>
      </c>
      <c r="F14" s="36" t="n">
        <v>0.06</v>
      </c>
      <c r="G14" s="37" t="n">
        <f aca="false">IFERROR(VLOOKUP("综合|8-失业率",指标更新台账_v3!$A$2:$I$600,9,FALSE()),0)</f>
        <v>6</v>
      </c>
      <c r="H14" s="38" t="s">
        <v>2594</v>
      </c>
      <c r="I14" s="35" t="s">
        <v>2080</v>
      </c>
      <c r="J14" s="39" t="s">
        <v>2595</v>
      </c>
      <c r="K14" s="28" t="s">
        <v>2052</v>
      </c>
      <c r="L14" s="12" t="n">
        <v>0.1</v>
      </c>
      <c r="M14" s="6" t="s">
        <v>2101</v>
      </c>
      <c r="N14" s="6" t="s">
        <v>88</v>
      </c>
    </row>
    <row r="15" customFormat="false" ht="17.25" hidden="false" customHeight="true" outlineLevel="0" collapsed="false">
      <c r="A15" s="41" t="s">
        <v>2108</v>
      </c>
      <c r="B15" s="41"/>
      <c r="C15" s="41"/>
      <c r="D15" s="41"/>
      <c r="E15" s="41"/>
      <c r="F15" s="41"/>
      <c r="G15" s="45" t="n">
        <f aca="false">ROUND(SUMPRODUCT(F5:F14,G5:G14),1)</f>
        <v>6.6</v>
      </c>
      <c r="H15" s="43" t="s">
        <v>2109</v>
      </c>
      <c r="I15" s="43"/>
      <c r="J15" s="43"/>
      <c r="K15" s="43"/>
    </row>
  </sheetData>
  <mergeCells count="7">
    <mergeCell ref="A1:K1"/>
    <mergeCell ref="A2:K2"/>
    <mergeCell ref="A4:K4"/>
    <mergeCell ref="A8:K8"/>
    <mergeCell ref="A12:K12"/>
    <mergeCell ref="A15:F15"/>
    <mergeCell ref="H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2596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2597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4.8</v>
      </c>
    </row>
    <row r="5" customFormat="false" ht="28.5" hidden="false" customHeight="true" outlineLevel="0" collapsed="false">
      <c r="A5" s="35" t="s">
        <v>2598</v>
      </c>
      <c r="B5" s="28" t="s">
        <v>664</v>
      </c>
      <c r="C5" s="35" t="s">
        <v>665</v>
      </c>
      <c r="D5" s="28" t="s">
        <v>2118</v>
      </c>
      <c r="E5" s="28" t="s">
        <v>2062</v>
      </c>
      <c r="F5" s="36" t="n">
        <v>0.15</v>
      </c>
      <c r="G5" s="44" t="n">
        <f aca="false">IFERROR(VLOOKUP("建筑材料|1-水泥熟料价格",指标更新台账_v3!$A$2:$I$600,9,FALSE()),0)</f>
        <v>4</v>
      </c>
      <c r="H5" s="38" t="s">
        <v>2551</v>
      </c>
      <c r="I5" s="35" t="s">
        <v>2375</v>
      </c>
      <c r="J5" s="39" t="s">
        <v>2599</v>
      </c>
      <c r="K5" s="28" t="s">
        <v>2060</v>
      </c>
      <c r="L5" s="12" t="n">
        <v>0.15</v>
      </c>
      <c r="M5" s="6" t="s">
        <v>2053</v>
      </c>
      <c r="N5" s="6" t="s">
        <v>94</v>
      </c>
      <c r="O5" s="12" t="s">
        <v>108</v>
      </c>
      <c r="P5" s="12" t="n">
        <f aca="false">ROUND(SUMPRODUCT(F10:F13,G10:G13)/SUM(F10:F13),1)</f>
        <v>4.9</v>
      </c>
    </row>
    <row r="6" customFormat="false" ht="28.5" hidden="false" customHeight="true" outlineLevel="0" collapsed="false">
      <c r="A6" s="35" t="s">
        <v>2600</v>
      </c>
      <c r="B6" s="28" t="s">
        <v>150</v>
      </c>
      <c r="C6" s="35" t="s">
        <v>668</v>
      </c>
      <c r="D6" s="28" t="s">
        <v>2118</v>
      </c>
      <c r="E6" s="28" t="s">
        <v>2062</v>
      </c>
      <c r="F6" s="36" t="n">
        <v>0.12</v>
      </c>
      <c r="G6" s="44" t="n">
        <f aca="false">IFERROR(VLOOKUP("建筑材料|2-玻璃原片价格",指标更新台账_v3!$A$2:$I$600,9,FALSE()),0)</f>
        <v>4</v>
      </c>
      <c r="H6" s="38" t="s">
        <v>2601</v>
      </c>
      <c r="I6" s="35" t="s">
        <v>2064</v>
      </c>
      <c r="J6" s="39" t="s">
        <v>2602</v>
      </c>
      <c r="K6" s="28" t="s">
        <v>2060</v>
      </c>
      <c r="L6" s="12" t="n">
        <v>0.12</v>
      </c>
      <c r="M6" s="6" t="s">
        <v>2053</v>
      </c>
      <c r="N6" s="6" t="s">
        <v>94</v>
      </c>
      <c r="O6" s="12" t="s">
        <v>125</v>
      </c>
      <c r="P6" s="12" t="n">
        <f aca="false">ROUND(SUMPRODUCT(F15:F17,G15:G17)/SUM(F15:F17),1)</f>
        <v>4</v>
      </c>
    </row>
    <row r="7" customFormat="false" ht="28.5" hidden="false" customHeight="true" outlineLevel="0" collapsed="false">
      <c r="A7" s="35" t="s">
        <v>2603</v>
      </c>
      <c r="B7" s="28" t="s">
        <v>105</v>
      </c>
      <c r="C7" s="35" t="s">
        <v>569</v>
      </c>
      <c r="D7" s="35" t="s">
        <v>85</v>
      </c>
      <c r="E7" s="28" t="s">
        <v>2062</v>
      </c>
      <c r="F7" s="36" t="n">
        <v>0.13</v>
      </c>
      <c r="G7" s="44" t="n">
        <f aca="false">IFERROR(VLOOKUP("建筑材料|3-房地产新开工面积增速",指标更新台账_v3!$A$2:$I$600,9,FALSE()),0)</f>
        <v>4</v>
      </c>
      <c r="H7" s="38" t="s">
        <v>2491</v>
      </c>
      <c r="I7" s="35" t="s">
        <v>2498</v>
      </c>
      <c r="J7" s="39" t="s">
        <v>2604</v>
      </c>
      <c r="K7" s="28" t="s">
        <v>2052</v>
      </c>
      <c r="L7" s="12" t="n">
        <v>0.13</v>
      </c>
      <c r="M7" s="6" t="s">
        <v>2053</v>
      </c>
      <c r="N7" s="6" t="s">
        <v>88</v>
      </c>
    </row>
    <row r="8" customFormat="false" ht="28.5" hidden="false" customHeight="true" outlineLevel="0" collapsed="false">
      <c r="A8" s="35" t="s">
        <v>2605</v>
      </c>
      <c r="B8" s="28" t="s">
        <v>105</v>
      </c>
      <c r="C8" s="35" t="s">
        <v>177</v>
      </c>
      <c r="D8" s="35" t="s">
        <v>85</v>
      </c>
      <c r="E8" s="28" t="s">
        <v>2067</v>
      </c>
      <c r="F8" s="36" t="n">
        <v>0.1</v>
      </c>
      <c r="G8" s="40" t="n">
        <f aca="false">IFERROR(VLOOKUP("建筑材料|4-基建投资增速",指标更新台账_v3!$A$2:$I$600,9,FALSE()),0)</f>
        <v>8</v>
      </c>
      <c r="H8" s="38" t="s">
        <v>2606</v>
      </c>
      <c r="I8" s="35" t="s">
        <v>2085</v>
      </c>
      <c r="J8" s="39" t="s">
        <v>2607</v>
      </c>
      <c r="K8" s="28" t="s">
        <v>2052</v>
      </c>
      <c r="L8" s="12" t="n">
        <v>0.1</v>
      </c>
      <c r="M8" s="6" t="s">
        <v>2053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2608</v>
      </c>
      <c r="B10" s="28" t="s">
        <v>664</v>
      </c>
      <c r="C10" s="35" t="s">
        <v>477</v>
      </c>
      <c r="D10" s="35" t="s">
        <v>85</v>
      </c>
      <c r="E10" s="28" t="s">
        <v>2062</v>
      </c>
      <c r="F10" s="36" t="n">
        <v>0.105</v>
      </c>
      <c r="G10" s="44" t="n">
        <f aca="false">IFERROR(VLOOKUP("建筑材料|5-水泥出货量",指标更新台账_v3!$A$2:$I$600,9,FALSE()),0)</f>
        <v>4</v>
      </c>
      <c r="H10" s="38" t="s">
        <v>2191</v>
      </c>
      <c r="I10" s="35" t="s">
        <v>2424</v>
      </c>
      <c r="J10" s="39" t="s">
        <v>2609</v>
      </c>
      <c r="K10" s="28" t="s">
        <v>2052</v>
      </c>
      <c r="L10" s="12" t="n">
        <v>0.12</v>
      </c>
      <c r="M10" s="6" t="s">
        <v>2082</v>
      </c>
      <c r="N10" s="6" t="s">
        <v>213</v>
      </c>
    </row>
    <row r="11" customFormat="false" ht="28.5" hidden="false" customHeight="true" outlineLevel="0" collapsed="false">
      <c r="A11" s="35" t="s">
        <v>2610</v>
      </c>
      <c r="B11" s="28" t="s">
        <v>150</v>
      </c>
      <c r="C11" s="35" t="s">
        <v>677</v>
      </c>
      <c r="D11" s="28" t="s">
        <v>167</v>
      </c>
      <c r="E11" s="28" t="s">
        <v>2067</v>
      </c>
      <c r="F11" s="36" t="n">
        <v>0.0875</v>
      </c>
      <c r="G11" s="37" t="n">
        <f aca="false">IFERROR(VLOOKUP("建筑材料|6-玻璃库存天数",指标更新台账_v3!$A$2:$I$600,9,FALSE()),0)</f>
        <v>6</v>
      </c>
      <c r="H11" s="38" t="s">
        <v>2138</v>
      </c>
      <c r="I11" s="35" t="s">
        <v>2080</v>
      </c>
      <c r="J11" s="39" t="s">
        <v>2611</v>
      </c>
      <c r="K11" s="28" t="s">
        <v>2060</v>
      </c>
      <c r="L11" s="12" t="n">
        <v>0.1</v>
      </c>
      <c r="M11" s="6" t="s">
        <v>2082</v>
      </c>
      <c r="N11" s="6" t="s">
        <v>168</v>
      </c>
    </row>
    <row r="12" customFormat="false" ht="28.5" hidden="false" customHeight="true" outlineLevel="0" collapsed="false">
      <c r="A12" s="35" t="s">
        <v>2612</v>
      </c>
      <c r="B12" s="28" t="s">
        <v>664</v>
      </c>
      <c r="C12" s="35" t="s">
        <v>680</v>
      </c>
      <c r="D12" s="35" t="s">
        <v>129</v>
      </c>
      <c r="E12" s="28" t="s">
        <v>2062</v>
      </c>
      <c r="F12" s="36" t="n">
        <v>0.0875</v>
      </c>
      <c r="G12" s="44" t="n">
        <f aca="false">IFERROR(VLOOKUP("建筑材料|7-水泥磨机开工率",指标更新台账_v3!$A$2:$I$600,9,FALSE()),0)</f>
        <v>4</v>
      </c>
      <c r="H12" s="38" t="s">
        <v>2613</v>
      </c>
      <c r="I12" s="35" t="s">
        <v>2064</v>
      </c>
      <c r="J12" s="39" t="s">
        <v>2614</v>
      </c>
      <c r="K12" s="28" t="s">
        <v>2060</v>
      </c>
      <c r="L12" s="12" t="n">
        <v>0.1</v>
      </c>
      <c r="M12" s="6" t="s">
        <v>2082</v>
      </c>
      <c r="N12" s="6" t="s">
        <v>88</v>
      </c>
    </row>
    <row r="13" customFormat="false" ht="14.25" hidden="false" customHeight="true" outlineLevel="0" collapsed="false">
      <c r="A13" s="35" t="s">
        <v>2615</v>
      </c>
      <c r="B13" s="28" t="s">
        <v>101</v>
      </c>
      <c r="C13" s="35" t="s">
        <v>524</v>
      </c>
      <c r="D13" s="35" t="s">
        <v>85</v>
      </c>
      <c r="E13" s="28" t="s">
        <v>2067</v>
      </c>
      <c r="F13" s="36" t="n">
        <v>0.07</v>
      </c>
      <c r="G13" s="37" t="n">
        <f aca="false">IFERROR(VLOOKUP("建筑材料|8-建材出口金额增速",指标更新台账_v3!$A$2:$I$600,9,FALSE()),0)</f>
        <v>6</v>
      </c>
      <c r="H13" s="38" t="s">
        <v>2149</v>
      </c>
      <c r="I13" s="35" t="s">
        <v>2069</v>
      </c>
      <c r="J13" s="39" t="s">
        <v>2616</v>
      </c>
      <c r="K13" s="28" t="s">
        <v>2052</v>
      </c>
      <c r="L13" s="12" t="n">
        <v>0.08</v>
      </c>
      <c r="M13" s="6" t="s">
        <v>2082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2617</v>
      </c>
      <c r="B15" s="28" t="s">
        <v>127</v>
      </c>
      <c r="C15" s="35" t="s">
        <v>685</v>
      </c>
      <c r="D15" s="28" t="s">
        <v>217</v>
      </c>
      <c r="E15" s="28" t="s">
        <v>2062</v>
      </c>
      <c r="F15" s="36" t="n">
        <v>0.06</v>
      </c>
      <c r="G15" s="44" t="n">
        <f aca="false">IFERROR(VLOOKUP("建筑材料|9-建材企业季度净利润",指标更新台账_v3!$A$2:$I$600,9,FALSE()),0)</f>
        <v>4</v>
      </c>
      <c r="H15" s="38" t="s">
        <v>2186</v>
      </c>
      <c r="I15" s="35" t="s">
        <v>2275</v>
      </c>
      <c r="J15" s="38" t="s">
        <v>2618</v>
      </c>
      <c r="K15" s="28" t="s">
        <v>2100</v>
      </c>
      <c r="L15" s="12" t="n">
        <v>0.1</v>
      </c>
      <c r="M15" s="6" t="s">
        <v>2101</v>
      </c>
      <c r="N15" s="6" t="s">
        <v>131</v>
      </c>
    </row>
    <row r="16" customFormat="false" ht="28.5" hidden="false" customHeight="true" outlineLevel="0" collapsed="false">
      <c r="A16" s="35" t="s">
        <v>2619</v>
      </c>
      <c r="B16" s="28" t="s">
        <v>105</v>
      </c>
      <c r="C16" s="35" t="s">
        <v>408</v>
      </c>
      <c r="D16" s="35" t="s">
        <v>129</v>
      </c>
      <c r="E16" s="28" t="s">
        <v>2062</v>
      </c>
      <c r="F16" s="36" t="n">
        <v>0.048</v>
      </c>
      <c r="G16" s="44" t="n">
        <f aca="false">IFERROR(VLOOKUP("建筑材料|10-建材行业产能利用率",指标更新台账_v3!$A$2:$I$600,9,FALSE()),0)</f>
        <v>4</v>
      </c>
      <c r="H16" s="38" t="s">
        <v>2123</v>
      </c>
      <c r="I16" s="35" t="s">
        <v>2375</v>
      </c>
      <c r="J16" s="39" t="s">
        <v>2620</v>
      </c>
      <c r="K16" s="28" t="s">
        <v>2100</v>
      </c>
      <c r="L16" s="12" t="n">
        <v>0.08</v>
      </c>
      <c r="M16" s="6" t="s">
        <v>2101</v>
      </c>
      <c r="N16" s="6" t="s">
        <v>131</v>
      </c>
    </row>
    <row r="17" customFormat="false" ht="28.5" hidden="false" customHeight="true" outlineLevel="0" collapsed="false">
      <c r="A17" s="35" t="s">
        <v>2621</v>
      </c>
      <c r="B17" s="28" t="s">
        <v>105</v>
      </c>
      <c r="C17" s="35" t="s">
        <v>690</v>
      </c>
      <c r="D17" s="35" t="s">
        <v>129</v>
      </c>
      <c r="E17" s="28" t="s">
        <v>2062</v>
      </c>
      <c r="F17" s="36" t="n">
        <v>0.042</v>
      </c>
      <c r="G17" s="44" t="n">
        <f aca="false">IFERROR(VLOOKUP("建筑材料|11-PPI建材类同比",指标更新台账_v3!$A$2:$I$600,9,FALSE()),0)</f>
        <v>4</v>
      </c>
      <c r="H17" s="38" t="s">
        <v>2152</v>
      </c>
      <c r="I17" s="35" t="s">
        <v>2170</v>
      </c>
      <c r="J17" s="39" t="s">
        <v>2622</v>
      </c>
      <c r="K17" s="28" t="s">
        <v>2052</v>
      </c>
      <c r="L17" s="12" t="n">
        <v>0.07</v>
      </c>
      <c r="M17" s="6" t="s">
        <v>2101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7" t="n">
        <f aca="false">ROUND(SUMPRODUCT(F5:F17,G5:G17),1)</f>
        <v>4.7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2623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2624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7.1</v>
      </c>
    </row>
    <row r="5" customFormat="false" ht="28.5" hidden="false" customHeight="true" outlineLevel="0" collapsed="false">
      <c r="A5" s="35" t="s">
        <v>2625</v>
      </c>
      <c r="B5" s="28" t="s">
        <v>2626</v>
      </c>
      <c r="C5" s="35" t="s">
        <v>677</v>
      </c>
      <c r="D5" s="28" t="s">
        <v>695</v>
      </c>
      <c r="E5" s="28" t="s">
        <v>2433</v>
      </c>
      <c r="F5" s="36" t="n">
        <v>0.15</v>
      </c>
      <c r="G5" s="40" t="n">
        <f aca="false">IFERROR(VLOOKUP("建筑装饰|1-基建投资计划",指标更新台账_v3!$A$2:$I$600,9,FALSE()),0)</f>
        <v>8</v>
      </c>
      <c r="H5" s="38" t="s">
        <v>2627</v>
      </c>
      <c r="I5" s="35" t="s">
        <v>2229</v>
      </c>
      <c r="J5" s="39" t="s">
        <v>2628</v>
      </c>
      <c r="K5" s="28" t="s">
        <v>2075</v>
      </c>
      <c r="L5" s="12" t="n">
        <v>0.15</v>
      </c>
      <c r="M5" s="6" t="s">
        <v>2197</v>
      </c>
      <c r="N5" s="6" t="s">
        <v>88</v>
      </c>
      <c r="O5" s="12" t="s">
        <v>108</v>
      </c>
      <c r="P5" s="12" t="n">
        <f aca="false">ROUND(SUMPRODUCT(F10:F13,G10:G13)/SUM(F10:F13),1)</f>
        <v>5.3</v>
      </c>
    </row>
    <row r="6" customFormat="false" ht="28.5" hidden="false" customHeight="true" outlineLevel="0" collapsed="false">
      <c r="A6" s="35" t="s">
        <v>2629</v>
      </c>
      <c r="B6" s="28" t="s">
        <v>698</v>
      </c>
      <c r="C6" s="35" t="s">
        <v>699</v>
      </c>
      <c r="D6" s="28" t="s">
        <v>2581</v>
      </c>
      <c r="E6" s="28" t="s">
        <v>2433</v>
      </c>
      <c r="F6" s="36" t="n">
        <v>0.12</v>
      </c>
      <c r="G6" s="40" t="n">
        <f aca="false">IFERROR(VLOOKUP("建筑装饰|2-专项债发行规模",指标更新台账_v3!$A$2:$I$600,9,FALSE()),0)</f>
        <v>8</v>
      </c>
      <c r="H6" s="38" t="s">
        <v>2582</v>
      </c>
      <c r="I6" s="35" t="s">
        <v>2223</v>
      </c>
      <c r="J6" s="39" t="s">
        <v>2630</v>
      </c>
      <c r="K6" s="28" t="s">
        <v>2052</v>
      </c>
      <c r="L6" s="12" t="n">
        <v>0.12</v>
      </c>
      <c r="M6" s="6" t="s">
        <v>2197</v>
      </c>
      <c r="N6" s="6" t="s">
        <v>88</v>
      </c>
      <c r="O6" s="12" t="s">
        <v>125</v>
      </c>
      <c r="P6" s="12" t="n">
        <f aca="false">ROUND(SUMPRODUCT(F15:F17,G15:G17)/SUM(F15:F17),1)</f>
        <v>6</v>
      </c>
    </row>
    <row r="7" customFormat="false" ht="28.5" hidden="false" customHeight="true" outlineLevel="0" collapsed="false">
      <c r="A7" s="35" t="s">
        <v>2603</v>
      </c>
      <c r="B7" s="28" t="s">
        <v>105</v>
      </c>
      <c r="C7" s="35" t="s">
        <v>569</v>
      </c>
      <c r="D7" s="35" t="s">
        <v>85</v>
      </c>
      <c r="E7" s="28" t="s">
        <v>2062</v>
      </c>
      <c r="F7" s="36" t="n">
        <v>0.1</v>
      </c>
      <c r="G7" s="44" t="n">
        <f aca="false">IFERROR(VLOOKUP("建筑装饰|3-房地产新开工面积增速",指标更新台账_v3!$A$2:$I$600,9,FALSE()),0)</f>
        <v>4</v>
      </c>
      <c r="H7" s="38" t="s">
        <v>2491</v>
      </c>
      <c r="I7" s="35" t="s">
        <v>2498</v>
      </c>
      <c r="J7" s="39" t="s">
        <v>2631</v>
      </c>
      <c r="K7" s="28" t="s">
        <v>2052</v>
      </c>
      <c r="L7" s="12" t="n">
        <v>0.1</v>
      </c>
      <c r="M7" s="6" t="s">
        <v>2197</v>
      </c>
      <c r="N7" s="6" t="s">
        <v>88</v>
      </c>
    </row>
    <row r="8" customFormat="false" ht="28.5" hidden="false" customHeight="true" outlineLevel="0" collapsed="false">
      <c r="A8" s="35" t="s">
        <v>2632</v>
      </c>
      <c r="B8" s="28" t="s">
        <v>201</v>
      </c>
      <c r="C8" s="35" t="s">
        <v>98</v>
      </c>
      <c r="D8" s="35" t="s">
        <v>85</v>
      </c>
      <c r="E8" s="28" t="s">
        <v>2062</v>
      </c>
      <c r="F8" s="36" t="n">
        <v>0.08</v>
      </c>
      <c r="G8" s="40" t="n">
        <f aca="false">IFERROR(VLOOKUP("建筑装饰|4-钢材价格变化",指标更新台账_v3!$A$2:$I$600,9,FALSE()),0)</f>
        <v>8</v>
      </c>
      <c r="H8" s="38" t="s">
        <v>2068</v>
      </c>
      <c r="I8" s="35" t="s">
        <v>2106</v>
      </c>
      <c r="J8" s="39" t="s">
        <v>2633</v>
      </c>
      <c r="K8" s="28" t="s">
        <v>2060</v>
      </c>
      <c r="L8" s="12" t="n">
        <v>0.08</v>
      </c>
      <c r="M8" s="6" t="s">
        <v>2197</v>
      </c>
      <c r="N8" s="6" t="s">
        <v>94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2634</v>
      </c>
      <c r="B10" s="28" t="s">
        <v>105</v>
      </c>
      <c r="C10" s="35" t="s">
        <v>705</v>
      </c>
      <c r="D10" s="28" t="s">
        <v>120</v>
      </c>
      <c r="E10" s="28" t="s">
        <v>2062</v>
      </c>
      <c r="F10" s="36" t="n">
        <v>0.1167</v>
      </c>
      <c r="G10" s="44" t="n">
        <f aca="false">IFERROR(VLOOKUP("建筑装饰|5-建筑业PMI",指标更新台账_v3!$A$2:$I$600,9,FALSE()),0)</f>
        <v>4</v>
      </c>
      <c r="H10" s="38" t="s">
        <v>2635</v>
      </c>
      <c r="I10" s="35" t="s">
        <v>2064</v>
      </c>
      <c r="J10" s="39" t="s">
        <v>2636</v>
      </c>
      <c r="K10" s="28" t="s">
        <v>2052</v>
      </c>
      <c r="L10" s="12" t="n">
        <v>0.15</v>
      </c>
      <c r="M10" s="6" t="s">
        <v>2082</v>
      </c>
      <c r="N10" s="6" t="s">
        <v>88</v>
      </c>
    </row>
    <row r="11" customFormat="false" ht="28.5" hidden="false" customHeight="true" outlineLevel="0" collapsed="false">
      <c r="A11" s="35" t="s">
        <v>2637</v>
      </c>
      <c r="B11" s="28" t="s">
        <v>105</v>
      </c>
      <c r="C11" s="35" t="s">
        <v>155</v>
      </c>
      <c r="D11" s="35" t="s">
        <v>85</v>
      </c>
      <c r="E11" s="28" t="s">
        <v>2067</v>
      </c>
      <c r="F11" s="36" t="n">
        <v>0.0933</v>
      </c>
      <c r="G11" s="37" t="n">
        <f aca="false">IFERROR(VLOOKUP("建筑装饰|6-建筑业新签合同额增速",指标更新台账_v3!$A$2:$I$600,9,FALSE()),0)</f>
        <v>6</v>
      </c>
      <c r="H11" s="38" t="s">
        <v>2149</v>
      </c>
      <c r="I11" s="35" t="s">
        <v>2073</v>
      </c>
      <c r="J11" s="39" t="s">
        <v>2638</v>
      </c>
      <c r="K11" s="28" t="s">
        <v>2052</v>
      </c>
      <c r="L11" s="12" t="n">
        <v>0.12</v>
      </c>
      <c r="M11" s="6" t="s">
        <v>2082</v>
      </c>
      <c r="N11" s="6" t="s">
        <v>88</v>
      </c>
    </row>
    <row r="12" customFormat="false" ht="28.5" hidden="false" customHeight="true" outlineLevel="0" collapsed="false">
      <c r="A12" s="35" t="s">
        <v>2639</v>
      </c>
      <c r="B12" s="28" t="s">
        <v>105</v>
      </c>
      <c r="C12" s="35" t="s">
        <v>330</v>
      </c>
      <c r="D12" s="35" t="s">
        <v>85</v>
      </c>
      <c r="E12" s="28" t="s">
        <v>2067</v>
      </c>
      <c r="F12" s="36" t="n">
        <v>0.0778</v>
      </c>
      <c r="G12" s="37" t="n">
        <f aca="false">IFERROR(VLOOKUP("建筑装饰|7-建筑业总产值增速",指标更新台账_v3!$A$2:$I$600,9,FALSE()),0)</f>
        <v>6</v>
      </c>
      <c r="H12" s="38" t="s">
        <v>2312</v>
      </c>
      <c r="I12" s="35" t="s">
        <v>2073</v>
      </c>
      <c r="J12" s="39" t="s">
        <v>2640</v>
      </c>
      <c r="K12" s="28" t="s">
        <v>2052</v>
      </c>
      <c r="L12" s="12" t="n">
        <v>0.1</v>
      </c>
      <c r="M12" s="6" t="s">
        <v>2082</v>
      </c>
      <c r="N12" s="6" t="s">
        <v>88</v>
      </c>
    </row>
    <row r="13" customFormat="false" ht="28.5" hidden="false" customHeight="true" outlineLevel="0" collapsed="false">
      <c r="A13" s="35" t="s">
        <v>2641</v>
      </c>
      <c r="B13" s="28" t="s">
        <v>127</v>
      </c>
      <c r="C13" s="35" t="s">
        <v>712</v>
      </c>
      <c r="D13" s="28" t="s">
        <v>713</v>
      </c>
      <c r="E13" s="28" t="s">
        <v>2062</v>
      </c>
      <c r="F13" s="36" t="n">
        <v>0.0622</v>
      </c>
      <c r="G13" s="37" t="n">
        <f aca="false">IFERROR(VLOOKUP("建筑装饰|8-建筑企业订单保障倍数",指标更新台账_v3!$A$2:$I$600,9,FALSE()),0)</f>
        <v>6</v>
      </c>
      <c r="H13" s="38" t="s">
        <v>2642</v>
      </c>
      <c r="I13" s="35" t="s">
        <v>2050</v>
      </c>
      <c r="J13" s="39" t="s">
        <v>2643</v>
      </c>
      <c r="K13" s="28" t="s">
        <v>2100</v>
      </c>
      <c r="L13" s="12" t="n">
        <v>0.08</v>
      </c>
      <c r="M13" s="6" t="s">
        <v>2082</v>
      </c>
      <c r="N13" s="6" t="s">
        <v>279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2644</v>
      </c>
      <c r="B15" s="28" t="s">
        <v>127</v>
      </c>
      <c r="C15" s="35" t="s">
        <v>449</v>
      </c>
      <c r="D15" s="28" t="s">
        <v>217</v>
      </c>
      <c r="E15" s="28" t="s">
        <v>2062</v>
      </c>
      <c r="F15" s="36" t="n">
        <v>0.08</v>
      </c>
      <c r="G15" s="37" t="n">
        <f aca="false">IFERROR(VLOOKUP("建筑装饰|9-建筑企业季度净利润",指标更新台账_v3!$A$2:$I$600,9,FALSE()),0)</f>
        <v>6</v>
      </c>
      <c r="H15" s="38" t="s">
        <v>2513</v>
      </c>
      <c r="I15" s="35" t="s">
        <v>2106</v>
      </c>
      <c r="J15" s="38" t="s">
        <v>2645</v>
      </c>
      <c r="K15" s="28" t="s">
        <v>2100</v>
      </c>
      <c r="L15" s="12" t="n">
        <v>0.1</v>
      </c>
      <c r="M15" s="6" t="s">
        <v>2296</v>
      </c>
      <c r="N15" s="6" t="s">
        <v>131</v>
      </c>
    </row>
    <row r="16" customFormat="false" ht="28.5" hidden="false" customHeight="true" outlineLevel="0" collapsed="false">
      <c r="A16" s="35" t="s">
        <v>2646</v>
      </c>
      <c r="B16" s="28" t="s">
        <v>127</v>
      </c>
      <c r="C16" s="35" t="s">
        <v>402</v>
      </c>
      <c r="D16" s="35" t="s">
        <v>129</v>
      </c>
      <c r="E16" s="28" t="s">
        <v>2067</v>
      </c>
      <c r="F16" s="36" t="n">
        <v>0.064</v>
      </c>
      <c r="G16" s="37" t="n">
        <f aca="false">IFERROR(VLOOKUP("建筑装饰|10-建筑行业资产负债率",指标更新台账_v3!$A$2:$I$600,9,FALSE()),0)</f>
        <v>6</v>
      </c>
      <c r="H16" s="38" t="s">
        <v>2647</v>
      </c>
      <c r="I16" s="35" t="s">
        <v>2089</v>
      </c>
      <c r="J16" s="39" t="s">
        <v>2648</v>
      </c>
      <c r="K16" s="28" t="s">
        <v>2100</v>
      </c>
      <c r="L16" s="12" t="n">
        <v>0.08</v>
      </c>
      <c r="M16" s="6" t="s">
        <v>2296</v>
      </c>
      <c r="N16" s="6" t="s">
        <v>168</v>
      </c>
    </row>
    <row r="17" customFormat="false" ht="28.5" hidden="false" customHeight="true" outlineLevel="0" collapsed="false">
      <c r="A17" s="35" t="s">
        <v>2649</v>
      </c>
      <c r="B17" s="28" t="s">
        <v>127</v>
      </c>
      <c r="C17" s="35" t="s">
        <v>720</v>
      </c>
      <c r="D17" s="28" t="s">
        <v>167</v>
      </c>
      <c r="E17" s="28" t="s">
        <v>2067</v>
      </c>
      <c r="F17" s="36" t="n">
        <v>0.056</v>
      </c>
      <c r="G17" s="37" t="n">
        <f aca="false">IFERROR(VLOOKUP("建筑装饰|11-建筑行业应收账款周转",指标更新台账_v3!$A$2:$I$600,9,FALSE()),0)</f>
        <v>6</v>
      </c>
      <c r="H17" s="38" t="s">
        <v>2650</v>
      </c>
      <c r="I17" s="35" t="s">
        <v>2080</v>
      </c>
      <c r="J17" s="39" t="s">
        <v>2651</v>
      </c>
      <c r="K17" s="28" t="s">
        <v>2100</v>
      </c>
      <c r="L17" s="12" t="n">
        <v>0.07</v>
      </c>
      <c r="M17" s="6" t="s">
        <v>2296</v>
      </c>
      <c r="N17" s="6" t="s">
        <v>168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5" t="n">
        <f aca="false">ROUND(SUMPRODUCT(F5:F17,G5:G17),1)</f>
        <v>6.3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2652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2653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ROUND(SUMPRODUCT(F5:F9,G5:G9)/SUM(F5:F9),1)</f>
        <v>8.8</v>
      </c>
    </row>
    <row r="5" customFormat="false" ht="28.5" hidden="false" customHeight="true" outlineLevel="0" collapsed="false">
      <c r="A5" s="35" t="s">
        <v>2654</v>
      </c>
      <c r="B5" s="35" t="s">
        <v>724</v>
      </c>
      <c r="C5" s="35" t="s">
        <v>725</v>
      </c>
      <c r="D5" s="28" t="s">
        <v>2655</v>
      </c>
      <c r="E5" s="28" t="s">
        <v>2062</v>
      </c>
      <c r="F5" s="36" t="n">
        <v>0.0947</v>
      </c>
      <c r="G5" s="40" t="n">
        <f aca="false">IFERROR(VLOOKUP("电力设备|1-光伏组件价格",指标更新台账_v3!$A$2:$I$600,9,FALSE()),0)</f>
        <v>8</v>
      </c>
      <c r="H5" s="38" t="s">
        <v>2656</v>
      </c>
      <c r="I5" s="35" t="s">
        <v>2275</v>
      </c>
      <c r="J5" s="39" t="s">
        <v>2657</v>
      </c>
      <c r="K5" s="28" t="s">
        <v>2060</v>
      </c>
      <c r="L5" s="12" t="n">
        <v>0.12</v>
      </c>
      <c r="M5" s="6" t="s">
        <v>2197</v>
      </c>
      <c r="N5" s="6" t="s">
        <v>94</v>
      </c>
      <c r="O5" s="12" t="s">
        <v>108</v>
      </c>
      <c r="P5" s="12" t="n">
        <f aca="false">ROUND(SUMPRODUCT(F11:F14,G11:G14)/SUM(F11:F14),1)</f>
        <v>6.4</v>
      </c>
    </row>
    <row r="6" customFormat="false" ht="28.5" hidden="false" customHeight="true" outlineLevel="0" collapsed="false">
      <c r="A6" s="35" t="s">
        <v>2658</v>
      </c>
      <c r="B6" s="28" t="s">
        <v>729</v>
      </c>
      <c r="C6" s="35" t="s">
        <v>338</v>
      </c>
      <c r="D6" s="28" t="s">
        <v>2659</v>
      </c>
      <c r="E6" s="28" t="s">
        <v>2062</v>
      </c>
      <c r="F6" s="36" t="n">
        <v>0.0789</v>
      </c>
      <c r="G6" s="40" t="n">
        <f aca="false">IFERROR(VLOOKUP("电力设备|2-硅料价格",指标更新台账_v3!$A$2:$I$600,9,FALSE()),0)</f>
        <v>8</v>
      </c>
      <c r="H6" s="38" t="s">
        <v>2660</v>
      </c>
      <c r="I6" s="35" t="s">
        <v>2488</v>
      </c>
      <c r="J6" s="39" t="s">
        <v>2661</v>
      </c>
      <c r="K6" s="28" t="s">
        <v>2060</v>
      </c>
      <c r="L6" s="12" t="n">
        <v>0.1</v>
      </c>
      <c r="M6" s="6" t="s">
        <v>2197</v>
      </c>
      <c r="N6" s="6" t="s">
        <v>94</v>
      </c>
      <c r="O6" s="12" t="s">
        <v>125</v>
      </c>
      <c r="P6" s="12" t="n">
        <f aca="false">ROUND(SUMPRODUCT(F16:F18,G16:G18)/SUM(F16:F18),1)</f>
        <v>5.9</v>
      </c>
    </row>
    <row r="7" customFormat="false" ht="28.5" hidden="false" customHeight="true" outlineLevel="0" collapsed="false">
      <c r="A7" s="35" t="s">
        <v>2662</v>
      </c>
      <c r="B7" s="35" t="s">
        <v>231</v>
      </c>
      <c r="C7" s="35" t="s">
        <v>733</v>
      </c>
      <c r="D7" s="28" t="s">
        <v>2663</v>
      </c>
      <c r="E7" s="28" t="s">
        <v>2062</v>
      </c>
      <c r="F7" s="36" t="n">
        <v>0.0947</v>
      </c>
      <c r="G7" s="40" t="n">
        <f aca="false">IFERROR(VLOOKUP("电力设备|3-锂电池价格",指标更新台账_v3!$A$2:$I$600,9,FALSE()),0)</f>
        <v>8</v>
      </c>
      <c r="H7" s="38" t="s">
        <v>2664</v>
      </c>
      <c r="I7" s="35" t="s">
        <v>2424</v>
      </c>
      <c r="J7" s="39" t="s">
        <v>2665</v>
      </c>
      <c r="K7" s="28" t="s">
        <v>2060</v>
      </c>
      <c r="L7" s="12" t="n">
        <v>0.12</v>
      </c>
      <c r="M7" s="6" t="s">
        <v>2197</v>
      </c>
      <c r="N7" s="6" t="s">
        <v>94</v>
      </c>
    </row>
    <row r="8" customFormat="false" ht="28.5" hidden="false" customHeight="true" outlineLevel="0" collapsed="false">
      <c r="A8" s="35" t="s">
        <v>2666</v>
      </c>
      <c r="B8" s="28" t="s">
        <v>2667</v>
      </c>
      <c r="C8" s="35" t="s">
        <v>538</v>
      </c>
      <c r="D8" s="35" t="s">
        <v>487</v>
      </c>
      <c r="E8" s="28" t="s">
        <v>2433</v>
      </c>
      <c r="F8" s="36" t="n">
        <v>0.1026</v>
      </c>
      <c r="G8" s="40" t="n">
        <f aca="false">IFERROR(VLOOKUP("电力设备|4-风电招标量",指标更新台账_v3!$A$2:$I$600,9,FALSE()),0)</f>
        <v>10</v>
      </c>
      <c r="H8" s="38" t="s">
        <v>2199</v>
      </c>
      <c r="I8" s="35" t="s">
        <v>2238</v>
      </c>
      <c r="J8" s="39" t="s">
        <v>2668</v>
      </c>
      <c r="K8" s="28" t="s">
        <v>2100</v>
      </c>
      <c r="L8" s="12" t="n">
        <v>0.13</v>
      </c>
      <c r="M8" s="6" t="s">
        <v>2197</v>
      </c>
      <c r="N8" s="6" t="s">
        <v>279</v>
      </c>
    </row>
    <row r="9" customFormat="false" ht="28.5" hidden="false" customHeight="true" outlineLevel="0" collapsed="false">
      <c r="A9" s="35" t="s">
        <v>2669</v>
      </c>
      <c r="B9" s="28" t="s">
        <v>2670</v>
      </c>
      <c r="C9" s="35" t="s">
        <v>741</v>
      </c>
      <c r="D9" s="28" t="s">
        <v>217</v>
      </c>
      <c r="E9" s="28" t="s">
        <v>2433</v>
      </c>
      <c r="F9" s="36" t="n">
        <v>0.0789</v>
      </c>
      <c r="G9" s="40" t="n">
        <f aca="false">IFERROR(VLOOKUP("电力设备|5-电网投资计划",指标更新台账_v3!$A$2:$I$600,9,FALSE()),0)</f>
        <v>10</v>
      </c>
      <c r="H9" s="38" t="s">
        <v>2671</v>
      </c>
      <c r="I9" s="35" t="s">
        <v>2209</v>
      </c>
      <c r="J9" s="39" t="s">
        <v>2672</v>
      </c>
      <c r="K9" s="28" t="s">
        <v>2075</v>
      </c>
      <c r="L9" s="12" t="n">
        <v>0.1</v>
      </c>
      <c r="M9" s="6" t="s">
        <v>2197</v>
      </c>
      <c r="N9" s="6" t="s">
        <v>88</v>
      </c>
    </row>
    <row r="10" customFormat="false" ht="13.5" hidden="false" customHeight="true" outlineLevel="0" collapsed="false">
      <c r="A10" s="34" t="s">
        <v>2076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28.5" hidden="false" customHeight="true" outlineLevel="0" collapsed="false">
      <c r="A11" s="35" t="s">
        <v>2673</v>
      </c>
      <c r="B11" s="28" t="s">
        <v>485</v>
      </c>
      <c r="C11" s="35" t="s">
        <v>744</v>
      </c>
      <c r="D11" s="35" t="s">
        <v>2674</v>
      </c>
      <c r="E11" s="28" t="s">
        <v>2067</v>
      </c>
      <c r="F11" s="36" t="n">
        <v>0.1105</v>
      </c>
      <c r="G11" s="37" t="n">
        <f aca="false">IFERROR(VLOOKUP("电力设备|6-光伏装机量",指标更新台账_v3!$A$2:$I$600,9,FALSE()),0)</f>
        <v>6</v>
      </c>
      <c r="H11" s="38" t="s">
        <v>2675</v>
      </c>
      <c r="I11" s="35" t="s">
        <v>2080</v>
      </c>
      <c r="J11" s="39" t="s">
        <v>2676</v>
      </c>
      <c r="K11" s="28" t="s">
        <v>2052</v>
      </c>
      <c r="L11" s="12" t="n">
        <v>0.12</v>
      </c>
      <c r="M11" s="6" t="s">
        <v>2082</v>
      </c>
      <c r="N11" s="6" t="s">
        <v>213</v>
      </c>
    </row>
    <row r="12" customFormat="false" ht="28.5" hidden="false" customHeight="true" outlineLevel="0" collapsed="false">
      <c r="A12" s="35" t="s">
        <v>2677</v>
      </c>
      <c r="B12" s="28" t="s">
        <v>485</v>
      </c>
      <c r="C12" s="35" t="s">
        <v>302</v>
      </c>
      <c r="D12" s="35" t="s">
        <v>2674</v>
      </c>
      <c r="E12" s="28" t="s">
        <v>2067</v>
      </c>
      <c r="F12" s="36" t="n">
        <v>0.0921</v>
      </c>
      <c r="G12" s="37" t="n">
        <f aca="false">IFERROR(VLOOKUP("电力设备|7-风电装机量",指标更新台账_v3!$A$2:$I$600,9,FALSE()),0)</f>
        <v>6</v>
      </c>
      <c r="H12" s="38" t="s">
        <v>2678</v>
      </c>
      <c r="I12" s="35" t="s">
        <v>2069</v>
      </c>
      <c r="J12" s="39" t="s">
        <v>2679</v>
      </c>
      <c r="K12" s="28" t="s">
        <v>2052</v>
      </c>
      <c r="L12" s="12" t="n">
        <v>0.1</v>
      </c>
      <c r="M12" s="6" t="s">
        <v>2082</v>
      </c>
      <c r="N12" s="6" t="s">
        <v>213</v>
      </c>
    </row>
    <row r="13" customFormat="false" ht="28.5" hidden="false" customHeight="true" outlineLevel="0" collapsed="false">
      <c r="A13" s="35" t="s">
        <v>2680</v>
      </c>
      <c r="B13" s="35" t="s">
        <v>750</v>
      </c>
      <c r="C13" s="35" t="s">
        <v>166</v>
      </c>
      <c r="D13" s="35" t="s">
        <v>2681</v>
      </c>
      <c r="E13" s="28" t="s">
        <v>2067</v>
      </c>
      <c r="F13" s="36" t="n">
        <v>0.0737</v>
      </c>
      <c r="G13" s="37" t="n">
        <f aca="false">IFERROR(VLOOKUP("电力设备|8-储能装机量",指标更新台账_v3!$A$2:$I$600,9,FALSE()),0)</f>
        <v>6</v>
      </c>
      <c r="H13" s="38" t="s">
        <v>2682</v>
      </c>
      <c r="I13" s="35" t="s">
        <v>2080</v>
      </c>
      <c r="J13" s="39" t="s">
        <v>2683</v>
      </c>
      <c r="K13" s="28" t="s">
        <v>2100</v>
      </c>
      <c r="L13" s="12" t="n">
        <v>0.08</v>
      </c>
      <c r="M13" s="6" t="s">
        <v>2082</v>
      </c>
      <c r="N13" s="6" t="s">
        <v>213</v>
      </c>
    </row>
    <row r="14" customFormat="false" ht="28.5" hidden="false" customHeight="true" outlineLevel="0" collapsed="false">
      <c r="A14" s="35" t="s">
        <v>2684</v>
      </c>
      <c r="B14" s="28" t="s">
        <v>754</v>
      </c>
      <c r="C14" s="35" t="s">
        <v>624</v>
      </c>
      <c r="D14" s="35" t="s">
        <v>85</v>
      </c>
      <c r="E14" s="28" t="s">
        <v>2067</v>
      </c>
      <c r="F14" s="36" t="n">
        <v>0.0737</v>
      </c>
      <c r="G14" s="40" t="n">
        <f aca="false">IFERROR(VLOOKUP("电力设备|9-电网设备招标量",指标更新台账_v3!$A$2:$I$600,9,FALSE()),0)</f>
        <v>8</v>
      </c>
      <c r="H14" s="38" t="s">
        <v>2234</v>
      </c>
      <c r="I14" s="35" t="s">
        <v>2291</v>
      </c>
      <c r="J14" s="39" t="s">
        <v>2685</v>
      </c>
      <c r="K14" s="28" t="s">
        <v>2100</v>
      </c>
      <c r="L14" s="12" t="n">
        <v>0.08</v>
      </c>
      <c r="M14" s="6" t="s">
        <v>2082</v>
      </c>
      <c r="N14" s="6" t="s">
        <v>279</v>
      </c>
    </row>
    <row r="15" customFormat="false" ht="13.5" hidden="false" customHeight="true" outlineLevel="0" collapsed="false">
      <c r="A15" s="34" t="s">
        <v>2096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customFormat="false" ht="28.5" hidden="false" customHeight="true" outlineLevel="0" collapsed="false">
      <c r="A16" s="35" t="s">
        <v>2686</v>
      </c>
      <c r="B16" s="28" t="s">
        <v>127</v>
      </c>
      <c r="C16" s="35" t="s">
        <v>744</v>
      </c>
      <c r="D16" s="28" t="s">
        <v>217</v>
      </c>
      <c r="E16" s="28" t="s">
        <v>2062</v>
      </c>
      <c r="F16" s="36" t="n">
        <v>0.08</v>
      </c>
      <c r="G16" s="37" t="n">
        <f aca="false">IFERROR(VLOOKUP("电力设备|10-电力设备企业季度净利润",指标更新台账_v3!$A$2:$I$600,9,FALSE()),0)</f>
        <v>6</v>
      </c>
      <c r="H16" s="38" t="s">
        <v>2687</v>
      </c>
      <c r="I16" s="35" t="s">
        <v>2073</v>
      </c>
      <c r="J16" s="38" t="s">
        <v>2688</v>
      </c>
      <c r="K16" s="28" t="s">
        <v>2100</v>
      </c>
      <c r="L16" s="12" t="n">
        <v>0.1</v>
      </c>
      <c r="M16" s="6" t="s">
        <v>2296</v>
      </c>
      <c r="N16" s="6" t="s">
        <v>131</v>
      </c>
    </row>
    <row r="17" customFormat="false" ht="28.5" hidden="false" customHeight="true" outlineLevel="0" collapsed="false">
      <c r="A17" s="35" t="s">
        <v>2689</v>
      </c>
      <c r="B17" s="28" t="s">
        <v>127</v>
      </c>
      <c r="C17" s="35" t="s">
        <v>166</v>
      </c>
      <c r="D17" s="35" t="s">
        <v>129</v>
      </c>
      <c r="E17" s="28" t="s">
        <v>2062</v>
      </c>
      <c r="F17" s="36" t="n">
        <v>0.064</v>
      </c>
      <c r="G17" s="44" t="n">
        <f aca="false">IFERROR(VLOOKUP("电力设备|11-电力设备行业毛利率",指标更新台账_v3!$A$2:$I$600,9,FALSE()),0)</f>
        <v>4</v>
      </c>
      <c r="H17" s="38" t="s">
        <v>2690</v>
      </c>
      <c r="I17" s="35" t="s">
        <v>2170</v>
      </c>
      <c r="J17" s="39" t="s">
        <v>2691</v>
      </c>
      <c r="K17" s="28" t="s">
        <v>2100</v>
      </c>
      <c r="L17" s="12" t="n">
        <v>0.08</v>
      </c>
      <c r="M17" s="6" t="s">
        <v>2296</v>
      </c>
      <c r="N17" s="6" t="s">
        <v>94</v>
      </c>
    </row>
    <row r="18" customFormat="false" ht="28.5" hidden="false" customHeight="true" outlineLevel="0" collapsed="false">
      <c r="A18" s="35" t="s">
        <v>2692</v>
      </c>
      <c r="B18" s="28" t="s">
        <v>101</v>
      </c>
      <c r="C18" s="35" t="s">
        <v>270</v>
      </c>
      <c r="D18" s="35" t="s">
        <v>85</v>
      </c>
      <c r="E18" s="28" t="s">
        <v>2067</v>
      </c>
      <c r="F18" s="36" t="n">
        <v>0.056</v>
      </c>
      <c r="G18" s="40" t="n">
        <f aca="false">IFERROR(VLOOKUP("电力设备|12-电力设备出口金额增速",指标更新台账_v3!$A$2:$I$600,9,FALSE()),0)</f>
        <v>8</v>
      </c>
      <c r="H18" s="38" t="s">
        <v>2234</v>
      </c>
      <c r="I18" s="35" t="s">
        <v>2223</v>
      </c>
      <c r="J18" s="39" t="s">
        <v>2693</v>
      </c>
      <c r="K18" s="28" t="s">
        <v>2052</v>
      </c>
      <c r="L18" s="12" t="n">
        <v>0.07</v>
      </c>
      <c r="M18" s="6" t="s">
        <v>2296</v>
      </c>
      <c r="N18" s="6" t="s">
        <v>88</v>
      </c>
    </row>
    <row r="19" customFormat="false" ht="17.25" hidden="false" customHeight="true" outlineLevel="0" collapsed="false">
      <c r="A19" s="41" t="s">
        <v>2108</v>
      </c>
      <c r="B19" s="41"/>
      <c r="C19" s="41"/>
      <c r="D19" s="41"/>
      <c r="E19" s="41"/>
      <c r="F19" s="41"/>
      <c r="G19" s="42" t="n">
        <f aca="false">ROUND(SUMPRODUCT(F5:F18,G5:G18),1)</f>
        <v>7.4</v>
      </c>
      <c r="H19" s="43" t="s">
        <v>2109</v>
      </c>
      <c r="I19" s="43"/>
      <c r="J19" s="43"/>
      <c r="K19" s="43"/>
    </row>
  </sheetData>
  <mergeCells count="7">
    <mergeCell ref="A1:K1"/>
    <mergeCell ref="A2:K2"/>
    <mergeCell ref="A4:K4"/>
    <mergeCell ref="A10:K10"/>
    <mergeCell ref="A15:K15"/>
    <mergeCell ref="A19:F19"/>
    <mergeCell ref="H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2694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2695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7.2</v>
      </c>
    </row>
    <row r="5" customFormat="false" ht="28.5" hidden="false" customHeight="true" outlineLevel="0" collapsed="false">
      <c r="A5" s="35" t="s">
        <v>2696</v>
      </c>
      <c r="B5" s="28" t="s">
        <v>764</v>
      </c>
      <c r="C5" s="35" t="s">
        <v>765</v>
      </c>
      <c r="D5" s="35" t="s">
        <v>85</v>
      </c>
      <c r="E5" s="28" t="s">
        <v>2067</v>
      </c>
      <c r="F5" s="36" t="n">
        <v>0.1698</v>
      </c>
      <c r="G5" s="37" t="n">
        <f aca="false">IFERROR(VLOOKUP("国防军工|1-国防预算增速",指标更新台账_v3!$A$2:$I$600,9,FALSE()),0)</f>
        <v>6</v>
      </c>
      <c r="H5" s="38" t="s">
        <v>2697</v>
      </c>
      <c r="I5" s="35" t="s">
        <v>2080</v>
      </c>
      <c r="J5" s="39" t="s">
        <v>2698</v>
      </c>
      <c r="K5" s="28" t="s">
        <v>2075</v>
      </c>
      <c r="L5" s="12" t="n">
        <v>0.2</v>
      </c>
      <c r="M5" s="6" t="s">
        <v>2197</v>
      </c>
      <c r="N5" s="6" t="s">
        <v>279</v>
      </c>
      <c r="O5" s="12" t="s">
        <v>108</v>
      </c>
      <c r="P5" s="12" t="n">
        <f aca="false">ROUND(SUMPRODUCT(F10:F13,G10:G13)/SUM(F10:F13),1)</f>
        <v>7.7</v>
      </c>
    </row>
    <row r="6" customFormat="false" ht="28.5" hidden="false" customHeight="true" outlineLevel="0" collapsed="false">
      <c r="A6" s="35" t="s">
        <v>2699</v>
      </c>
      <c r="B6" s="28" t="s">
        <v>768</v>
      </c>
      <c r="C6" s="35" t="s">
        <v>769</v>
      </c>
      <c r="D6" s="28" t="s">
        <v>217</v>
      </c>
      <c r="E6" s="28" t="s">
        <v>2433</v>
      </c>
      <c r="F6" s="36" t="n">
        <v>0.1274</v>
      </c>
      <c r="G6" s="40" t="n">
        <f aca="false">IFERROR(VLOOKUP("国防军工|2-军工集团订单公告",指标更新台账_v3!$A$2:$I$600,9,FALSE()),0)</f>
        <v>8</v>
      </c>
      <c r="H6" s="38" t="s">
        <v>2700</v>
      </c>
      <c r="I6" s="35" t="s">
        <v>2223</v>
      </c>
      <c r="J6" s="39" t="s">
        <v>2701</v>
      </c>
      <c r="K6" s="28" t="s">
        <v>2100</v>
      </c>
      <c r="L6" s="12" t="n">
        <v>0.15</v>
      </c>
      <c r="M6" s="6" t="s">
        <v>2197</v>
      </c>
      <c r="N6" s="6" t="s">
        <v>279</v>
      </c>
      <c r="O6" s="12" t="s">
        <v>125</v>
      </c>
      <c r="P6" s="12" t="n">
        <f aca="false">ROUND(SUMPRODUCT(F15:F17,G15:G17)/SUM(F15:F17),1)</f>
        <v>7.2</v>
      </c>
    </row>
    <row r="7" customFormat="false" ht="28.5" hidden="false" customHeight="true" outlineLevel="0" collapsed="false">
      <c r="A7" s="35" t="s">
        <v>2702</v>
      </c>
      <c r="B7" s="28" t="s">
        <v>772</v>
      </c>
      <c r="C7" s="35" t="s">
        <v>773</v>
      </c>
      <c r="D7" s="28" t="s">
        <v>774</v>
      </c>
      <c r="E7" s="28" t="s">
        <v>2433</v>
      </c>
      <c r="F7" s="36" t="n">
        <v>0.0849</v>
      </c>
      <c r="G7" s="40" t="n">
        <f aca="false">IFERROR(VLOOKUP("国防军工|3-军品采购计划",指标更新台账_v3!$A$2:$I$600,9,FALSE()),0)</f>
        <v>8</v>
      </c>
      <c r="H7" s="38" t="s">
        <v>2703</v>
      </c>
      <c r="I7" s="35" t="s">
        <v>2229</v>
      </c>
      <c r="J7" s="39" t="s">
        <v>2704</v>
      </c>
      <c r="K7" s="28" t="s">
        <v>2075</v>
      </c>
      <c r="L7" s="12" t="n">
        <v>0.1</v>
      </c>
      <c r="M7" s="6" t="s">
        <v>2197</v>
      </c>
      <c r="N7" s="6" t="s">
        <v>88</v>
      </c>
    </row>
    <row r="8" customFormat="false" ht="28.5" hidden="false" customHeight="true" outlineLevel="0" collapsed="false">
      <c r="A8" s="35" t="s">
        <v>2705</v>
      </c>
      <c r="B8" s="28" t="s">
        <v>777</v>
      </c>
      <c r="C8" s="35" t="s">
        <v>778</v>
      </c>
      <c r="D8" s="28" t="s">
        <v>120</v>
      </c>
      <c r="E8" s="28" t="s">
        <v>2706</v>
      </c>
      <c r="F8" s="36" t="n">
        <v>0.0679</v>
      </c>
      <c r="G8" s="40" t="n">
        <f aca="false">IFERROR(VLOOKUP("国防军工|4-地缘政治风险指数",指标更新台账_v3!$A$2:$I$600,9,FALSE()),0)</f>
        <v>8</v>
      </c>
      <c r="H8" s="38" t="s">
        <v>2707</v>
      </c>
      <c r="I8" s="35" t="s">
        <v>2223</v>
      </c>
      <c r="J8" s="39" t="s">
        <v>2708</v>
      </c>
      <c r="K8" s="28" t="s">
        <v>2052</v>
      </c>
      <c r="L8" s="12" t="n">
        <v>0.08</v>
      </c>
      <c r="M8" s="6" t="s">
        <v>2197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2709</v>
      </c>
      <c r="B10" s="28" t="s">
        <v>127</v>
      </c>
      <c r="C10" s="35" t="s">
        <v>266</v>
      </c>
      <c r="D10" s="35" t="s">
        <v>85</v>
      </c>
      <c r="E10" s="28" t="s">
        <v>2067</v>
      </c>
      <c r="F10" s="36" t="n">
        <v>0.125</v>
      </c>
      <c r="G10" s="40" t="n">
        <f aca="false">IFERROR(VLOOKUP("国防军工|5-军工企业收入增速",指标更新台账_v3!$A$2:$I$600,9,FALSE()),0)</f>
        <v>8</v>
      </c>
      <c r="H10" s="38" t="s">
        <v>2234</v>
      </c>
      <c r="I10" s="35" t="s">
        <v>2242</v>
      </c>
      <c r="J10" s="39" t="s">
        <v>2710</v>
      </c>
      <c r="K10" s="28" t="s">
        <v>2100</v>
      </c>
      <c r="L10" s="12" t="n">
        <v>0.15</v>
      </c>
      <c r="M10" s="6" t="s">
        <v>2082</v>
      </c>
      <c r="N10" s="6" t="s">
        <v>213</v>
      </c>
    </row>
    <row r="11" customFormat="false" ht="28.5" hidden="false" customHeight="true" outlineLevel="0" collapsed="false">
      <c r="A11" s="35" t="s">
        <v>2711</v>
      </c>
      <c r="B11" s="28" t="s">
        <v>127</v>
      </c>
      <c r="C11" s="35" t="s">
        <v>93</v>
      </c>
      <c r="D11" s="35" t="s">
        <v>85</v>
      </c>
      <c r="E11" s="28" t="s">
        <v>2067</v>
      </c>
      <c r="F11" s="36" t="n">
        <v>0.1</v>
      </c>
      <c r="G11" s="40" t="n">
        <f aca="false">IFERROR(VLOOKUP("国防军工|6-军工企业合同负债",指标更新台账_v3!$A$2:$I$600,9,FALSE()),0)</f>
        <v>8</v>
      </c>
      <c r="H11" s="38" t="s">
        <v>2712</v>
      </c>
      <c r="I11" s="35" t="s">
        <v>2223</v>
      </c>
      <c r="J11" s="39" t="s">
        <v>2713</v>
      </c>
      <c r="K11" s="28" t="s">
        <v>2100</v>
      </c>
      <c r="L11" s="12" t="n">
        <v>0.12</v>
      </c>
      <c r="M11" s="6" t="s">
        <v>2082</v>
      </c>
      <c r="N11" s="6" t="s">
        <v>279</v>
      </c>
    </row>
    <row r="12" customFormat="false" ht="28.5" hidden="false" customHeight="true" outlineLevel="0" collapsed="false">
      <c r="A12" s="35" t="s">
        <v>2714</v>
      </c>
      <c r="B12" s="28" t="s">
        <v>785</v>
      </c>
      <c r="C12" s="35" t="s">
        <v>308</v>
      </c>
      <c r="D12" s="35" t="s">
        <v>85</v>
      </c>
      <c r="E12" s="28" t="s">
        <v>2067</v>
      </c>
      <c r="F12" s="36" t="n">
        <v>0.0667</v>
      </c>
      <c r="G12" s="40" t="n">
        <f aca="false">IFERROR(VLOOKUP("国防军工|7-航空发动机产量",指标更新台账_v3!$A$2:$I$600,9,FALSE()),0)</f>
        <v>8</v>
      </c>
      <c r="H12" s="38" t="s">
        <v>2216</v>
      </c>
      <c r="I12" s="35" t="s">
        <v>2142</v>
      </c>
      <c r="J12" s="39" t="s">
        <v>2715</v>
      </c>
      <c r="K12" s="28" t="s">
        <v>2100</v>
      </c>
      <c r="L12" s="12" t="n">
        <v>0.08</v>
      </c>
      <c r="M12" s="6" t="s">
        <v>2082</v>
      </c>
      <c r="N12" s="6" t="s">
        <v>213</v>
      </c>
    </row>
    <row r="13" customFormat="false" ht="28.5" hidden="false" customHeight="true" outlineLevel="0" collapsed="false">
      <c r="A13" s="35" t="s">
        <v>2716</v>
      </c>
      <c r="B13" s="28" t="s">
        <v>788</v>
      </c>
      <c r="C13" s="35" t="s">
        <v>305</v>
      </c>
      <c r="D13" s="35" t="s">
        <v>85</v>
      </c>
      <c r="E13" s="28" t="s">
        <v>2067</v>
      </c>
      <c r="F13" s="36" t="n">
        <v>0.0583</v>
      </c>
      <c r="G13" s="37" t="n">
        <f aca="false">IFERROR(VLOOKUP("国防军工|8-舰船下水吨位",指标更新台账_v3!$A$2:$I$600,9,FALSE()),0)</f>
        <v>6</v>
      </c>
      <c r="H13" s="38" t="s">
        <v>2216</v>
      </c>
      <c r="I13" s="35" t="s">
        <v>2089</v>
      </c>
      <c r="J13" s="39" t="s">
        <v>2717</v>
      </c>
      <c r="K13" s="28" t="s">
        <v>2075</v>
      </c>
      <c r="L13" s="12" t="n">
        <v>0.07</v>
      </c>
      <c r="M13" s="6" t="s">
        <v>2082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2718</v>
      </c>
      <c r="B15" s="28" t="s">
        <v>127</v>
      </c>
      <c r="C15" s="35" t="s">
        <v>259</v>
      </c>
      <c r="D15" s="28" t="s">
        <v>217</v>
      </c>
      <c r="E15" s="28" t="s">
        <v>2067</v>
      </c>
      <c r="F15" s="36" t="n">
        <v>0.08</v>
      </c>
      <c r="G15" s="37" t="n">
        <f aca="false">IFERROR(VLOOKUP("国防军工|9-军工企业季度净利润",指标更新台账_v3!$A$2:$I$600,9,FALSE()),0)</f>
        <v>6</v>
      </c>
      <c r="H15" s="38" t="s">
        <v>2186</v>
      </c>
      <c r="I15" s="35" t="s">
        <v>2080</v>
      </c>
      <c r="J15" s="38" t="s">
        <v>2719</v>
      </c>
      <c r="K15" s="28" t="s">
        <v>2100</v>
      </c>
      <c r="L15" s="12" t="n">
        <v>0.1</v>
      </c>
      <c r="M15" s="6" t="s">
        <v>2296</v>
      </c>
      <c r="N15" s="6" t="s">
        <v>131</v>
      </c>
    </row>
    <row r="16" customFormat="false" ht="28.5" hidden="false" customHeight="true" outlineLevel="0" collapsed="false">
      <c r="A16" s="35" t="s">
        <v>2720</v>
      </c>
      <c r="B16" s="28" t="s">
        <v>127</v>
      </c>
      <c r="C16" s="35" t="s">
        <v>793</v>
      </c>
      <c r="D16" s="35" t="s">
        <v>129</v>
      </c>
      <c r="E16" s="28" t="s">
        <v>2067</v>
      </c>
      <c r="F16" s="36" t="n">
        <v>0.064</v>
      </c>
      <c r="G16" s="40" t="n">
        <f aca="false">IFERROR(VLOOKUP("国防军工|10-军工行业研发费用率",指标更新台账_v3!$A$2:$I$600,9,FALSE()),0)</f>
        <v>8</v>
      </c>
      <c r="H16" s="38" t="s">
        <v>2721</v>
      </c>
      <c r="I16" s="35" t="s">
        <v>2103</v>
      </c>
      <c r="J16" s="39" t="s">
        <v>2722</v>
      </c>
      <c r="K16" s="28" t="s">
        <v>2100</v>
      </c>
      <c r="L16" s="12" t="n">
        <v>0.08</v>
      </c>
      <c r="M16" s="6" t="s">
        <v>2296</v>
      </c>
      <c r="N16" s="6" t="s">
        <v>88</v>
      </c>
    </row>
    <row r="17" customFormat="false" ht="28.5" hidden="false" customHeight="true" outlineLevel="0" collapsed="false">
      <c r="A17" s="35" t="s">
        <v>2723</v>
      </c>
      <c r="B17" s="28" t="s">
        <v>127</v>
      </c>
      <c r="C17" s="35" t="s">
        <v>372</v>
      </c>
      <c r="D17" s="35" t="s">
        <v>129</v>
      </c>
      <c r="E17" s="28" t="s">
        <v>2062</v>
      </c>
      <c r="F17" s="36" t="n">
        <v>0.056</v>
      </c>
      <c r="G17" s="40" t="n">
        <f aca="false">IFERROR(VLOOKUP("国防军工|11-军工行业资产负债率",指标更新台账_v3!$A$2:$I$600,9,FALSE()),0)</f>
        <v>8</v>
      </c>
      <c r="H17" s="38" t="s">
        <v>2724</v>
      </c>
      <c r="I17" s="35" t="s">
        <v>2106</v>
      </c>
      <c r="J17" s="39" t="s">
        <v>2452</v>
      </c>
      <c r="K17" s="28" t="s">
        <v>2100</v>
      </c>
      <c r="L17" s="12" t="n">
        <v>0.07</v>
      </c>
      <c r="M17" s="6" t="s">
        <v>2296</v>
      </c>
      <c r="N17" s="6" t="s">
        <v>168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2" t="n">
        <f aca="false">ROUND(SUMPRODUCT(F5:F17,G5:G17),1)</f>
        <v>7.4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2725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2726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8.5</v>
      </c>
    </row>
    <row r="5" customFormat="false" ht="28.5" hidden="false" customHeight="true" outlineLevel="0" collapsed="false">
      <c r="A5" s="35" t="s">
        <v>2727</v>
      </c>
      <c r="B5" s="35" t="s">
        <v>799</v>
      </c>
      <c r="C5" s="35" t="s">
        <v>253</v>
      </c>
      <c r="D5" s="35" t="s">
        <v>85</v>
      </c>
      <c r="E5" s="28" t="s">
        <v>2067</v>
      </c>
      <c r="F5" s="36" t="n">
        <v>0.15</v>
      </c>
      <c r="G5" s="40" t="n">
        <f aca="false">IFERROR(VLOOKUP("计算机|1-全球IT支出增速",指标更新台账_v3!$A$2:$I$600,9,FALSE()),0)</f>
        <v>8</v>
      </c>
      <c r="H5" s="38" t="s">
        <v>2312</v>
      </c>
      <c r="I5" s="35" t="s">
        <v>2085</v>
      </c>
      <c r="J5" s="38" t="s">
        <v>2728</v>
      </c>
      <c r="K5" s="28" t="s">
        <v>2075</v>
      </c>
      <c r="L5" s="12" t="n">
        <v>0.15</v>
      </c>
      <c r="M5" s="6" t="s">
        <v>2053</v>
      </c>
      <c r="N5" s="6" t="s">
        <v>88</v>
      </c>
      <c r="O5" s="12" t="s">
        <v>108</v>
      </c>
      <c r="P5" s="12" t="n">
        <f aca="false">ROUND(SUMPRODUCT(F10:F13,G10:G13)/SUM(F10:F13),1)</f>
        <v>7.6</v>
      </c>
    </row>
    <row r="6" customFormat="false" ht="28.5" hidden="false" customHeight="true" outlineLevel="0" collapsed="false">
      <c r="A6" s="35" t="s">
        <v>2729</v>
      </c>
      <c r="B6" s="35" t="s">
        <v>2730</v>
      </c>
      <c r="C6" s="35" t="s">
        <v>93</v>
      </c>
      <c r="D6" s="35" t="s">
        <v>85</v>
      </c>
      <c r="E6" s="28" t="s">
        <v>2067</v>
      </c>
      <c r="F6" s="36" t="n">
        <v>0.12</v>
      </c>
      <c r="G6" s="40" t="n">
        <f aca="false">IFERROR(VLOOKUP("计算机|2-云计算资本开支",指标更新台账_v3!$A$2:$I$600,9,FALSE()),0)</f>
        <v>8</v>
      </c>
      <c r="H6" s="38" t="s">
        <v>2241</v>
      </c>
      <c r="I6" s="35" t="s">
        <v>2229</v>
      </c>
      <c r="J6" s="39" t="s">
        <v>2731</v>
      </c>
      <c r="K6" s="28" t="s">
        <v>2100</v>
      </c>
      <c r="L6" s="12" t="n">
        <v>0.12</v>
      </c>
      <c r="M6" s="6" t="s">
        <v>2053</v>
      </c>
      <c r="N6" s="6" t="s">
        <v>88</v>
      </c>
      <c r="O6" s="12" t="s">
        <v>125</v>
      </c>
      <c r="P6" s="12" t="n">
        <f aca="false">ROUND(SUMPRODUCT(F15:F17,G15:G17)/SUM(F15:F17),1)</f>
        <v>6.6</v>
      </c>
    </row>
    <row r="7" customFormat="false" ht="28.5" hidden="false" customHeight="true" outlineLevel="0" collapsed="false">
      <c r="A7" s="35" t="s">
        <v>2732</v>
      </c>
      <c r="B7" s="35" t="s">
        <v>805</v>
      </c>
      <c r="C7" s="35" t="s">
        <v>806</v>
      </c>
      <c r="D7" s="35" t="s">
        <v>85</v>
      </c>
      <c r="E7" s="28" t="s">
        <v>2067</v>
      </c>
      <c r="F7" s="36" t="n">
        <v>0.13</v>
      </c>
      <c r="G7" s="40" t="n">
        <f aca="false">IFERROR(VLOOKUP("计算机|3-AI服务器出货量",指标更新台账_v3!$A$2:$I$600,9,FALSE()),0)</f>
        <v>10</v>
      </c>
      <c r="H7" s="38" t="s">
        <v>2733</v>
      </c>
      <c r="I7" s="35" t="s">
        <v>2209</v>
      </c>
      <c r="J7" s="38" t="s">
        <v>2734</v>
      </c>
      <c r="K7" s="28" t="s">
        <v>2100</v>
      </c>
      <c r="L7" s="12" t="n">
        <v>0.13</v>
      </c>
      <c r="M7" s="6" t="s">
        <v>2053</v>
      </c>
      <c r="N7" s="6" t="s">
        <v>213</v>
      </c>
    </row>
    <row r="8" customFormat="false" ht="28.5" hidden="false" customHeight="true" outlineLevel="0" collapsed="false">
      <c r="A8" s="35" t="s">
        <v>2735</v>
      </c>
      <c r="B8" s="28" t="s">
        <v>809</v>
      </c>
      <c r="C8" s="35" t="s">
        <v>810</v>
      </c>
      <c r="D8" s="35" t="s">
        <v>85</v>
      </c>
      <c r="E8" s="28" t="s">
        <v>2067</v>
      </c>
      <c r="F8" s="36" t="n">
        <v>0.1</v>
      </c>
      <c r="G8" s="40" t="n">
        <f aca="false">IFERROR(VLOOKUP("计算机|4-软件业收入增速",指标更新台账_v3!$A$2:$I$600,9,FALSE()),0)</f>
        <v>8</v>
      </c>
      <c r="H8" s="38" t="s">
        <v>2472</v>
      </c>
      <c r="I8" s="35" t="s">
        <v>2142</v>
      </c>
      <c r="J8" s="39" t="s">
        <v>2736</v>
      </c>
      <c r="K8" s="28" t="s">
        <v>2052</v>
      </c>
      <c r="L8" s="12" t="n">
        <v>0.1</v>
      </c>
      <c r="M8" s="6" t="s">
        <v>2053</v>
      </c>
      <c r="N8" s="6" t="s">
        <v>213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2737</v>
      </c>
      <c r="B10" s="28" t="s">
        <v>2738</v>
      </c>
      <c r="C10" s="35" t="s">
        <v>773</v>
      </c>
      <c r="D10" s="28" t="s">
        <v>217</v>
      </c>
      <c r="E10" s="28" t="s">
        <v>2433</v>
      </c>
      <c r="F10" s="36" t="n">
        <v>0.105</v>
      </c>
      <c r="G10" s="40" t="n">
        <f aca="false">IFERROR(VLOOKUP("计算机|5-信创采购规模",指标更新台账_v3!$A$2:$I$600,9,FALSE()),0)</f>
        <v>8</v>
      </c>
      <c r="H10" s="38" t="s">
        <v>2703</v>
      </c>
      <c r="I10" s="35" t="s">
        <v>2223</v>
      </c>
      <c r="J10" s="39" t="s">
        <v>2739</v>
      </c>
      <c r="K10" s="28" t="s">
        <v>2100</v>
      </c>
      <c r="L10" s="12" t="n">
        <v>0.12</v>
      </c>
      <c r="M10" s="6" t="s">
        <v>2082</v>
      </c>
      <c r="N10" s="6" t="s">
        <v>88</v>
      </c>
    </row>
    <row r="11" customFormat="false" ht="28.5" hidden="false" customHeight="true" outlineLevel="0" collapsed="false">
      <c r="A11" s="35" t="s">
        <v>2740</v>
      </c>
      <c r="B11" s="28" t="s">
        <v>816</v>
      </c>
      <c r="C11" s="35" t="s">
        <v>302</v>
      </c>
      <c r="D11" s="35" t="s">
        <v>129</v>
      </c>
      <c r="E11" s="28" t="s">
        <v>2067</v>
      </c>
      <c r="F11" s="36" t="n">
        <v>0.07</v>
      </c>
      <c r="G11" s="37" t="n">
        <f aca="false">IFERROR(VLOOKUP("计算机|6-企业SaaS渗透率",指标更新台账_v3!$A$2:$I$600,9,FALSE()),0)</f>
        <v>6</v>
      </c>
      <c r="H11" s="38" t="s">
        <v>2266</v>
      </c>
      <c r="I11" s="35" t="s">
        <v>2089</v>
      </c>
      <c r="J11" s="38" t="s">
        <v>2741</v>
      </c>
      <c r="K11" s="28" t="s">
        <v>2075</v>
      </c>
      <c r="L11" s="12" t="n">
        <v>0.08</v>
      </c>
      <c r="M11" s="6" t="s">
        <v>2082</v>
      </c>
      <c r="N11" s="6" t="s">
        <v>88</v>
      </c>
    </row>
    <row r="12" customFormat="false" ht="28.5" hidden="false" customHeight="true" outlineLevel="0" collapsed="false">
      <c r="A12" s="35" t="s">
        <v>2742</v>
      </c>
      <c r="B12" s="35" t="s">
        <v>819</v>
      </c>
      <c r="C12" s="35" t="s">
        <v>240</v>
      </c>
      <c r="D12" s="35" t="s">
        <v>85</v>
      </c>
      <c r="E12" s="28" t="s">
        <v>2067</v>
      </c>
      <c r="F12" s="36" t="n">
        <v>0.0875</v>
      </c>
      <c r="G12" s="40" t="n">
        <f aca="false">IFERROR(VLOOKUP("计算机|7-网络安全市场规模",指标更新台账_v3!$A$2:$I$600,9,FALSE()),0)</f>
        <v>8</v>
      </c>
      <c r="H12" s="38" t="s">
        <v>2326</v>
      </c>
      <c r="I12" s="35" t="s">
        <v>2142</v>
      </c>
      <c r="J12" s="39" t="s">
        <v>2743</v>
      </c>
      <c r="K12" s="28" t="s">
        <v>2075</v>
      </c>
      <c r="L12" s="12" t="n">
        <v>0.1</v>
      </c>
      <c r="M12" s="6" t="s">
        <v>2082</v>
      </c>
      <c r="N12" s="6" t="s">
        <v>88</v>
      </c>
    </row>
    <row r="13" customFormat="false" ht="28.5" hidden="false" customHeight="true" outlineLevel="0" collapsed="false">
      <c r="A13" s="35" t="s">
        <v>2744</v>
      </c>
      <c r="B13" s="28" t="s">
        <v>127</v>
      </c>
      <c r="C13" s="35" t="s">
        <v>270</v>
      </c>
      <c r="D13" s="35" t="s">
        <v>85</v>
      </c>
      <c r="E13" s="28" t="s">
        <v>2067</v>
      </c>
      <c r="F13" s="36" t="n">
        <v>0.0875</v>
      </c>
      <c r="G13" s="40" t="n">
        <f aca="false">IFERROR(VLOOKUP("计算机|8-计算机行业订单增速",指标更新台账_v3!$A$2:$I$600,9,FALSE()),0)</f>
        <v>8</v>
      </c>
      <c r="H13" s="38" t="s">
        <v>2234</v>
      </c>
      <c r="I13" s="35" t="s">
        <v>2291</v>
      </c>
      <c r="J13" s="39" t="s">
        <v>2745</v>
      </c>
      <c r="K13" s="28" t="s">
        <v>2100</v>
      </c>
      <c r="L13" s="12" t="n">
        <v>0.1</v>
      </c>
      <c r="M13" s="6" t="s">
        <v>2082</v>
      </c>
      <c r="N13" s="6" t="s">
        <v>279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2746</v>
      </c>
      <c r="B15" s="28" t="s">
        <v>127</v>
      </c>
      <c r="C15" s="35" t="s">
        <v>338</v>
      </c>
      <c r="D15" s="28" t="s">
        <v>217</v>
      </c>
      <c r="E15" s="28" t="s">
        <v>2067</v>
      </c>
      <c r="F15" s="36" t="n">
        <v>0.06</v>
      </c>
      <c r="G15" s="37" t="n">
        <f aca="false">IFERROR(VLOOKUP("计算机|9-计算机企业季度净利润",指标更新台账_v3!$A$2:$I$600,9,FALSE()),0)</f>
        <v>6</v>
      </c>
      <c r="H15" s="38" t="s">
        <v>2186</v>
      </c>
      <c r="I15" s="35" t="s">
        <v>2080</v>
      </c>
      <c r="J15" s="38" t="s">
        <v>2747</v>
      </c>
      <c r="K15" s="28" t="s">
        <v>2100</v>
      </c>
      <c r="L15" s="12" t="n">
        <v>0.1</v>
      </c>
      <c r="M15" s="6" t="s">
        <v>2101</v>
      </c>
      <c r="N15" s="6" t="s">
        <v>131</v>
      </c>
    </row>
    <row r="16" customFormat="false" ht="28.5" hidden="false" customHeight="true" outlineLevel="0" collapsed="false">
      <c r="A16" s="35" t="s">
        <v>2748</v>
      </c>
      <c r="B16" s="28" t="s">
        <v>127</v>
      </c>
      <c r="C16" s="35" t="s">
        <v>259</v>
      </c>
      <c r="D16" s="35" t="s">
        <v>129</v>
      </c>
      <c r="E16" s="28" t="s">
        <v>2067</v>
      </c>
      <c r="F16" s="36" t="n">
        <v>0.048</v>
      </c>
      <c r="G16" s="37" t="n">
        <f aca="false">IFERROR(VLOOKUP("计算机|10-计算机行业毛利率",指标更新台账_v3!$A$2:$I$600,9,FALSE()),0)</f>
        <v>6</v>
      </c>
      <c r="H16" s="38" t="s">
        <v>2749</v>
      </c>
      <c r="I16" s="35" t="s">
        <v>2089</v>
      </c>
      <c r="J16" s="39" t="s">
        <v>2750</v>
      </c>
      <c r="K16" s="28" t="s">
        <v>2100</v>
      </c>
      <c r="L16" s="12" t="n">
        <v>0.08</v>
      </c>
      <c r="M16" s="6" t="s">
        <v>2101</v>
      </c>
      <c r="N16" s="6" t="s">
        <v>94</v>
      </c>
    </row>
    <row r="17" customFormat="false" ht="28.5" hidden="false" customHeight="true" outlineLevel="0" collapsed="false">
      <c r="A17" s="35" t="s">
        <v>2751</v>
      </c>
      <c r="B17" s="28" t="s">
        <v>809</v>
      </c>
      <c r="C17" s="35" t="s">
        <v>177</v>
      </c>
      <c r="D17" s="35" t="s">
        <v>85</v>
      </c>
      <c r="E17" s="28" t="s">
        <v>2067</v>
      </c>
      <c r="F17" s="36" t="n">
        <v>0.042</v>
      </c>
      <c r="G17" s="40" t="n">
        <f aca="false">IFERROR(VLOOKUP("计算机|11-软件从业人员增速",指标更新台账_v3!$A$2:$I$600,9,FALSE()),0)</f>
        <v>8</v>
      </c>
      <c r="H17" s="38" t="s">
        <v>2149</v>
      </c>
      <c r="I17" s="35" t="s">
        <v>2103</v>
      </c>
      <c r="J17" s="39" t="s">
        <v>2752</v>
      </c>
      <c r="K17" s="28" t="s">
        <v>2100</v>
      </c>
      <c r="L17" s="12" t="n">
        <v>0.07</v>
      </c>
      <c r="M17" s="6" t="s">
        <v>2101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2" t="n">
        <f aca="false">ROUND(SUMPRODUCT(F5:F17,G5:G17),1)</f>
        <v>7.9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2753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2754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7.2</v>
      </c>
    </row>
    <row r="5" customFormat="false" ht="28.5" hidden="false" customHeight="true" outlineLevel="0" collapsed="false">
      <c r="A5" s="35" t="s">
        <v>2755</v>
      </c>
      <c r="B5" s="35" t="s">
        <v>831</v>
      </c>
      <c r="C5" s="35" t="s">
        <v>832</v>
      </c>
      <c r="D5" s="35" t="s">
        <v>85</v>
      </c>
      <c r="E5" s="28" t="s">
        <v>2067</v>
      </c>
      <c r="F5" s="36" t="n">
        <v>0.1333</v>
      </c>
      <c r="G5" s="40" t="n">
        <f aca="false">IFERROR(VLOOKUP("传媒|1-互联网广告收入增速",指标更新台账_v3!$A$2:$I$600,9,FALSE()),0)</f>
        <v>8</v>
      </c>
      <c r="H5" s="38" t="s">
        <v>2472</v>
      </c>
      <c r="I5" s="35" t="s">
        <v>2242</v>
      </c>
      <c r="J5" s="39" t="s">
        <v>2756</v>
      </c>
      <c r="K5" s="28" t="s">
        <v>2100</v>
      </c>
      <c r="L5" s="12" t="n">
        <v>0.15</v>
      </c>
      <c r="M5" s="6" t="s">
        <v>2211</v>
      </c>
      <c r="N5" s="6" t="s">
        <v>213</v>
      </c>
      <c r="O5" s="12" t="s">
        <v>108</v>
      </c>
      <c r="P5" s="12" t="n">
        <f aca="false">ROUND(SUMPRODUCT(F10:F13,G10:G13)/SUM(F10:F13),1)</f>
        <v>7</v>
      </c>
    </row>
    <row r="6" customFormat="false" ht="28.5" hidden="false" customHeight="true" outlineLevel="0" collapsed="false">
      <c r="A6" s="35" t="s">
        <v>2757</v>
      </c>
      <c r="B6" s="28" t="s">
        <v>835</v>
      </c>
      <c r="C6" s="35" t="s">
        <v>123</v>
      </c>
      <c r="D6" s="28" t="s">
        <v>2393</v>
      </c>
      <c r="E6" s="28" t="s">
        <v>2433</v>
      </c>
      <c r="F6" s="36" t="n">
        <v>0.1067</v>
      </c>
      <c r="G6" s="40" t="n">
        <f aca="false">IFERROR(VLOOKUP("传媒|2-游戏版号发放数量",指标更新台账_v3!$A$2:$I$600,9,FALSE()),0)</f>
        <v>8</v>
      </c>
      <c r="H6" s="38" t="s">
        <v>2758</v>
      </c>
      <c r="I6" s="35" t="s">
        <v>2223</v>
      </c>
      <c r="J6" s="39" t="s">
        <v>2759</v>
      </c>
      <c r="K6" s="28" t="s">
        <v>2052</v>
      </c>
      <c r="L6" s="12" t="n">
        <v>0.12</v>
      </c>
      <c r="M6" s="6" t="s">
        <v>2211</v>
      </c>
      <c r="N6" s="6" t="s">
        <v>279</v>
      </c>
      <c r="O6" s="12" t="s">
        <v>125</v>
      </c>
      <c r="P6" s="12" t="n">
        <f aca="false">ROUND(SUMPRODUCT(F15:F17,G15:G17)/SUM(F15:F17),1)</f>
        <v>6.6</v>
      </c>
    </row>
    <row r="7" customFormat="false" ht="28.5" hidden="false" customHeight="true" outlineLevel="0" collapsed="false">
      <c r="A7" s="35" t="s">
        <v>2760</v>
      </c>
      <c r="B7" s="35" t="s">
        <v>831</v>
      </c>
      <c r="C7" s="35" t="s">
        <v>177</v>
      </c>
      <c r="D7" s="35" t="s">
        <v>85</v>
      </c>
      <c r="E7" s="28" t="s">
        <v>2067</v>
      </c>
      <c r="F7" s="36" t="n">
        <v>0.0889</v>
      </c>
      <c r="G7" s="37" t="n">
        <f aca="false">IFERROR(VLOOKUP("传媒|3-短视频用户时长",指标更新台账_v3!$A$2:$I$600,9,FALSE()),0)</f>
        <v>6</v>
      </c>
      <c r="H7" s="38" t="s">
        <v>2149</v>
      </c>
      <c r="I7" s="35" t="s">
        <v>2103</v>
      </c>
      <c r="J7" s="39" t="s">
        <v>2761</v>
      </c>
      <c r="K7" s="28" t="s">
        <v>2100</v>
      </c>
      <c r="L7" s="12" t="n">
        <v>0.1</v>
      </c>
      <c r="M7" s="6" t="s">
        <v>2211</v>
      </c>
      <c r="N7" s="6" t="s">
        <v>88</v>
      </c>
    </row>
    <row r="8" customFormat="false" ht="28.5" hidden="false" customHeight="true" outlineLevel="0" collapsed="false">
      <c r="A8" s="35" t="s">
        <v>2762</v>
      </c>
      <c r="B8" s="35" t="s">
        <v>840</v>
      </c>
      <c r="C8" s="35" t="s">
        <v>249</v>
      </c>
      <c r="D8" s="35" t="s">
        <v>85</v>
      </c>
      <c r="E8" s="28" t="s">
        <v>2067</v>
      </c>
      <c r="F8" s="36" t="n">
        <v>0.0711</v>
      </c>
      <c r="G8" s="37" t="n">
        <f aca="false">IFERROR(VLOOKUP("传媒|4-广告主预算变化",指标更新台账_v3!$A$2:$I$600,9,FALSE()),0)</f>
        <v>6</v>
      </c>
      <c r="H8" s="38" t="s">
        <v>2149</v>
      </c>
      <c r="I8" s="35" t="s">
        <v>2089</v>
      </c>
      <c r="J8" s="39" t="s">
        <v>2763</v>
      </c>
      <c r="K8" s="28" t="s">
        <v>2100</v>
      </c>
      <c r="L8" s="12" t="n">
        <v>0.08</v>
      </c>
      <c r="M8" s="6" t="s">
        <v>2211</v>
      </c>
      <c r="N8" s="6" t="s">
        <v>279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2764</v>
      </c>
      <c r="B10" s="28" t="s">
        <v>843</v>
      </c>
      <c r="C10" s="35" t="s">
        <v>528</v>
      </c>
      <c r="D10" s="35" t="s">
        <v>85</v>
      </c>
      <c r="E10" s="28" t="s">
        <v>2067</v>
      </c>
      <c r="F10" s="36" t="n">
        <v>0.12</v>
      </c>
      <c r="G10" s="40" t="n">
        <f aca="false">IFERROR(VLOOKUP("传媒|5-游戏市场规模",指标更新台账_v3!$A$2:$I$600,9,FALSE()),0)</f>
        <v>8</v>
      </c>
      <c r="H10" s="38" t="s">
        <v>2472</v>
      </c>
      <c r="I10" s="35" t="s">
        <v>2291</v>
      </c>
      <c r="J10" s="39" t="s">
        <v>2765</v>
      </c>
      <c r="K10" s="28" t="s">
        <v>2100</v>
      </c>
      <c r="L10" s="12" t="n">
        <v>0.12</v>
      </c>
      <c r="M10" s="6" t="s">
        <v>2211</v>
      </c>
      <c r="N10" s="6" t="s">
        <v>88</v>
      </c>
    </row>
    <row r="11" customFormat="false" ht="28.5" hidden="false" customHeight="true" outlineLevel="0" collapsed="false">
      <c r="A11" s="35" t="s">
        <v>2766</v>
      </c>
      <c r="B11" s="28" t="s">
        <v>2560</v>
      </c>
      <c r="C11" s="35" t="s">
        <v>259</v>
      </c>
      <c r="D11" s="28" t="s">
        <v>2561</v>
      </c>
      <c r="E11" s="28" t="s">
        <v>2067</v>
      </c>
      <c r="F11" s="36" t="n">
        <v>0.1</v>
      </c>
      <c r="G11" s="37" t="n">
        <f aca="false">IFERROR(VLOOKUP("传媒|6-电影票房收入",指标更新台账_v3!$A$2:$I$600,9,FALSE()),0)</f>
        <v>6</v>
      </c>
      <c r="H11" s="38" t="s">
        <v>2562</v>
      </c>
      <c r="I11" s="35" t="s">
        <v>2069</v>
      </c>
      <c r="J11" s="39" t="s">
        <v>2767</v>
      </c>
      <c r="K11" s="28" t="s">
        <v>2052</v>
      </c>
      <c r="L11" s="12" t="n">
        <v>0.1</v>
      </c>
      <c r="M11" s="6" t="s">
        <v>2211</v>
      </c>
      <c r="N11" s="6" t="s">
        <v>213</v>
      </c>
    </row>
    <row r="12" customFormat="false" ht="28.5" hidden="false" customHeight="true" outlineLevel="0" collapsed="false">
      <c r="A12" s="35" t="s">
        <v>2768</v>
      </c>
      <c r="B12" s="28" t="s">
        <v>2769</v>
      </c>
      <c r="C12" s="35" t="s">
        <v>849</v>
      </c>
      <c r="D12" s="28" t="s">
        <v>850</v>
      </c>
      <c r="E12" s="28" t="s">
        <v>2067</v>
      </c>
      <c r="F12" s="36" t="n">
        <v>0.1</v>
      </c>
      <c r="G12" s="37" t="n">
        <f aca="false">IFERROR(VLOOKUP("传媒|7-在线视频付费用户数",指标更新台账_v3!$A$2:$I$600,9,FALSE()),0)</f>
        <v>6</v>
      </c>
      <c r="H12" s="38" t="s">
        <v>2770</v>
      </c>
      <c r="I12" s="35" t="s">
        <v>2080</v>
      </c>
      <c r="J12" s="39" t="s">
        <v>2771</v>
      </c>
      <c r="K12" s="28" t="s">
        <v>2100</v>
      </c>
      <c r="L12" s="12" t="n">
        <v>0.1</v>
      </c>
      <c r="M12" s="6" t="s">
        <v>2211</v>
      </c>
      <c r="N12" s="6" t="s">
        <v>88</v>
      </c>
    </row>
    <row r="13" customFormat="false" ht="28.5" hidden="false" customHeight="true" outlineLevel="0" collapsed="false">
      <c r="A13" s="35" t="s">
        <v>2772</v>
      </c>
      <c r="B13" s="28" t="s">
        <v>788</v>
      </c>
      <c r="C13" s="35" t="s">
        <v>278</v>
      </c>
      <c r="D13" s="35" t="s">
        <v>85</v>
      </c>
      <c r="E13" s="28" t="s">
        <v>2067</v>
      </c>
      <c r="F13" s="36" t="n">
        <v>0.08</v>
      </c>
      <c r="G13" s="40" t="n">
        <f aca="false">IFERROR(VLOOKUP("传媒|8-直播电商GMV",指标更新台账_v3!$A$2:$I$600,9,FALSE()),0)</f>
        <v>8</v>
      </c>
      <c r="H13" s="38" t="s">
        <v>2241</v>
      </c>
      <c r="I13" s="35" t="s">
        <v>2223</v>
      </c>
      <c r="J13" s="39" t="s">
        <v>2773</v>
      </c>
      <c r="K13" s="28" t="s">
        <v>2100</v>
      </c>
      <c r="L13" s="12" t="n">
        <v>0.08</v>
      </c>
      <c r="M13" s="6" t="s">
        <v>2211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2774</v>
      </c>
      <c r="B15" s="28" t="s">
        <v>127</v>
      </c>
      <c r="C15" s="35" t="s">
        <v>677</v>
      </c>
      <c r="D15" s="28" t="s">
        <v>217</v>
      </c>
      <c r="E15" s="28" t="s">
        <v>2067</v>
      </c>
      <c r="F15" s="36" t="n">
        <v>0.08</v>
      </c>
      <c r="G15" s="37" t="n">
        <f aca="false">IFERROR(VLOOKUP("传媒|9-传媒企业季度净利润",指标更新台账_v3!$A$2:$I$600,9,FALSE()),0)</f>
        <v>6</v>
      </c>
      <c r="H15" s="38" t="s">
        <v>2775</v>
      </c>
      <c r="I15" s="35" t="s">
        <v>2080</v>
      </c>
      <c r="J15" s="38" t="s">
        <v>2776</v>
      </c>
      <c r="K15" s="28" t="s">
        <v>2100</v>
      </c>
      <c r="L15" s="12" t="n">
        <v>0.1</v>
      </c>
      <c r="M15" s="6" t="s">
        <v>2296</v>
      </c>
      <c r="N15" s="6" t="s">
        <v>131</v>
      </c>
    </row>
    <row r="16" customFormat="false" ht="28.5" hidden="false" customHeight="true" outlineLevel="0" collapsed="false">
      <c r="A16" s="35" t="s">
        <v>2777</v>
      </c>
      <c r="B16" s="28" t="s">
        <v>127</v>
      </c>
      <c r="C16" s="35" t="s">
        <v>338</v>
      </c>
      <c r="D16" s="35" t="s">
        <v>129</v>
      </c>
      <c r="E16" s="28" t="s">
        <v>2067</v>
      </c>
      <c r="F16" s="36" t="n">
        <v>0.064</v>
      </c>
      <c r="G16" s="40" t="n">
        <f aca="false">IFERROR(VLOOKUP("传媒|10-传媒行业毛利率",指标更新台账_v3!$A$2:$I$600,9,FALSE()),0)</f>
        <v>8</v>
      </c>
      <c r="H16" s="38" t="s">
        <v>2568</v>
      </c>
      <c r="I16" s="35" t="s">
        <v>2142</v>
      </c>
      <c r="J16" s="39" t="s">
        <v>2778</v>
      </c>
      <c r="K16" s="28" t="s">
        <v>2100</v>
      </c>
      <c r="L16" s="12" t="n">
        <v>0.08</v>
      </c>
      <c r="M16" s="6" t="s">
        <v>2296</v>
      </c>
      <c r="N16" s="6" t="s">
        <v>94</v>
      </c>
    </row>
    <row r="17" customFormat="false" ht="14.25" hidden="false" customHeight="true" outlineLevel="0" collapsed="false">
      <c r="A17" s="35" t="s">
        <v>2779</v>
      </c>
      <c r="B17" s="28" t="s">
        <v>127</v>
      </c>
      <c r="C17" s="35" t="s">
        <v>287</v>
      </c>
      <c r="D17" s="28" t="s">
        <v>859</v>
      </c>
      <c r="E17" s="28" t="s">
        <v>2067</v>
      </c>
      <c r="F17" s="36" t="n">
        <v>0.056</v>
      </c>
      <c r="G17" s="37" t="n">
        <f aca="false">IFERROR(VLOOKUP("传媒|11-传媒行业人均产出",指标更新台账_v3!$A$2:$I$600,9,FALSE()),0)</f>
        <v>6</v>
      </c>
      <c r="H17" s="38" t="s">
        <v>2758</v>
      </c>
      <c r="I17" s="35" t="s">
        <v>2089</v>
      </c>
      <c r="J17" s="39" t="s">
        <v>2780</v>
      </c>
      <c r="K17" s="28" t="s">
        <v>2075</v>
      </c>
      <c r="L17" s="12" t="n">
        <v>0.07</v>
      </c>
      <c r="M17" s="6" t="s">
        <v>2296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5" t="n">
        <f aca="false">ROUND(SUMPRODUCT(F5:F17,G5:G17),1)</f>
        <v>7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2781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2782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9.5</v>
      </c>
    </row>
    <row r="5" customFormat="false" ht="28.5" hidden="false" customHeight="true" outlineLevel="0" collapsed="false">
      <c r="A5" s="35" t="s">
        <v>2783</v>
      </c>
      <c r="B5" s="28" t="s">
        <v>809</v>
      </c>
      <c r="C5" s="35" t="s">
        <v>863</v>
      </c>
      <c r="D5" s="28" t="s">
        <v>864</v>
      </c>
      <c r="E5" s="28" t="s">
        <v>2433</v>
      </c>
      <c r="F5" s="36" t="n">
        <v>0.1667</v>
      </c>
      <c r="G5" s="40" t="n">
        <f aca="false">IFERROR(VLOOKUP("通信|1-5G基站建设进度",指标更新台账_v3!$A$2:$I$600,9,FALSE()),0)</f>
        <v>10</v>
      </c>
      <c r="H5" s="38" t="s">
        <v>2551</v>
      </c>
      <c r="I5" s="35" t="s">
        <v>2784</v>
      </c>
      <c r="J5" s="38" t="s">
        <v>2785</v>
      </c>
      <c r="K5" s="28" t="s">
        <v>2100</v>
      </c>
      <c r="L5" s="12" t="n">
        <v>0.15</v>
      </c>
      <c r="M5" s="6" t="s">
        <v>2053</v>
      </c>
      <c r="N5" s="6" t="s">
        <v>88</v>
      </c>
      <c r="O5" s="12" t="s">
        <v>108</v>
      </c>
      <c r="P5" s="12" t="n">
        <f aca="false">ROUND(SUMPRODUCT(F10:F13,G10:G13)/SUM(F10:F13),1)</f>
        <v>8.5</v>
      </c>
    </row>
    <row r="6" customFormat="false" ht="28.5" hidden="false" customHeight="true" outlineLevel="0" collapsed="false">
      <c r="A6" s="35" t="s">
        <v>2786</v>
      </c>
      <c r="B6" s="28" t="s">
        <v>867</v>
      </c>
      <c r="C6" s="35" t="s">
        <v>868</v>
      </c>
      <c r="D6" s="28" t="s">
        <v>217</v>
      </c>
      <c r="E6" s="28" t="s">
        <v>2433</v>
      </c>
      <c r="F6" s="36" t="n">
        <v>0.1333</v>
      </c>
      <c r="G6" s="40" t="n">
        <f aca="false">IFERROR(VLOOKUP("通信|2-运营商资本开支",指标更新台账_v3!$A$2:$I$600,9,FALSE()),0)</f>
        <v>8</v>
      </c>
      <c r="H6" s="38" t="s">
        <v>2787</v>
      </c>
      <c r="I6" s="35" t="s">
        <v>2223</v>
      </c>
      <c r="J6" s="39" t="s">
        <v>2788</v>
      </c>
      <c r="K6" s="28" t="s">
        <v>2075</v>
      </c>
      <c r="L6" s="12" t="n">
        <v>0.12</v>
      </c>
      <c r="M6" s="6" t="s">
        <v>2053</v>
      </c>
      <c r="N6" s="6" t="s">
        <v>88</v>
      </c>
      <c r="O6" s="12" t="s">
        <v>125</v>
      </c>
      <c r="P6" s="12" t="n">
        <f aca="false">ROUND(SUMPRODUCT(F15:F17,G15:G17)/SUM(F15:F17),1)</f>
        <v>8</v>
      </c>
    </row>
    <row r="7" customFormat="false" ht="28.5" hidden="false" customHeight="true" outlineLevel="0" collapsed="false">
      <c r="A7" s="35" t="s">
        <v>2789</v>
      </c>
      <c r="B7" s="35" t="s">
        <v>871</v>
      </c>
      <c r="C7" s="35" t="s">
        <v>872</v>
      </c>
      <c r="D7" s="35" t="s">
        <v>85</v>
      </c>
      <c r="E7" s="28" t="s">
        <v>2067</v>
      </c>
      <c r="F7" s="36" t="n">
        <v>0.1111</v>
      </c>
      <c r="G7" s="40" t="n">
        <f aca="false">IFERROR(VLOOKUP("通信|3-光模块出货量",指标更新台账_v3!$A$2:$I$600,9,FALSE()),0)</f>
        <v>10</v>
      </c>
      <c r="H7" s="38" t="s">
        <v>2568</v>
      </c>
      <c r="I7" s="35" t="s">
        <v>2209</v>
      </c>
      <c r="J7" s="39" t="s">
        <v>2790</v>
      </c>
      <c r="K7" s="28" t="s">
        <v>2100</v>
      </c>
      <c r="L7" s="12" t="n">
        <v>0.1</v>
      </c>
      <c r="M7" s="6" t="s">
        <v>2053</v>
      </c>
      <c r="N7" s="6" t="s">
        <v>213</v>
      </c>
    </row>
    <row r="8" customFormat="false" ht="28.5" hidden="false" customHeight="true" outlineLevel="0" collapsed="false">
      <c r="A8" s="35" t="s">
        <v>2791</v>
      </c>
      <c r="B8" s="28" t="s">
        <v>809</v>
      </c>
      <c r="C8" s="35" t="s">
        <v>875</v>
      </c>
      <c r="D8" s="28" t="s">
        <v>876</v>
      </c>
      <c r="E8" s="28" t="s">
        <v>2433</v>
      </c>
      <c r="F8" s="36" t="n">
        <v>0.0889</v>
      </c>
      <c r="G8" s="40" t="n">
        <f aca="false">IFERROR(VLOOKUP("通信|4-数据中心建设规模",指标更新台账_v3!$A$2:$I$600,9,FALSE()),0)</f>
        <v>10</v>
      </c>
      <c r="H8" s="38" t="s">
        <v>2758</v>
      </c>
      <c r="I8" s="35" t="s">
        <v>2238</v>
      </c>
      <c r="J8" s="39" t="s">
        <v>2792</v>
      </c>
      <c r="K8" s="28" t="s">
        <v>2075</v>
      </c>
      <c r="L8" s="12" t="n">
        <v>0.08</v>
      </c>
      <c r="M8" s="6" t="s">
        <v>2053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2793</v>
      </c>
      <c r="B10" s="28" t="s">
        <v>809</v>
      </c>
      <c r="C10" s="35" t="s">
        <v>270</v>
      </c>
      <c r="D10" s="35" t="s">
        <v>85</v>
      </c>
      <c r="E10" s="28" t="s">
        <v>2067</v>
      </c>
      <c r="F10" s="36" t="n">
        <v>0.105</v>
      </c>
      <c r="G10" s="40" t="n">
        <f aca="false">IFERROR(VLOOKUP("通信|5-移动互联网流量",指标更新台账_v3!$A$2:$I$600,9,FALSE()),0)</f>
        <v>8</v>
      </c>
      <c r="H10" s="38" t="s">
        <v>2326</v>
      </c>
      <c r="I10" s="35" t="s">
        <v>2223</v>
      </c>
      <c r="J10" s="39" t="s">
        <v>2794</v>
      </c>
      <c r="K10" s="28" t="s">
        <v>2052</v>
      </c>
      <c r="L10" s="12" t="n">
        <v>0.12</v>
      </c>
      <c r="M10" s="6" t="s">
        <v>2082</v>
      </c>
      <c r="N10" s="6" t="s">
        <v>88</v>
      </c>
    </row>
    <row r="11" customFormat="false" ht="28.5" hidden="false" customHeight="true" outlineLevel="0" collapsed="false">
      <c r="A11" s="35" t="s">
        <v>2795</v>
      </c>
      <c r="B11" s="28" t="s">
        <v>867</v>
      </c>
      <c r="C11" s="35" t="s">
        <v>881</v>
      </c>
      <c r="D11" s="28" t="s">
        <v>850</v>
      </c>
      <c r="E11" s="28" t="s">
        <v>2433</v>
      </c>
      <c r="F11" s="36" t="n">
        <v>0.0875</v>
      </c>
      <c r="G11" s="40" t="n">
        <f aca="false">IFERROR(VLOOKUP("通信|6-5G用户数",指标更新台账_v3!$A$2:$I$600,9,FALSE()),0)</f>
        <v>10</v>
      </c>
      <c r="H11" s="38" t="s">
        <v>2796</v>
      </c>
      <c r="I11" s="35" t="s">
        <v>2784</v>
      </c>
      <c r="J11" s="38" t="s">
        <v>2797</v>
      </c>
      <c r="K11" s="28" t="s">
        <v>2052</v>
      </c>
      <c r="L11" s="12" t="n">
        <v>0.1</v>
      </c>
      <c r="M11" s="6" t="s">
        <v>2082</v>
      </c>
      <c r="N11" s="6" t="s">
        <v>88</v>
      </c>
    </row>
    <row r="12" customFormat="false" ht="28.5" hidden="false" customHeight="true" outlineLevel="0" collapsed="false">
      <c r="A12" s="35" t="s">
        <v>2798</v>
      </c>
      <c r="B12" s="28" t="s">
        <v>809</v>
      </c>
      <c r="C12" s="35" t="s">
        <v>253</v>
      </c>
      <c r="D12" s="35" t="s">
        <v>85</v>
      </c>
      <c r="E12" s="28" t="s">
        <v>2067</v>
      </c>
      <c r="F12" s="36" t="n">
        <v>0.0875</v>
      </c>
      <c r="G12" s="40" t="n">
        <f aca="false">IFERROR(VLOOKUP("通信|7-电信业务收入",指标更新台账_v3!$A$2:$I$600,9,FALSE()),0)</f>
        <v>8</v>
      </c>
      <c r="H12" s="38" t="s">
        <v>2312</v>
      </c>
      <c r="I12" s="35" t="s">
        <v>2085</v>
      </c>
      <c r="J12" s="39" t="s">
        <v>2799</v>
      </c>
      <c r="K12" s="28" t="s">
        <v>2052</v>
      </c>
      <c r="L12" s="12" t="n">
        <v>0.1</v>
      </c>
      <c r="M12" s="6" t="s">
        <v>2082</v>
      </c>
      <c r="N12" s="6" t="s">
        <v>213</v>
      </c>
    </row>
    <row r="13" customFormat="false" ht="28.5" hidden="false" customHeight="true" outlineLevel="0" collapsed="false">
      <c r="A13" s="35" t="s">
        <v>2800</v>
      </c>
      <c r="B13" s="28" t="s">
        <v>809</v>
      </c>
      <c r="C13" s="35" t="s">
        <v>240</v>
      </c>
      <c r="D13" s="35" t="s">
        <v>85</v>
      </c>
      <c r="E13" s="28" t="s">
        <v>2067</v>
      </c>
      <c r="F13" s="36" t="n">
        <v>0.07</v>
      </c>
      <c r="G13" s="40" t="n">
        <f aca="false">IFERROR(VLOOKUP("通信|8-通信设备出货量",指标更新台账_v3!$A$2:$I$600,9,FALSE()),0)</f>
        <v>8</v>
      </c>
      <c r="H13" s="38" t="s">
        <v>2472</v>
      </c>
      <c r="I13" s="35" t="s">
        <v>2242</v>
      </c>
      <c r="J13" s="39" t="s">
        <v>2801</v>
      </c>
      <c r="K13" s="28" t="s">
        <v>2052</v>
      </c>
      <c r="L13" s="12" t="n">
        <v>0.08</v>
      </c>
      <c r="M13" s="6" t="s">
        <v>2082</v>
      </c>
      <c r="N13" s="6" t="s">
        <v>213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2802</v>
      </c>
      <c r="B15" s="28" t="s">
        <v>127</v>
      </c>
      <c r="C15" s="35" t="s">
        <v>888</v>
      </c>
      <c r="D15" s="28" t="s">
        <v>217</v>
      </c>
      <c r="E15" s="28" t="s">
        <v>2067</v>
      </c>
      <c r="F15" s="36" t="n">
        <v>0.06</v>
      </c>
      <c r="G15" s="40" t="n">
        <f aca="false">IFERROR(VLOOKUP("通信|9-通信企业季度净利润",指标更新台账_v3!$A$2:$I$600,9,FALSE()),0)</f>
        <v>8</v>
      </c>
      <c r="H15" s="38" t="s">
        <v>2513</v>
      </c>
      <c r="I15" s="35" t="s">
        <v>2223</v>
      </c>
      <c r="J15" s="38" t="s">
        <v>2803</v>
      </c>
      <c r="K15" s="28" t="s">
        <v>2100</v>
      </c>
      <c r="L15" s="12" t="n">
        <v>0.1</v>
      </c>
      <c r="M15" s="6" t="s">
        <v>2101</v>
      </c>
      <c r="N15" s="6" t="s">
        <v>131</v>
      </c>
    </row>
    <row r="16" customFormat="false" ht="14.25" hidden="false" customHeight="true" outlineLevel="0" collapsed="false">
      <c r="A16" s="35" t="s">
        <v>2804</v>
      </c>
      <c r="B16" s="28" t="s">
        <v>127</v>
      </c>
      <c r="C16" s="35" t="s">
        <v>793</v>
      </c>
      <c r="D16" s="35" t="s">
        <v>129</v>
      </c>
      <c r="E16" s="28" t="s">
        <v>2067</v>
      </c>
      <c r="F16" s="36" t="n">
        <v>0.048</v>
      </c>
      <c r="G16" s="40" t="n">
        <f aca="false">IFERROR(VLOOKUP("通信|10-通信行业ROE",指标更新台账_v3!$A$2:$I$600,9,FALSE()),0)</f>
        <v>8</v>
      </c>
      <c r="H16" s="38" t="s">
        <v>2294</v>
      </c>
      <c r="I16" s="35" t="s">
        <v>2103</v>
      </c>
      <c r="J16" s="38" t="s">
        <v>2805</v>
      </c>
      <c r="K16" s="28" t="s">
        <v>2100</v>
      </c>
      <c r="L16" s="12" t="n">
        <v>0.08</v>
      </c>
      <c r="M16" s="6" t="s">
        <v>2101</v>
      </c>
      <c r="N16" s="6" t="s">
        <v>131</v>
      </c>
    </row>
    <row r="17" customFormat="false" ht="28.5" hidden="false" customHeight="true" outlineLevel="0" collapsed="false">
      <c r="A17" s="35" t="s">
        <v>2806</v>
      </c>
      <c r="B17" s="28" t="s">
        <v>127</v>
      </c>
      <c r="C17" s="35" t="s">
        <v>372</v>
      </c>
      <c r="D17" s="35" t="s">
        <v>129</v>
      </c>
      <c r="E17" s="28" t="s">
        <v>2062</v>
      </c>
      <c r="F17" s="36" t="n">
        <v>0.042</v>
      </c>
      <c r="G17" s="40" t="n">
        <f aca="false">IFERROR(VLOOKUP("通信|11-通信行业资产负债率",指标更新台账_v3!$A$2:$I$600,9,FALSE()),0)</f>
        <v>8</v>
      </c>
      <c r="H17" s="38" t="s">
        <v>2724</v>
      </c>
      <c r="I17" s="35" t="s">
        <v>2106</v>
      </c>
      <c r="J17" s="39" t="s">
        <v>2452</v>
      </c>
      <c r="K17" s="28" t="s">
        <v>2100</v>
      </c>
      <c r="L17" s="12" t="n">
        <v>0.07</v>
      </c>
      <c r="M17" s="6" t="s">
        <v>2101</v>
      </c>
      <c r="N17" s="6" t="s">
        <v>168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2" t="n">
        <f aca="false">ROUND(SUMPRODUCT(F5:F17,G5:G17),1)</f>
        <v>8.9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2807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2808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8</v>
      </c>
    </row>
    <row r="5" customFormat="false" ht="28.5" hidden="false" customHeight="true" outlineLevel="0" collapsed="false">
      <c r="A5" s="35" t="s">
        <v>2809</v>
      </c>
      <c r="B5" s="28" t="s">
        <v>553</v>
      </c>
      <c r="C5" s="35" t="s">
        <v>896</v>
      </c>
      <c r="D5" s="35" t="s">
        <v>85</v>
      </c>
      <c r="E5" s="28" t="s">
        <v>2067</v>
      </c>
      <c r="F5" s="36" t="n">
        <v>0.1</v>
      </c>
      <c r="G5" s="40" t="n">
        <f aca="false">IFERROR(VLOOKUP("银行|1-社融规模增速",指标更新台账_v3!$A$2:$I$600,9,FALSE()),0)</f>
        <v>8</v>
      </c>
      <c r="H5" s="38" t="s">
        <v>2810</v>
      </c>
      <c r="I5" s="35" t="s">
        <v>2089</v>
      </c>
      <c r="J5" s="39" t="s">
        <v>2583</v>
      </c>
      <c r="K5" s="28" t="s">
        <v>2052</v>
      </c>
      <c r="L5" s="12" t="n">
        <v>0.15</v>
      </c>
      <c r="M5" s="6" t="s">
        <v>2306</v>
      </c>
      <c r="N5" s="6" t="s">
        <v>88</v>
      </c>
      <c r="O5" s="12" t="s">
        <v>108</v>
      </c>
      <c r="P5" s="12" t="n">
        <f aca="false">ROUND(SUMPRODUCT(F10:F13,G10:G13)/SUM(F10:F13),1)</f>
        <v>6.5</v>
      </c>
    </row>
    <row r="6" customFormat="false" ht="14.25" hidden="false" customHeight="true" outlineLevel="0" collapsed="false">
      <c r="A6" s="35" t="s">
        <v>2811</v>
      </c>
      <c r="B6" s="28" t="s">
        <v>553</v>
      </c>
      <c r="C6" s="35" t="s">
        <v>899</v>
      </c>
      <c r="D6" s="35" t="s">
        <v>85</v>
      </c>
      <c r="E6" s="28" t="s">
        <v>2067</v>
      </c>
      <c r="F6" s="36" t="n">
        <v>0.08</v>
      </c>
      <c r="G6" s="40" t="n">
        <f aca="false">IFERROR(VLOOKUP("银行|2-M2增速",指标更新台账_v3!$A$2:$I$600,9,FALSE()),0)</f>
        <v>8</v>
      </c>
      <c r="H6" s="38" t="s">
        <v>2812</v>
      </c>
      <c r="I6" s="35" t="s">
        <v>2080</v>
      </c>
      <c r="J6" s="38" t="s">
        <v>2813</v>
      </c>
      <c r="K6" s="28" t="s">
        <v>2052</v>
      </c>
      <c r="L6" s="12" t="n">
        <v>0.12</v>
      </c>
      <c r="M6" s="6" t="s">
        <v>2306</v>
      </c>
      <c r="N6" s="6" t="s">
        <v>88</v>
      </c>
      <c r="O6" s="12" t="s">
        <v>125</v>
      </c>
      <c r="P6" s="12" t="n">
        <f aca="false">ROUND(SUMPRODUCT(F15:F17,G15:G17)/SUM(F15:F17),1)</f>
        <v>6.6</v>
      </c>
    </row>
    <row r="7" customFormat="false" ht="28.5" hidden="false" customHeight="true" outlineLevel="0" collapsed="false">
      <c r="A7" s="35" t="s">
        <v>2814</v>
      </c>
      <c r="B7" s="28" t="s">
        <v>902</v>
      </c>
      <c r="C7" s="35" t="s">
        <v>903</v>
      </c>
      <c r="D7" s="35" t="s">
        <v>129</v>
      </c>
      <c r="E7" s="28" t="s">
        <v>2062</v>
      </c>
      <c r="F7" s="36" t="n">
        <v>0.0667</v>
      </c>
      <c r="G7" s="40" t="n">
        <f aca="false">IFERROR(VLOOKUP("银行|3-10年期国债收益率",指标更新台账_v3!$A$2:$I$600,9,FALSE()),0)</f>
        <v>8</v>
      </c>
      <c r="H7" s="38" t="s">
        <v>2815</v>
      </c>
      <c r="I7" s="35" t="s">
        <v>2064</v>
      </c>
      <c r="J7" s="39" t="s">
        <v>2816</v>
      </c>
      <c r="K7" s="28" t="s">
        <v>2095</v>
      </c>
      <c r="L7" s="12" t="n">
        <v>0.1</v>
      </c>
      <c r="M7" s="6" t="s">
        <v>2306</v>
      </c>
      <c r="N7" s="6" t="s">
        <v>88</v>
      </c>
    </row>
    <row r="8" customFormat="false" ht="28.5" hidden="false" customHeight="true" outlineLevel="0" collapsed="false">
      <c r="A8" s="35" t="s">
        <v>2817</v>
      </c>
      <c r="B8" s="28" t="s">
        <v>553</v>
      </c>
      <c r="C8" s="35" t="s">
        <v>558</v>
      </c>
      <c r="D8" s="35" t="s">
        <v>2818</v>
      </c>
      <c r="E8" s="28" t="s">
        <v>2062</v>
      </c>
      <c r="F8" s="36" t="n">
        <v>0.0533</v>
      </c>
      <c r="G8" s="40" t="n">
        <f aca="false">IFERROR(VLOOKUP("银行|4-LPR利率变化",指标更新台账_v3!$A$2:$I$600,9,FALSE()),0)</f>
        <v>8</v>
      </c>
      <c r="H8" s="39" t="s">
        <v>2819</v>
      </c>
      <c r="I8" s="35" t="s">
        <v>2375</v>
      </c>
      <c r="J8" s="38" t="s">
        <v>2820</v>
      </c>
      <c r="K8" s="28" t="s">
        <v>2052</v>
      </c>
      <c r="L8" s="12" t="n">
        <v>0.08</v>
      </c>
      <c r="M8" s="6" t="s">
        <v>2306</v>
      </c>
      <c r="N8" s="6" t="s">
        <v>94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2821</v>
      </c>
      <c r="B10" s="28" t="s">
        <v>553</v>
      </c>
      <c r="C10" s="35" t="s">
        <v>909</v>
      </c>
      <c r="D10" s="35" t="s">
        <v>85</v>
      </c>
      <c r="E10" s="28" t="s">
        <v>2067</v>
      </c>
      <c r="F10" s="36" t="n">
        <v>0.1286</v>
      </c>
      <c r="G10" s="40" t="n">
        <f aca="false">IFERROR(VLOOKUP("银行|5-人民币贷款增速",指标更新台账_v3!$A$2:$I$600,9,FALSE()),0)</f>
        <v>8</v>
      </c>
      <c r="H10" s="38" t="s">
        <v>2810</v>
      </c>
      <c r="I10" s="35" t="s">
        <v>2080</v>
      </c>
      <c r="J10" s="39" t="s">
        <v>2822</v>
      </c>
      <c r="K10" s="28" t="s">
        <v>2052</v>
      </c>
      <c r="L10" s="12" t="n">
        <v>0.12</v>
      </c>
      <c r="M10" s="6" t="s">
        <v>2197</v>
      </c>
      <c r="N10" s="6" t="s">
        <v>88</v>
      </c>
    </row>
    <row r="11" customFormat="false" ht="28.5" hidden="false" customHeight="true" outlineLevel="0" collapsed="false">
      <c r="A11" s="35" t="s">
        <v>2823</v>
      </c>
      <c r="B11" s="28" t="s">
        <v>912</v>
      </c>
      <c r="C11" s="35" t="s">
        <v>913</v>
      </c>
      <c r="D11" s="35" t="s">
        <v>129</v>
      </c>
      <c r="E11" s="28" t="s">
        <v>2062</v>
      </c>
      <c r="F11" s="36" t="n">
        <v>0.1286</v>
      </c>
      <c r="G11" s="44" t="n">
        <f aca="false">IFERROR(VLOOKUP("银行|6-净息差(NIM)",指标更新台账_v3!$A$2:$I$600,9,FALSE()),0)</f>
        <v>4</v>
      </c>
      <c r="H11" s="38" t="s">
        <v>2824</v>
      </c>
      <c r="I11" s="35" t="s">
        <v>2275</v>
      </c>
      <c r="J11" s="39" t="s">
        <v>2825</v>
      </c>
      <c r="K11" s="28" t="s">
        <v>2100</v>
      </c>
      <c r="L11" s="12" t="n">
        <v>0.12</v>
      </c>
      <c r="M11" s="6" t="s">
        <v>2197</v>
      </c>
      <c r="N11" s="6" t="s">
        <v>131</v>
      </c>
    </row>
    <row r="12" customFormat="false" ht="28.5" hidden="false" customHeight="true" outlineLevel="0" collapsed="false">
      <c r="A12" s="35" t="s">
        <v>2826</v>
      </c>
      <c r="B12" s="28" t="s">
        <v>912</v>
      </c>
      <c r="C12" s="35" t="s">
        <v>916</v>
      </c>
      <c r="D12" s="35" t="s">
        <v>129</v>
      </c>
      <c r="E12" s="28" t="s">
        <v>2062</v>
      </c>
      <c r="F12" s="36" t="n">
        <v>0.1071</v>
      </c>
      <c r="G12" s="40" t="n">
        <f aca="false">IFERROR(VLOOKUP("银行|7-不良贷款率",指标更新台账_v3!$A$2:$I$600,9,FALSE()),0)</f>
        <v>8</v>
      </c>
      <c r="H12" s="38" t="s">
        <v>2827</v>
      </c>
      <c r="I12" s="35" t="s">
        <v>2073</v>
      </c>
      <c r="J12" s="39" t="s">
        <v>2828</v>
      </c>
      <c r="K12" s="28" t="s">
        <v>2100</v>
      </c>
      <c r="L12" s="12" t="n">
        <v>0.1</v>
      </c>
      <c r="M12" s="6" t="s">
        <v>2197</v>
      </c>
      <c r="N12" s="6" t="s">
        <v>168</v>
      </c>
    </row>
    <row r="13" customFormat="false" ht="28.5" hidden="false" customHeight="true" outlineLevel="0" collapsed="false">
      <c r="A13" s="35" t="s">
        <v>2829</v>
      </c>
      <c r="B13" s="28" t="s">
        <v>127</v>
      </c>
      <c r="C13" s="35" t="s">
        <v>327</v>
      </c>
      <c r="D13" s="35" t="s">
        <v>85</v>
      </c>
      <c r="E13" s="28" t="s">
        <v>2067</v>
      </c>
      <c r="F13" s="36" t="n">
        <v>0.0857</v>
      </c>
      <c r="G13" s="37" t="n">
        <f aca="false">IFERROR(VLOOKUP("银行|8-银行中间业务收入增速",指标更新台账_v3!$A$2:$I$600,9,FALSE()),0)</f>
        <v>6</v>
      </c>
      <c r="H13" s="38" t="s">
        <v>2472</v>
      </c>
      <c r="I13" s="35" t="s">
        <v>2069</v>
      </c>
      <c r="J13" s="39" t="s">
        <v>2830</v>
      </c>
      <c r="K13" s="28" t="s">
        <v>2100</v>
      </c>
      <c r="L13" s="12" t="n">
        <v>0.08</v>
      </c>
      <c r="M13" s="6" t="s">
        <v>2197</v>
      </c>
      <c r="N13" s="6" t="s">
        <v>213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14.25" hidden="false" customHeight="true" outlineLevel="0" collapsed="false">
      <c r="A15" s="35" t="s">
        <v>2831</v>
      </c>
      <c r="B15" s="28" t="s">
        <v>127</v>
      </c>
      <c r="C15" s="35" t="s">
        <v>155</v>
      </c>
      <c r="D15" s="35" t="s">
        <v>85</v>
      </c>
      <c r="E15" s="28" t="s">
        <v>2067</v>
      </c>
      <c r="F15" s="36" t="n">
        <v>0.1</v>
      </c>
      <c r="G15" s="37" t="n">
        <f aca="false">IFERROR(VLOOKUP("银行|9-银行季度净利润增速",指标更新台账_v3!$A$2:$I$600,9,FALSE()),0)</f>
        <v>6</v>
      </c>
      <c r="H15" s="38" t="s">
        <v>2149</v>
      </c>
      <c r="I15" s="35" t="s">
        <v>2050</v>
      </c>
      <c r="J15" s="38" t="s">
        <v>2832</v>
      </c>
      <c r="K15" s="28" t="s">
        <v>2100</v>
      </c>
      <c r="L15" s="12" t="n">
        <v>0.1</v>
      </c>
      <c r="M15" s="6" t="s">
        <v>2328</v>
      </c>
      <c r="N15" s="6" t="s">
        <v>131</v>
      </c>
    </row>
    <row r="16" customFormat="false" ht="14.25" hidden="false" customHeight="true" outlineLevel="0" collapsed="false">
      <c r="A16" s="35" t="s">
        <v>2833</v>
      </c>
      <c r="B16" s="28" t="s">
        <v>127</v>
      </c>
      <c r="C16" s="35" t="s">
        <v>923</v>
      </c>
      <c r="D16" s="35" t="s">
        <v>129</v>
      </c>
      <c r="E16" s="28" t="s">
        <v>2062</v>
      </c>
      <c r="F16" s="36" t="n">
        <v>0.08</v>
      </c>
      <c r="G16" s="37" t="n">
        <f aca="false">IFERROR(VLOOKUP("银行|10-银行ROE",指标更新台账_v3!$A$2:$I$600,9,FALSE()),0)</f>
        <v>6</v>
      </c>
      <c r="H16" s="38" t="s">
        <v>2810</v>
      </c>
      <c r="I16" s="35" t="s">
        <v>2106</v>
      </c>
      <c r="J16" s="38" t="s">
        <v>2834</v>
      </c>
      <c r="K16" s="28" t="s">
        <v>2100</v>
      </c>
      <c r="L16" s="12" t="n">
        <v>0.08</v>
      </c>
      <c r="M16" s="6" t="s">
        <v>2328</v>
      </c>
      <c r="N16" s="6" t="s">
        <v>131</v>
      </c>
    </row>
    <row r="17" customFormat="false" ht="28.5" hidden="false" customHeight="true" outlineLevel="0" collapsed="false">
      <c r="A17" s="35" t="s">
        <v>2835</v>
      </c>
      <c r="B17" s="28" t="s">
        <v>912</v>
      </c>
      <c r="C17" s="35" t="s">
        <v>926</v>
      </c>
      <c r="D17" s="35" t="s">
        <v>129</v>
      </c>
      <c r="E17" s="28" t="s">
        <v>2067</v>
      </c>
      <c r="F17" s="36" t="n">
        <v>0.07</v>
      </c>
      <c r="G17" s="40" t="n">
        <f aca="false">IFERROR(VLOOKUP("银行|11-拨备覆盖率",指标更新台账_v3!$A$2:$I$600,9,FALSE()),0)</f>
        <v>8</v>
      </c>
      <c r="H17" s="38" t="s">
        <v>2836</v>
      </c>
      <c r="I17" s="35" t="s">
        <v>2080</v>
      </c>
      <c r="J17" s="39" t="s">
        <v>2837</v>
      </c>
      <c r="K17" s="28" t="s">
        <v>2100</v>
      </c>
      <c r="L17" s="12" t="n">
        <v>0.07</v>
      </c>
      <c r="M17" s="6" t="s">
        <v>2328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2" t="n">
        <f aca="false">ROUND(SUMPRODUCT(F5:F17,G5:G17),1)</f>
        <v>7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2838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2839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7.1</v>
      </c>
    </row>
    <row r="5" customFormat="false" ht="28.5" hidden="false" customHeight="true" outlineLevel="0" collapsed="false">
      <c r="A5" s="35" t="s">
        <v>2840</v>
      </c>
      <c r="B5" s="28" t="s">
        <v>930</v>
      </c>
      <c r="C5" s="35" t="s">
        <v>931</v>
      </c>
      <c r="D5" s="28" t="s">
        <v>217</v>
      </c>
      <c r="E5" s="28" t="s">
        <v>2067</v>
      </c>
      <c r="F5" s="36" t="n">
        <v>0.1167</v>
      </c>
      <c r="G5" s="40" t="n">
        <f aca="false">IFERROR(VLOOKUP("非银金融|1-A股日均成交额",指标更新台账_v3!$A$2:$I$600,9,FALSE()),0)</f>
        <v>8</v>
      </c>
      <c r="H5" s="38" t="s">
        <v>2841</v>
      </c>
      <c r="I5" s="35" t="s">
        <v>2089</v>
      </c>
      <c r="J5" s="39" t="s">
        <v>2842</v>
      </c>
      <c r="K5" s="28" t="s">
        <v>2095</v>
      </c>
      <c r="L5" s="12" t="n">
        <v>0.15</v>
      </c>
      <c r="M5" s="6" t="s">
        <v>2082</v>
      </c>
      <c r="N5" s="6" t="s">
        <v>88</v>
      </c>
      <c r="O5" s="12" t="s">
        <v>108</v>
      </c>
      <c r="P5" s="12" t="n">
        <f aca="false">ROUND(SUMPRODUCT(F10:F13,G10:G13)/SUM(F10:F13),1)</f>
        <v>7.1</v>
      </c>
    </row>
    <row r="6" customFormat="false" ht="28.5" hidden="false" customHeight="true" outlineLevel="0" collapsed="false">
      <c r="A6" s="35" t="s">
        <v>2843</v>
      </c>
      <c r="B6" s="28" t="s">
        <v>930</v>
      </c>
      <c r="C6" s="35" t="s">
        <v>155</v>
      </c>
      <c r="D6" s="35" t="s">
        <v>198</v>
      </c>
      <c r="E6" s="28" t="s">
        <v>2067</v>
      </c>
      <c r="F6" s="36" t="n">
        <v>0.0933</v>
      </c>
      <c r="G6" s="37" t="n">
        <f aca="false">IFERROR(VLOOKUP("非银金融|2-两融余额变化",指标更新台账_v3!$A$2:$I$600,9,FALSE()),0)</f>
        <v>6</v>
      </c>
      <c r="H6" s="38" t="s">
        <v>2191</v>
      </c>
      <c r="I6" s="35" t="s">
        <v>2080</v>
      </c>
      <c r="J6" s="39" t="s">
        <v>2844</v>
      </c>
      <c r="K6" s="28" t="s">
        <v>2052</v>
      </c>
      <c r="L6" s="12" t="n">
        <v>0.12</v>
      </c>
      <c r="M6" s="6" t="s">
        <v>2082</v>
      </c>
      <c r="N6" s="6" t="s">
        <v>88</v>
      </c>
      <c r="O6" s="12" t="s">
        <v>125</v>
      </c>
      <c r="P6" s="12" t="n">
        <f aca="false">ROUND(SUMPRODUCT(F15:F17,G15:G17)/SUM(F15:F17),1)</f>
        <v>7.4</v>
      </c>
    </row>
    <row r="7" customFormat="false" ht="28.5" hidden="false" customHeight="true" outlineLevel="0" collapsed="false">
      <c r="A7" s="35" t="s">
        <v>2845</v>
      </c>
      <c r="B7" s="28" t="s">
        <v>936</v>
      </c>
      <c r="C7" s="35" t="s">
        <v>510</v>
      </c>
      <c r="D7" s="28" t="s">
        <v>217</v>
      </c>
      <c r="E7" s="28" t="s">
        <v>2067</v>
      </c>
      <c r="F7" s="36" t="n">
        <v>0.0778</v>
      </c>
      <c r="G7" s="40" t="n">
        <f aca="false">IFERROR(VLOOKUP("非银金融|3-新成立基金规模",指标更新台账_v3!$A$2:$I$600,9,FALSE()),0)</f>
        <v>8</v>
      </c>
      <c r="H7" s="38" t="s">
        <v>2458</v>
      </c>
      <c r="I7" s="35" t="s">
        <v>2085</v>
      </c>
      <c r="J7" s="39" t="s">
        <v>2846</v>
      </c>
      <c r="K7" s="28" t="s">
        <v>2052</v>
      </c>
      <c r="L7" s="12" t="n">
        <v>0.1</v>
      </c>
      <c r="M7" s="6" t="s">
        <v>2082</v>
      </c>
      <c r="N7" s="6" t="s">
        <v>88</v>
      </c>
    </row>
    <row r="8" customFormat="false" ht="28.5" hidden="false" customHeight="true" outlineLevel="0" collapsed="false">
      <c r="A8" s="35" t="s">
        <v>2847</v>
      </c>
      <c r="B8" s="28" t="s">
        <v>939</v>
      </c>
      <c r="C8" s="35" t="s">
        <v>940</v>
      </c>
      <c r="D8" s="28" t="s">
        <v>217</v>
      </c>
      <c r="E8" s="28" t="s">
        <v>2067</v>
      </c>
      <c r="F8" s="36" t="n">
        <v>0.0622</v>
      </c>
      <c r="G8" s="37" t="n">
        <f aca="false">IFERROR(VLOOKUP("非银金融|4-IPO/再融资规模",指标更新台账_v3!$A$2:$I$600,9,FALSE()),0)</f>
        <v>6</v>
      </c>
      <c r="H8" s="38" t="s">
        <v>2703</v>
      </c>
      <c r="I8" s="35" t="s">
        <v>2069</v>
      </c>
      <c r="J8" s="38" t="s">
        <v>2848</v>
      </c>
      <c r="K8" s="28" t="s">
        <v>2052</v>
      </c>
      <c r="L8" s="12" t="n">
        <v>0.08</v>
      </c>
      <c r="M8" s="6" t="s">
        <v>2082</v>
      </c>
      <c r="N8" s="6" t="s">
        <v>279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2849</v>
      </c>
      <c r="B10" s="28" t="s">
        <v>943</v>
      </c>
      <c r="C10" s="35" t="s">
        <v>308</v>
      </c>
      <c r="D10" s="35" t="s">
        <v>85</v>
      </c>
      <c r="E10" s="28" t="s">
        <v>2067</v>
      </c>
      <c r="F10" s="36" t="n">
        <v>0.135</v>
      </c>
      <c r="G10" s="40" t="n">
        <f aca="false">IFERROR(VLOOKUP("非银金融|5-券商经纪业务收入",指标更新台账_v3!$A$2:$I$600,9,FALSE()),0)</f>
        <v>8</v>
      </c>
      <c r="H10" s="38" t="s">
        <v>2403</v>
      </c>
      <c r="I10" s="35" t="s">
        <v>2085</v>
      </c>
      <c r="J10" s="39" t="s">
        <v>2850</v>
      </c>
      <c r="K10" s="28" t="s">
        <v>2100</v>
      </c>
      <c r="L10" s="12" t="n">
        <v>0.12</v>
      </c>
      <c r="M10" s="6" t="s">
        <v>2197</v>
      </c>
      <c r="N10" s="6" t="s">
        <v>213</v>
      </c>
    </row>
    <row r="11" customFormat="false" ht="28.5" hidden="false" customHeight="true" outlineLevel="0" collapsed="false">
      <c r="A11" s="35" t="s">
        <v>2851</v>
      </c>
      <c r="B11" s="28" t="s">
        <v>943</v>
      </c>
      <c r="C11" s="35" t="s">
        <v>177</v>
      </c>
      <c r="D11" s="35" t="s">
        <v>85</v>
      </c>
      <c r="E11" s="28" t="s">
        <v>2067</v>
      </c>
      <c r="F11" s="36" t="n">
        <v>0.1125</v>
      </c>
      <c r="G11" s="37" t="n">
        <f aca="false">IFERROR(VLOOKUP("非银金融|6-券商投行业务收入",指标更新台账_v3!$A$2:$I$600,9,FALSE()),0)</f>
        <v>6</v>
      </c>
      <c r="H11" s="38" t="s">
        <v>2852</v>
      </c>
      <c r="I11" s="35" t="s">
        <v>2080</v>
      </c>
      <c r="J11" s="39" t="s">
        <v>2853</v>
      </c>
      <c r="K11" s="28" t="s">
        <v>2100</v>
      </c>
      <c r="L11" s="12" t="n">
        <v>0.1</v>
      </c>
      <c r="M11" s="6" t="s">
        <v>2197</v>
      </c>
      <c r="N11" s="6" t="s">
        <v>213</v>
      </c>
    </row>
    <row r="12" customFormat="false" ht="28.5" hidden="false" customHeight="true" outlineLevel="0" collapsed="false">
      <c r="A12" s="35" t="s">
        <v>2854</v>
      </c>
      <c r="B12" s="28" t="s">
        <v>912</v>
      </c>
      <c r="C12" s="35" t="s">
        <v>177</v>
      </c>
      <c r="D12" s="35" t="s">
        <v>85</v>
      </c>
      <c r="E12" s="28" t="s">
        <v>2067</v>
      </c>
      <c r="F12" s="36" t="n">
        <v>0.1125</v>
      </c>
      <c r="G12" s="40" t="n">
        <f aca="false">IFERROR(VLOOKUP("非银金融|7-保险保费收入增速",指标更新台账_v3!$A$2:$I$600,9,FALSE()),0)</f>
        <v>8</v>
      </c>
      <c r="H12" s="38" t="s">
        <v>2149</v>
      </c>
      <c r="I12" s="35" t="s">
        <v>2085</v>
      </c>
      <c r="J12" s="39" t="s">
        <v>2855</v>
      </c>
      <c r="K12" s="28" t="s">
        <v>2052</v>
      </c>
      <c r="L12" s="12" t="n">
        <v>0.1</v>
      </c>
      <c r="M12" s="6" t="s">
        <v>2197</v>
      </c>
      <c r="N12" s="6" t="s">
        <v>213</v>
      </c>
    </row>
    <row r="13" customFormat="false" ht="28.5" hidden="false" customHeight="true" outlineLevel="0" collapsed="false">
      <c r="A13" s="35" t="s">
        <v>2856</v>
      </c>
      <c r="B13" s="28" t="s">
        <v>912</v>
      </c>
      <c r="C13" s="35" t="s">
        <v>648</v>
      </c>
      <c r="D13" s="35" t="s">
        <v>129</v>
      </c>
      <c r="E13" s="28" t="s">
        <v>2067</v>
      </c>
      <c r="F13" s="36" t="n">
        <v>0.09</v>
      </c>
      <c r="G13" s="37" t="n">
        <f aca="false">IFERROR(VLOOKUP("非银金融|8-保险资金运用收益率",指标更新台账_v3!$A$2:$I$600,9,FALSE()),0)</f>
        <v>6</v>
      </c>
      <c r="H13" s="38" t="s">
        <v>2536</v>
      </c>
      <c r="I13" s="35" t="s">
        <v>2069</v>
      </c>
      <c r="J13" s="39" t="s">
        <v>2857</v>
      </c>
      <c r="K13" s="28" t="s">
        <v>2100</v>
      </c>
      <c r="L13" s="12" t="n">
        <v>0.08</v>
      </c>
      <c r="M13" s="6" t="s">
        <v>2197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2858</v>
      </c>
      <c r="B15" s="28" t="s">
        <v>127</v>
      </c>
      <c r="C15" s="35" t="s">
        <v>952</v>
      </c>
      <c r="D15" s="28" t="s">
        <v>217</v>
      </c>
      <c r="E15" s="28" t="s">
        <v>2067</v>
      </c>
      <c r="F15" s="36" t="n">
        <v>0.08</v>
      </c>
      <c r="G15" s="40" t="n">
        <f aca="false">IFERROR(VLOOKUP("非银金融|9-非银企业季度净利润",指标更新台账_v3!$A$2:$I$600,9,FALSE()),0)</f>
        <v>8</v>
      </c>
      <c r="H15" s="38" t="s">
        <v>2859</v>
      </c>
      <c r="I15" s="35" t="s">
        <v>2103</v>
      </c>
      <c r="J15" s="38" t="s">
        <v>2860</v>
      </c>
      <c r="K15" s="28" t="s">
        <v>2100</v>
      </c>
      <c r="L15" s="12" t="n">
        <v>0.1</v>
      </c>
      <c r="M15" s="6" t="s">
        <v>2296</v>
      </c>
      <c r="N15" s="6" t="s">
        <v>131</v>
      </c>
    </row>
    <row r="16" customFormat="false" ht="28.5" hidden="false" customHeight="true" outlineLevel="0" collapsed="false">
      <c r="A16" s="35" t="s">
        <v>2861</v>
      </c>
      <c r="B16" s="28" t="s">
        <v>127</v>
      </c>
      <c r="C16" s="35" t="s">
        <v>128</v>
      </c>
      <c r="D16" s="35" t="s">
        <v>129</v>
      </c>
      <c r="E16" s="28" t="s">
        <v>2067</v>
      </c>
      <c r="F16" s="36" t="n">
        <v>0.064</v>
      </c>
      <c r="G16" s="37" t="n">
        <f aca="false">IFERROR(VLOOKUP("非银金融|10-券商ROE",指标更新台账_v3!$A$2:$I$600,9,FALSE()),0)</f>
        <v>6</v>
      </c>
      <c r="H16" s="38" t="s">
        <v>2294</v>
      </c>
      <c r="I16" s="35" t="s">
        <v>2073</v>
      </c>
      <c r="J16" s="38" t="s">
        <v>2862</v>
      </c>
      <c r="K16" s="28" t="s">
        <v>2100</v>
      </c>
      <c r="L16" s="12" t="n">
        <v>0.08</v>
      </c>
      <c r="M16" s="6" t="s">
        <v>2296</v>
      </c>
      <c r="N16" s="6" t="s">
        <v>131</v>
      </c>
    </row>
    <row r="17" customFormat="false" ht="28.5" hidden="false" customHeight="true" outlineLevel="0" collapsed="false">
      <c r="A17" s="35" t="s">
        <v>2863</v>
      </c>
      <c r="B17" s="28" t="s">
        <v>912</v>
      </c>
      <c r="C17" s="35" t="s">
        <v>957</v>
      </c>
      <c r="D17" s="35" t="s">
        <v>129</v>
      </c>
      <c r="E17" s="28" t="s">
        <v>2067</v>
      </c>
      <c r="F17" s="36" t="n">
        <v>0.056</v>
      </c>
      <c r="G17" s="40" t="n">
        <f aca="false">IFERROR(VLOOKUP("非银金融|11-保险综合偿付能力充足率",指标更新台账_v3!$A$2:$I$600,9,FALSE()),0)</f>
        <v>8</v>
      </c>
      <c r="H17" s="38" t="s">
        <v>2864</v>
      </c>
      <c r="I17" s="35" t="s">
        <v>2080</v>
      </c>
      <c r="J17" s="39" t="s">
        <v>2865</v>
      </c>
      <c r="K17" s="28" t="s">
        <v>2100</v>
      </c>
      <c r="L17" s="12" t="n">
        <v>0.07</v>
      </c>
      <c r="M17" s="6" t="s">
        <v>2296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5" t="n">
        <f aca="false">ROUND(SUMPRODUCT(F5:F17,G5:G17),1)</f>
        <v>7.2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2866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2867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7.3</v>
      </c>
    </row>
    <row r="5" customFormat="false" ht="28.5" hidden="false" customHeight="true" outlineLevel="0" collapsed="false">
      <c r="A5" s="35" t="s">
        <v>2868</v>
      </c>
      <c r="B5" s="28" t="s">
        <v>961</v>
      </c>
      <c r="C5" s="35" t="s">
        <v>962</v>
      </c>
      <c r="D5" s="28"/>
      <c r="E5" s="28" t="s">
        <v>2062</v>
      </c>
      <c r="F5" s="36" t="n">
        <v>0.1333</v>
      </c>
      <c r="G5" s="37" t="n">
        <f aca="false">IFERROR(VLOOKUP("汽车|1-汽车经销商库存系数",指标更新台账_v3!$A$2:$I$600,9,FALSE()),0)</f>
        <v>6</v>
      </c>
      <c r="H5" s="38" t="s">
        <v>2869</v>
      </c>
      <c r="I5" s="35" t="s">
        <v>2069</v>
      </c>
      <c r="J5" s="39" t="s">
        <v>2870</v>
      </c>
      <c r="K5" s="28" t="s">
        <v>2052</v>
      </c>
      <c r="L5" s="12" t="n">
        <v>0.15</v>
      </c>
      <c r="M5" s="6" t="s">
        <v>2211</v>
      </c>
      <c r="N5" s="6" t="s">
        <v>168</v>
      </c>
      <c r="O5" s="12" t="s">
        <v>108</v>
      </c>
      <c r="P5" s="12" t="n">
        <f aca="false">ROUND(SUMPRODUCT(F10:F13,G10:G13)/SUM(F10:F13),1)</f>
        <v>8</v>
      </c>
    </row>
    <row r="6" customFormat="false" ht="28.5" hidden="false" customHeight="true" outlineLevel="0" collapsed="false">
      <c r="A6" s="35" t="s">
        <v>2871</v>
      </c>
      <c r="B6" s="28" t="s">
        <v>965</v>
      </c>
      <c r="C6" s="35" t="s">
        <v>966</v>
      </c>
      <c r="D6" s="35" t="s">
        <v>129</v>
      </c>
      <c r="E6" s="28" t="s">
        <v>2067</v>
      </c>
      <c r="F6" s="36" t="n">
        <v>0.1067</v>
      </c>
      <c r="G6" s="40" t="n">
        <f aca="false">IFERROR(VLOOKUP("汽车|2-新能源汽车渗透率",指标更新台账_v3!$A$2:$I$600,9,FALSE()),0)</f>
        <v>8</v>
      </c>
      <c r="H6" s="38" t="s">
        <v>2330</v>
      </c>
      <c r="I6" s="35" t="s">
        <v>2223</v>
      </c>
      <c r="J6" s="39" t="s">
        <v>2872</v>
      </c>
      <c r="K6" s="28" t="s">
        <v>2052</v>
      </c>
      <c r="L6" s="12" t="n">
        <v>0.12</v>
      </c>
      <c r="M6" s="6" t="s">
        <v>2211</v>
      </c>
      <c r="N6" s="6" t="s">
        <v>88</v>
      </c>
      <c r="O6" s="12" t="s">
        <v>125</v>
      </c>
      <c r="P6" s="12" t="n">
        <f aca="false">ROUND(SUMPRODUCT(F15:F17,G15:G17)/SUM(F15:F17),1)</f>
        <v>7.4</v>
      </c>
    </row>
    <row r="7" customFormat="false" ht="28.5" hidden="false" customHeight="true" outlineLevel="0" collapsed="false">
      <c r="A7" s="35" t="s">
        <v>2873</v>
      </c>
      <c r="B7" s="28" t="s">
        <v>969</v>
      </c>
      <c r="C7" s="35" t="s">
        <v>970</v>
      </c>
      <c r="D7" s="35" t="s">
        <v>85</v>
      </c>
      <c r="E7" s="28" t="s">
        <v>2067</v>
      </c>
      <c r="F7" s="36" t="n">
        <v>0.0889</v>
      </c>
      <c r="G7" s="40" t="n">
        <f aca="false">IFERROR(VLOOKUP("汽车|3-动力电池装车量增速",指标更新台账_v3!$A$2:$I$600,9,FALSE()),0)</f>
        <v>8</v>
      </c>
      <c r="H7" s="38" t="s">
        <v>2568</v>
      </c>
      <c r="I7" s="35" t="s">
        <v>2229</v>
      </c>
      <c r="J7" s="39" t="s">
        <v>2874</v>
      </c>
      <c r="K7" s="28" t="s">
        <v>2052</v>
      </c>
      <c r="L7" s="12" t="n">
        <v>0.1</v>
      </c>
      <c r="M7" s="6" t="s">
        <v>2211</v>
      </c>
      <c r="N7" s="6" t="s">
        <v>88</v>
      </c>
    </row>
    <row r="8" customFormat="false" ht="28.5" hidden="false" customHeight="true" outlineLevel="0" collapsed="false">
      <c r="A8" s="35" t="s">
        <v>2875</v>
      </c>
      <c r="B8" s="28" t="s">
        <v>101</v>
      </c>
      <c r="C8" s="35" t="s">
        <v>278</v>
      </c>
      <c r="D8" s="35" t="s">
        <v>85</v>
      </c>
      <c r="E8" s="28" t="s">
        <v>2067</v>
      </c>
      <c r="F8" s="36" t="n">
        <v>0.0711</v>
      </c>
      <c r="G8" s="40" t="n">
        <f aca="false">IFERROR(VLOOKUP("汽车|4-汽车出口量增速",指标更新台账_v3!$A$2:$I$600,9,FALSE()),0)</f>
        <v>8</v>
      </c>
      <c r="H8" s="38" t="s">
        <v>2241</v>
      </c>
      <c r="I8" s="35" t="s">
        <v>2058</v>
      </c>
      <c r="J8" s="39" t="s">
        <v>2876</v>
      </c>
      <c r="K8" s="28" t="s">
        <v>2052</v>
      </c>
      <c r="L8" s="12" t="n">
        <v>0.08</v>
      </c>
      <c r="M8" s="6" t="s">
        <v>2211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14.25" hidden="false" customHeight="true" outlineLevel="0" collapsed="false">
      <c r="A10" s="35" t="s">
        <v>2877</v>
      </c>
      <c r="B10" s="28" t="s">
        <v>965</v>
      </c>
      <c r="C10" s="35" t="s">
        <v>975</v>
      </c>
      <c r="D10" s="35" t="s">
        <v>85</v>
      </c>
      <c r="E10" s="28" t="s">
        <v>2067</v>
      </c>
      <c r="F10" s="36" t="n">
        <v>0.1333</v>
      </c>
      <c r="G10" s="40" t="n">
        <f aca="false">IFERROR(VLOOKUP("汽车|5-汽车销量增速",指标更新台账_v3!$A$2:$I$600,9,FALSE()),0)</f>
        <v>8</v>
      </c>
      <c r="H10" s="38" t="s">
        <v>2149</v>
      </c>
      <c r="I10" s="35" t="s">
        <v>2085</v>
      </c>
      <c r="J10" s="39" t="s">
        <v>2878</v>
      </c>
      <c r="K10" s="28" t="s">
        <v>2052</v>
      </c>
      <c r="L10" s="12" t="n">
        <v>0.15</v>
      </c>
      <c r="M10" s="6" t="s">
        <v>2211</v>
      </c>
      <c r="N10" s="6" t="s">
        <v>213</v>
      </c>
    </row>
    <row r="11" customFormat="false" ht="14.25" hidden="false" customHeight="true" outlineLevel="0" collapsed="false">
      <c r="A11" s="35" t="s">
        <v>2879</v>
      </c>
      <c r="B11" s="28" t="s">
        <v>965</v>
      </c>
      <c r="C11" s="35" t="s">
        <v>287</v>
      </c>
      <c r="D11" s="28" t="s">
        <v>2880</v>
      </c>
      <c r="E11" s="28" t="s">
        <v>2067</v>
      </c>
      <c r="F11" s="36" t="n">
        <v>0.1067</v>
      </c>
      <c r="G11" s="40" t="n">
        <f aca="false">IFERROR(VLOOKUP("汽车|6-新能源汽车销量",指标更新台账_v3!$A$2:$I$600,9,FALSE()),0)</f>
        <v>8</v>
      </c>
      <c r="H11" s="38" t="s">
        <v>2758</v>
      </c>
      <c r="I11" s="35" t="s">
        <v>2242</v>
      </c>
      <c r="J11" s="39" t="s">
        <v>2881</v>
      </c>
      <c r="K11" s="28" t="s">
        <v>2052</v>
      </c>
      <c r="L11" s="12" t="n">
        <v>0.12</v>
      </c>
      <c r="M11" s="6" t="s">
        <v>2211</v>
      </c>
      <c r="N11" s="6" t="s">
        <v>213</v>
      </c>
    </row>
    <row r="12" customFormat="false" ht="28.5" hidden="false" customHeight="true" outlineLevel="0" collapsed="false">
      <c r="A12" s="35" t="s">
        <v>2882</v>
      </c>
      <c r="B12" s="28" t="s">
        <v>981</v>
      </c>
      <c r="C12" s="35" t="s">
        <v>982</v>
      </c>
      <c r="D12" s="28" t="s">
        <v>2880</v>
      </c>
      <c r="E12" s="28" t="s">
        <v>2067</v>
      </c>
      <c r="F12" s="36" t="n">
        <v>0.0889</v>
      </c>
      <c r="G12" s="40" t="n">
        <f aca="false">IFERROR(VLOOKUP("汽车|7-乘用车批发量",指标更新台账_v3!$A$2:$I$600,9,FALSE()),0)</f>
        <v>8</v>
      </c>
      <c r="H12" s="38" t="s">
        <v>2883</v>
      </c>
      <c r="I12" s="35" t="s">
        <v>2142</v>
      </c>
      <c r="J12" s="39" t="s">
        <v>2884</v>
      </c>
      <c r="K12" s="28" t="s">
        <v>2052</v>
      </c>
      <c r="L12" s="12" t="n">
        <v>0.1</v>
      </c>
      <c r="M12" s="6" t="s">
        <v>2211</v>
      </c>
      <c r="N12" s="6" t="s">
        <v>88</v>
      </c>
    </row>
    <row r="13" customFormat="false" ht="28.5" hidden="false" customHeight="true" outlineLevel="0" collapsed="false">
      <c r="A13" s="35" t="s">
        <v>2885</v>
      </c>
      <c r="B13" s="28" t="s">
        <v>105</v>
      </c>
      <c r="C13" s="35" t="s">
        <v>985</v>
      </c>
      <c r="D13" s="28" t="s">
        <v>120</v>
      </c>
      <c r="E13" s="28" t="s">
        <v>2067</v>
      </c>
      <c r="F13" s="36" t="n">
        <v>0.0711</v>
      </c>
      <c r="G13" s="40" t="n">
        <f aca="false">IFERROR(VLOOKUP("汽车|8-汽车制造业PMI",指标更新台账_v3!$A$2:$I$600,9,FALSE()),0)</f>
        <v>8</v>
      </c>
      <c r="H13" s="38" t="s">
        <v>2578</v>
      </c>
      <c r="I13" s="35" t="s">
        <v>2142</v>
      </c>
      <c r="J13" s="39" t="s">
        <v>2886</v>
      </c>
      <c r="K13" s="28" t="s">
        <v>2052</v>
      </c>
      <c r="L13" s="12" t="n">
        <v>0.08</v>
      </c>
      <c r="M13" s="6" t="s">
        <v>2211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2887</v>
      </c>
      <c r="B15" s="28" t="s">
        <v>127</v>
      </c>
      <c r="C15" s="35" t="s">
        <v>444</v>
      </c>
      <c r="D15" s="28" t="s">
        <v>217</v>
      </c>
      <c r="E15" s="28" t="s">
        <v>2067</v>
      </c>
      <c r="F15" s="36" t="n">
        <v>0.08</v>
      </c>
      <c r="G15" s="40" t="n">
        <f aca="false">IFERROR(VLOOKUP("汽车|9-汽车企业季度净利润",指标更新台账_v3!$A$2:$I$600,9,FALSE()),0)</f>
        <v>8</v>
      </c>
      <c r="H15" s="38" t="s">
        <v>2859</v>
      </c>
      <c r="I15" s="35" t="s">
        <v>2142</v>
      </c>
      <c r="J15" s="38" t="s">
        <v>2888</v>
      </c>
      <c r="K15" s="28" t="s">
        <v>2100</v>
      </c>
      <c r="L15" s="12" t="n">
        <v>0.1</v>
      </c>
      <c r="M15" s="6" t="s">
        <v>2296</v>
      </c>
      <c r="N15" s="6" t="s">
        <v>131</v>
      </c>
    </row>
    <row r="16" customFormat="false" ht="28.5" hidden="false" customHeight="true" outlineLevel="0" collapsed="false">
      <c r="A16" s="35" t="s">
        <v>2889</v>
      </c>
      <c r="B16" s="28" t="s">
        <v>105</v>
      </c>
      <c r="C16" s="35" t="s">
        <v>402</v>
      </c>
      <c r="D16" s="35" t="s">
        <v>129</v>
      </c>
      <c r="E16" s="28" t="s">
        <v>2067</v>
      </c>
      <c r="F16" s="36" t="n">
        <v>0.064</v>
      </c>
      <c r="G16" s="37" t="n">
        <f aca="false">IFERROR(VLOOKUP("汽车|10-汽车行业产能利用率",指标更新台账_v3!$A$2:$I$600,9,FALSE()),0)</f>
        <v>6</v>
      </c>
      <c r="H16" s="38" t="s">
        <v>2123</v>
      </c>
      <c r="I16" s="35" t="s">
        <v>2080</v>
      </c>
      <c r="J16" s="39" t="s">
        <v>2890</v>
      </c>
      <c r="K16" s="28" t="s">
        <v>2100</v>
      </c>
      <c r="L16" s="12" t="n">
        <v>0.08</v>
      </c>
      <c r="M16" s="6" t="s">
        <v>2296</v>
      </c>
      <c r="N16" s="6" t="s">
        <v>131</v>
      </c>
    </row>
    <row r="17" customFormat="false" ht="28.5" hidden="false" customHeight="true" outlineLevel="0" collapsed="false">
      <c r="A17" s="35" t="s">
        <v>2891</v>
      </c>
      <c r="B17" s="28" t="s">
        <v>105</v>
      </c>
      <c r="C17" s="35" t="s">
        <v>171</v>
      </c>
      <c r="D17" s="35" t="s">
        <v>85</v>
      </c>
      <c r="E17" s="28" t="s">
        <v>2067</v>
      </c>
      <c r="F17" s="36" t="n">
        <v>0.056</v>
      </c>
      <c r="G17" s="40" t="n">
        <f aca="false">IFERROR(VLOOKUP("汽车|11-汽车制造业固定资产投资",指标更新台账_v3!$A$2:$I$600,9,FALSE()),0)</f>
        <v>8</v>
      </c>
      <c r="H17" s="38" t="s">
        <v>2472</v>
      </c>
      <c r="I17" s="35" t="s">
        <v>2142</v>
      </c>
      <c r="J17" s="39" t="s">
        <v>2892</v>
      </c>
      <c r="K17" s="28" t="s">
        <v>2100</v>
      </c>
      <c r="L17" s="12" t="n">
        <v>0.07</v>
      </c>
      <c r="M17" s="6" t="s">
        <v>2296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2" t="n">
        <f aca="false">ROUND(SUMPRODUCT(F5:F17,G5:G17),1)</f>
        <v>7.6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2893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2894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7.5</v>
      </c>
    </row>
    <row r="5" customFormat="false" ht="28.5" hidden="false" customHeight="true" outlineLevel="0" collapsed="false">
      <c r="A5" s="35" t="s">
        <v>2895</v>
      </c>
      <c r="B5" s="28" t="s">
        <v>105</v>
      </c>
      <c r="C5" s="35" t="s">
        <v>975</v>
      </c>
      <c r="D5" s="35" t="s">
        <v>85</v>
      </c>
      <c r="E5" s="28" t="s">
        <v>2067</v>
      </c>
      <c r="F5" s="36" t="n">
        <v>0.1667</v>
      </c>
      <c r="G5" s="40" t="n">
        <f aca="false">IFERROR(VLOOKUP("机械设备|1-制造业固定资产投资增速",指标更新台账_v3!$A$2:$I$600,9,FALSE()),0)</f>
        <v>8</v>
      </c>
      <c r="H5" s="38" t="s">
        <v>2606</v>
      </c>
      <c r="I5" s="35" t="s">
        <v>2142</v>
      </c>
      <c r="J5" s="39" t="s">
        <v>2896</v>
      </c>
      <c r="K5" s="28" t="s">
        <v>2052</v>
      </c>
      <c r="L5" s="12" t="n">
        <v>0.15</v>
      </c>
      <c r="M5" s="6" t="s">
        <v>2053</v>
      </c>
      <c r="N5" s="6" t="s">
        <v>88</v>
      </c>
      <c r="O5" s="12" t="s">
        <v>108</v>
      </c>
      <c r="P5" s="12" t="n">
        <f aca="false">ROUND(SUMPRODUCT(F10:F13,G10:G13)/SUM(F10:F13),1)</f>
        <v>7.5</v>
      </c>
    </row>
    <row r="6" customFormat="false" ht="28.5" hidden="false" customHeight="true" outlineLevel="0" collapsed="false">
      <c r="A6" s="35" t="s">
        <v>2897</v>
      </c>
      <c r="B6" s="28" t="s">
        <v>997</v>
      </c>
      <c r="C6" s="35" t="s">
        <v>998</v>
      </c>
      <c r="D6" s="28" t="s">
        <v>2898</v>
      </c>
      <c r="E6" s="28" t="s">
        <v>2067</v>
      </c>
      <c r="F6" s="36" t="n">
        <v>0.1333</v>
      </c>
      <c r="G6" s="37" t="n">
        <f aca="false">IFERROR(VLOOKUP("机械设备|2-挖掘机开工小时数",指标更新台账_v3!$A$2:$I$600,9,FALSE()),0)</f>
        <v>6</v>
      </c>
      <c r="H6" s="38" t="s">
        <v>2899</v>
      </c>
      <c r="I6" s="35" t="s">
        <v>2080</v>
      </c>
      <c r="J6" s="39" t="s">
        <v>2900</v>
      </c>
      <c r="K6" s="28" t="s">
        <v>2052</v>
      </c>
      <c r="L6" s="12" t="n">
        <v>0.12</v>
      </c>
      <c r="M6" s="6" t="s">
        <v>2053</v>
      </c>
      <c r="N6" s="6" t="s">
        <v>88</v>
      </c>
      <c r="O6" s="12" t="s">
        <v>125</v>
      </c>
      <c r="P6" s="12" t="n">
        <f aca="false">ROUND(SUMPRODUCT(F15:F17,G15:G17)/SUM(F15:F17),1)</f>
        <v>6</v>
      </c>
    </row>
    <row r="7" customFormat="false" ht="28.5" hidden="false" customHeight="true" outlineLevel="0" collapsed="false">
      <c r="A7" s="35" t="s">
        <v>2901</v>
      </c>
      <c r="B7" s="28" t="s">
        <v>1002</v>
      </c>
      <c r="C7" s="35" t="s">
        <v>308</v>
      </c>
      <c r="D7" s="35" t="s">
        <v>85</v>
      </c>
      <c r="E7" s="28" t="s">
        <v>2067</v>
      </c>
      <c r="F7" s="36" t="n">
        <v>0.1111</v>
      </c>
      <c r="G7" s="40" t="n">
        <f aca="false">IFERROR(VLOOKUP("机械设备|3-机床订单增速",指标更新台账_v3!$A$2:$I$600,9,FALSE()),0)</f>
        <v>8</v>
      </c>
      <c r="H7" s="38" t="s">
        <v>2403</v>
      </c>
      <c r="I7" s="35" t="s">
        <v>2085</v>
      </c>
      <c r="J7" s="39" t="s">
        <v>2902</v>
      </c>
      <c r="K7" s="28" t="s">
        <v>2052</v>
      </c>
      <c r="L7" s="12" t="n">
        <v>0.1</v>
      </c>
      <c r="M7" s="6" t="s">
        <v>2053</v>
      </c>
      <c r="N7" s="6" t="s">
        <v>279</v>
      </c>
    </row>
    <row r="8" customFormat="false" ht="28.5" hidden="false" customHeight="true" outlineLevel="0" collapsed="false">
      <c r="A8" s="35" t="s">
        <v>2903</v>
      </c>
      <c r="B8" s="28" t="s">
        <v>105</v>
      </c>
      <c r="C8" s="35" t="s">
        <v>266</v>
      </c>
      <c r="D8" s="35" t="s">
        <v>85</v>
      </c>
      <c r="E8" s="28" t="s">
        <v>2067</v>
      </c>
      <c r="F8" s="36" t="n">
        <v>0.0889</v>
      </c>
      <c r="G8" s="40" t="n">
        <f aca="false">IFERROR(VLOOKUP("机械设备|4-工业机器人产量增速",指标更新台账_v3!$A$2:$I$600,9,FALSE()),0)</f>
        <v>8</v>
      </c>
      <c r="H8" s="38" t="s">
        <v>2403</v>
      </c>
      <c r="I8" s="35" t="s">
        <v>2242</v>
      </c>
      <c r="J8" s="39" t="s">
        <v>2904</v>
      </c>
      <c r="K8" s="28" t="s">
        <v>2052</v>
      </c>
      <c r="L8" s="12" t="n">
        <v>0.08</v>
      </c>
      <c r="M8" s="6" t="s">
        <v>2053</v>
      </c>
      <c r="N8" s="6" t="s">
        <v>213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2905</v>
      </c>
      <c r="B10" s="28" t="s">
        <v>1007</v>
      </c>
      <c r="C10" s="35" t="s">
        <v>305</v>
      </c>
      <c r="D10" s="35" t="s">
        <v>85</v>
      </c>
      <c r="E10" s="28" t="s">
        <v>2067</v>
      </c>
      <c r="F10" s="36" t="n">
        <v>0.1105</v>
      </c>
      <c r="G10" s="40" t="n">
        <f aca="false">IFERROR(VLOOKUP("机械设备|5-挖掘机销量增速",指标更新台账_v3!$A$2:$I$600,9,FALSE()),0)</f>
        <v>8</v>
      </c>
      <c r="H10" s="38" t="s">
        <v>2403</v>
      </c>
      <c r="I10" s="35" t="s">
        <v>2089</v>
      </c>
      <c r="J10" s="39" t="s">
        <v>2906</v>
      </c>
      <c r="K10" s="28" t="s">
        <v>2052</v>
      </c>
      <c r="L10" s="12" t="n">
        <v>0.12</v>
      </c>
      <c r="M10" s="6" t="s">
        <v>2082</v>
      </c>
      <c r="N10" s="6" t="s">
        <v>213</v>
      </c>
    </row>
    <row r="11" customFormat="false" ht="28.5" hidden="false" customHeight="true" outlineLevel="0" collapsed="false">
      <c r="A11" s="35" t="s">
        <v>2907</v>
      </c>
      <c r="B11" s="28" t="s">
        <v>105</v>
      </c>
      <c r="C11" s="35" t="s">
        <v>177</v>
      </c>
      <c r="D11" s="35" t="s">
        <v>85</v>
      </c>
      <c r="E11" s="28" t="s">
        <v>2067</v>
      </c>
      <c r="F11" s="36" t="n">
        <v>0.0921</v>
      </c>
      <c r="G11" s="37" t="n">
        <f aca="false">IFERROR(VLOOKUP("机械设备|6-金属切削机床产量",指标更新台账_v3!$A$2:$I$600,9,FALSE()),0)</f>
        <v>6</v>
      </c>
      <c r="H11" s="38" t="s">
        <v>2149</v>
      </c>
      <c r="I11" s="35" t="s">
        <v>2089</v>
      </c>
      <c r="J11" s="39" t="s">
        <v>2908</v>
      </c>
      <c r="K11" s="28" t="s">
        <v>2052</v>
      </c>
      <c r="L11" s="12" t="n">
        <v>0.1</v>
      </c>
      <c r="M11" s="6" t="s">
        <v>2082</v>
      </c>
      <c r="N11" s="6" t="s">
        <v>213</v>
      </c>
    </row>
    <row r="12" customFormat="false" ht="28.5" hidden="false" customHeight="true" outlineLevel="0" collapsed="false">
      <c r="A12" s="35" t="s">
        <v>2909</v>
      </c>
      <c r="B12" s="28" t="s">
        <v>1007</v>
      </c>
      <c r="C12" s="35" t="s">
        <v>171</v>
      </c>
      <c r="D12" s="35" t="s">
        <v>85</v>
      </c>
      <c r="E12" s="28" t="s">
        <v>2067</v>
      </c>
      <c r="F12" s="36" t="n">
        <v>0.0737</v>
      </c>
      <c r="G12" s="40" t="n">
        <f aca="false">IFERROR(VLOOKUP("机械设备|7-叉车销量增速",指标更新台账_v3!$A$2:$I$600,9,FALSE()),0)</f>
        <v>8</v>
      </c>
      <c r="H12" s="38" t="s">
        <v>2472</v>
      </c>
      <c r="I12" s="35" t="s">
        <v>2085</v>
      </c>
      <c r="J12" s="39" t="s">
        <v>2910</v>
      </c>
      <c r="K12" s="28" t="s">
        <v>2052</v>
      </c>
      <c r="L12" s="12" t="n">
        <v>0.08</v>
      </c>
      <c r="M12" s="6" t="s">
        <v>2082</v>
      </c>
      <c r="N12" s="6" t="s">
        <v>213</v>
      </c>
    </row>
    <row r="13" customFormat="false" ht="28.5" hidden="false" customHeight="true" outlineLevel="0" collapsed="false">
      <c r="A13" s="35" t="s">
        <v>2911</v>
      </c>
      <c r="B13" s="28" t="s">
        <v>101</v>
      </c>
      <c r="C13" s="35" t="s">
        <v>528</v>
      </c>
      <c r="D13" s="35" t="s">
        <v>85</v>
      </c>
      <c r="E13" s="28" t="s">
        <v>2067</v>
      </c>
      <c r="F13" s="36" t="n">
        <v>0.0737</v>
      </c>
      <c r="G13" s="40" t="n">
        <f aca="false">IFERROR(VLOOKUP("机械设备|8-机械设备出口增速",指标更新台账_v3!$A$2:$I$600,9,FALSE()),0)</f>
        <v>8</v>
      </c>
      <c r="H13" s="38" t="s">
        <v>2472</v>
      </c>
      <c r="I13" s="35" t="s">
        <v>2242</v>
      </c>
      <c r="J13" s="39" t="s">
        <v>2912</v>
      </c>
      <c r="K13" s="28" t="s">
        <v>2052</v>
      </c>
      <c r="L13" s="12" t="n">
        <v>0.08</v>
      </c>
      <c r="M13" s="6" t="s">
        <v>2082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2913</v>
      </c>
      <c r="B15" s="28" t="s">
        <v>127</v>
      </c>
      <c r="C15" s="35" t="s">
        <v>208</v>
      </c>
      <c r="D15" s="28" t="s">
        <v>217</v>
      </c>
      <c r="E15" s="28" t="s">
        <v>2067</v>
      </c>
      <c r="F15" s="36" t="n">
        <v>0.06</v>
      </c>
      <c r="G15" s="37" t="n">
        <f aca="false">IFERROR(VLOOKUP("机械设备|9-机械企业季度净利润",指标更新台账_v3!$A$2:$I$600,9,FALSE()),0)</f>
        <v>6</v>
      </c>
      <c r="H15" s="38" t="s">
        <v>2687</v>
      </c>
      <c r="I15" s="35" t="s">
        <v>2080</v>
      </c>
      <c r="J15" s="38" t="s">
        <v>2914</v>
      </c>
      <c r="K15" s="28" t="s">
        <v>2100</v>
      </c>
      <c r="L15" s="12" t="n">
        <v>0.1</v>
      </c>
      <c r="M15" s="6" t="s">
        <v>2101</v>
      </c>
      <c r="N15" s="6" t="s">
        <v>131</v>
      </c>
    </row>
    <row r="16" customFormat="false" ht="28.5" hidden="false" customHeight="true" outlineLevel="0" collapsed="false">
      <c r="A16" s="35" t="s">
        <v>2915</v>
      </c>
      <c r="B16" s="28" t="s">
        <v>127</v>
      </c>
      <c r="C16" s="35" t="s">
        <v>677</v>
      </c>
      <c r="D16" s="35" t="s">
        <v>129</v>
      </c>
      <c r="E16" s="28" t="s">
        <v>2067</v>
      </c>
      <c r="F16" s="36" t="n">
        <v>0.048</v>
      </c>
      <c r="G16" s="37" t="n">
        <f aca="false">IFERROR(VLOOKUP("机械设备|10-机械行业毛利率",指标更新台账_v3!$A$2:$I$600,9,FALSE()),0)</f>
        <v>6</v>
      </c>
      <c r="H16" s="38" t="s">
        <v>2690</v>
      </c>
      <c r="I16" s="35" t="s">
        <v>2069</v>
      </c>
      <c r="J16" s="39" t="s">
        <v>2569</v>
      </c>
      <c r="K16" s="28" t="s">
        <v>2100</v>
      </c>
      <c r="L16" s="12" t="n">
        <v>0.08</v>
      </c>
      <c r="M16" s="6" t="s">
        <v>2101</v>
      </c>
      <c r="N16" s="6" t="s">
        <v>94</v>
      </c>
    </row>
    <row r="17" customFormat="false" ht="28.5" hidden="false" customHeight="true" outlineLevel="0" collapsed="false">
      <c r="A17" s="35" t="s">
        <v>2916</v>
      </c>
      <c r="B17" s="28" t="s">
        <v>105</v>
      </c>
      <c r="C17" s="35" t="s">
        <v>1020</v>
      </c>
      <c r="D17" s="35" t="s">
        <v>129</v>
      </c>
      <c r="E17" s="28" t="s">
        <v>2067</v>
      </c>
      <c r="F17" s="36" t="n">
        <v>0.042</v>
      </c>
      <c r="G17" s="37" t="n">
        <f aca="false">IFERROR(VLOOKUP("机械设备|11-机械行业产能利用率",指标更新台账_v3!$A$2:$I$600,9,FALSE()),0)</f>
        <v>6</v>
      </c>
      <c r="H17" s="38" t="s">
        <v>2123</v>
      </c>
      <c r="I17" s="35" t="s">
        <v>2080</v>
      </c>
      <c r="J17" s="39" t="s">
        <v>2890</v>
      </c>
      <c r="K17" s="28" t="s">
        <v>2100</v>
      </c>
      <c r="L17" s="12" t="n">
        <v>0.07</v>
      </c>
      <c r="M17" s="6" t="s">
        <v>2101</v>
      </c>
      <c r="N17" s="6" t="s">
        <v>131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5" t="n">
        <f aca="false">ROUND(SUMPRODUCT(F5:F17,G5:G17),1)</f>
        <v>7.2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2917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2918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7.6</v>
      </c>
    </row>
    <row r="5" customFormat="false" ht="28.5" hidden="false" customHeight="true" outlineLevel="0" collapsed="false">
      <c r="A5" s="35" t="s">
        <v>2919</v>
      </c>
      <c r="B5" s="28" t="s">
        <v>1024</v>
      </c>
      <c r="C5" s="35" t="s">
        <v>769</v>
      </c>
      <c r="D5" s="28" t="s">
        <v>1025</v>
      </c>
      <c r="E5" s="28" t="s">
        <v>2062</v>
      </c>
      <c r="F5" s="36" t="n">
        <v>0.1667</v>
      </c>
      <c r="G5" s="40" t="n">
        <f aca="false">IFERROR(VLOOKUP("煤炭|1-动力煤港口库存",指标更新台账_v3!$A$2:$I$600,9,FALSE()),0)</f>
        <v>8</v>
      </c>
      <c r="H5" s="38" t="s">
        <v>2920</v>
      </c>
      <c r="I5" s="35" t="s">
        <v>2106</v>
      </c>
      <c r="J5" s="39" t="s">
        <v>2921</v>
      </c>
      <c r="K5" s="28" t="s">
        <v>2060</v>
      </c>
      <c r="L5" s="12" t="n">
        <v>0.15</v>
      </c>
      <c r="M5" s="6" t="s">
        <v>2053</v>
      </c>
      <c r="N5" s="6" t="s">
        <v>168</v>
      </c>
      <c r="O5" s="12" t="s">
        <v>108</v>
      </c>
      <c r="P5" s="12" t="n">
        <f aca="false">ROUND(SUMPRODUCT(F10:F13,G10:G13)/SUM(F10:F13),1)</f>
        <v>7.6</v>
      </c>
    </row>
    <row r="6" customFormat="false" ht="28.5" hidden="false" customHeight="true" outlineLevel="0" collapsed="false">
      <c r="A6" s="35" t="s">
        <v>2922</v>
      </c>
      <c r="B6" s="28" t="s">
        <v>1028</v>
      </c>
      <c r="C6" s="35" t="s">
        <v>444</v>
      </c>
      <c r="D6" s="28" t="s">
        <v>1025</v>
      </c>
      <c r="E6" s="28" t="s">
        <v>2062</v>
      </c>
      <c r="F6" s="36" t="n">
        <v>0.1111</v>
      </c>
      <c r="G6" s="40" t="n">
        <f aca="false">IFERROR(VLOOKUP("煤炭|2-焦煤港口库存",指标更新台账_v3!$A$2:$I$600,9,FALSE()),0)</f>
        <v>8</v>
      </c>
      <c r="H6" s="38" t="s">
        <v>2923</v>
      </c>
      <c r="I6" s="35" t="s">
        <v>2050</v>
      </c>
      <c r="J6" s="39" t="s">
        <v>2924</v>
      </c>
      <c r="K6" s="28" t="s">
        <v>2060</v>
      </c>
      <c r="L6" s="12" t="n">
        <v>0.1</v>
      </c>
      <c r="M6" s="6" t="s">
        <v>2053</v>
      </c>
      <c r="N6" s="6" t="s">
        <v>168</v>
      </c>
      <c r="O6" s="12" t="s">
        <v>125</v>
      </c>
      <c r="P6" s="12" t="n">
        <f aca="false">ROUND(SUMPRODUCT(F15:F17,G15:G17)/SUM(F15:F17),1)</f>
        <v>6.6</v>
      </c>
    </row>
    <row r="7" customFormat="false" ht="28.5" hidden="false" customHeight="true" outlineLevel="0" collapsed="false">
      <c r="A7" s="35" t="s">
        <v>2925</v>
      </c>
      <c r="B7" s="28" t="s">
        <v>1031</v>
      </c>
      <c r="C7" s="35" t="s">
        <v>402</v>
      </c>
      <c r="D7" s="28" t="s">
        <v>1025</v>
      </c>
      <c r="E7" s="28" t="s">
        <v>2067</v>
      </c>
      <c r="F7" s="36" t="n">
        <v>0.1333</v>
      </c>
      <c r="G7" s="40" t="n">
        <f aca="false">IFERROR(VLOOKUP("煤炭|3-电厂日耗煤量",指标更新台账_v3!$A$2:$I$600,9,FALSE()),0)</f>
        <v>8</v>
      </c>
      <c r="H7" s="38" t="s">
        <v>2926</v>
      </c>
      <c r="I7" s="35" t="s">
        <v>2142</v>
      </c>
      <c r="J7" s="39" t="s">
        <v>2927</v>
      </c>
      <c r="K7" s="28" t="s">
        <v>2095</v>
      </c>
      <c r="L7" s="12" t="n">
        <v>0.12</v>
      </c>
      <c r="M7" s="6" t="s">
        <v>2053</v>
      </c>
      <c r="N7" s="6" t="s">
        <v>88</v>
      </c>
    </row>
    <row r="8" customFormat="false" ht="28.5" hidden="false" customHeight="true" outlineLevel="0" collapsed="false">
      <c r="A8" s="35" t="s">
        <v>2928</v>
      </c>
      <c r="B8" s="28" t="s">
        <v>101</v>
      </c>
      <c r="C8" s="35" t="s">
        <v>180</v>
      </c>
      <c r="D8" s="35" t="s">
        <v>85</v>
      </c>
      <c r="E8" s="28" t="s">
        <v>2067</v>
      </c>
      <c r="F8" s="36" t="n">
        <v>0.0889</v>
      </c>
      <c r="G8" s="37" t="n">
        <f aca="false">IFERROR(VLOOKUP("煤炭|4-进口煤数量增速",指标更新台账_v3!$A$2:$I$600,9,FALSE()),0)</f>
        <v>6</v>
      </c>
      <c r="H8" s="38" t="s">
        <v>2068</v>
      </c>
      <c r="I8" s="35" t="s">
        <v>2069</v>
      </c>
      <c r="J8" s="39" t="s">
        <v>2929</v>
      </c>
      <c r="K8" s="28" t="s">
        <v>2052</v>
      </c>
      <c r="L8" s="12" t="n">
        <v>0.08</v>
      </c>
      <c r="M8" s="6" t="s">
        <v>2053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2930</v>
      </c>
      <c r="B10" s="35" t="s">
        <v>2162</v>
      </c>
      <c r="C10" s="35" t="s">
        <v>1036</v>
      </c>
      <c r="D10" s="28" t="s">
        <v>2118</v>
      </c>
      <c r="E10" s="28" t="s">
        <v>2067</v>
      </c>
      <c r="F10" s="36" t="n">
        <v>0.128</v>
      </c>
      <c r="G10" s="40" t="n">
        <f aca="false">IFERROR(VLOOKUP("煤炭|5-动力煤现货价格",指标更新台账_v3!$A$2:$I$600,9,FALSE()),0)</f>
        <v>8</v>
      </c>
      <c r="H10" s="38" t="s">
        <v>2931</v>
      </c>
      <c r="I10" s="35" t="s">
        <v>2089</v>
      </c>
      <c r="J10" s="39" t="s">
        <v>2932</v>
      </c>
      <c r="K10" s="28" t="s">
        <v>2060</v>
      </c>
      <c r="L10" s="12" t="n">
        <v>0.15</v>
      </c>
      <c r="M10" s="6" t="s">
        <v>2082</v>
      </c>
      <c r="N10" s="6" t="s">
        <v>94</v>
      </c>
    </row>
    <row r="11" customFormat="false" ht="28.5" hidden="false" customHeight="true" outlineLevel="0" collapsed="false">
      <c r="A11" s="35" t="s">
        <v>2933</v>
      </c>
      <c r="B11" s="35" t="s">
        <v>2162</v>
      </c>
      <c r="C11" s="35" t="s">
        <v>1039</v>
      </c>
      <c r="D11" s="28" t="s">
        <v>2118</v>
      </c>
      <c r="E11" s="28" t="s">
        <v>2067</v>
      </c>
      <c r="F11" s="36" t="n">
        <v>0.0854</v>
      </c>
      <c r="G11" s="40" t="n">
        <f aca="false">IFERROR(VLOOKUP("煤炭|6-焦煤现货价格",指标更新台账_v3!$A$2:$I$600,9,FALSE()),0)</f>
        <v>8</v>
      </c>
      <c r="H11" s="38" t="s">
        <v>2934</v>
      </c>
      <c r="I11" s="35" t="s">
        <v>2080</v>
      </c>
      <c r="J11" s="39" t="s">
        <v>2935</v>
      </c>
      <c r="K11" s="28" t="s">
        <v>2060</v>
      </c>
      <c r="L11" s="12" t="n">
        <v>0.1</v>
      </c>
      <c r="M11" s="6" t="s">
        <v>2082</v>
      </c>
      <c r="N11" s="6" t="s">
        <v>94</v>
      </c>
    </row>
    <row r="12" customFormat="false" ht="28.5" hidden="false" customHeight="true" outlineLevel="0" collapsed="false">
      <c r="A12" s="35" t="s">
        <v>2936</v>
      </c>
      <c r="B12" s="35" t="s">
        <v>193</v>
      </c>
      <c r="C12" s="35" t="s">
        <v>1042</v>
      </c>
      <c r="D12" s="28" t="s">
        <v>2118</v>
      </c>
      <c r="E12" s="28" t="s">
        <v>2067</v>
      </c>
      <c r="F12" s="36" t="n">
        <v>0.0683</v>
      </c>
      <c r="G12" s="40" t="n">
        <f aca="false">IFERROR(VLOOKUP("煤炭|7-焦炭价格",指标更新台账_v3!$A$2:$I$600,9,FALSE()),0)</f>
        <v>8</v>
      </c>
      <c r="H12" s="38" t="s">
        <v>2937</v>
      </c>
      <c r="I12" s="35" t="s">
        <v>2089</v>
      </c>
      <c r="J12" s="39" t="s">
        <v>2938</v>
      </c>
      <c r="K12" s="28" t="s">
        <v>2060</v>
      </c>
      <c r="L12" s="12" t="n">
        <v>0.08</v>
      </c>
      <c r="M12" s="6" t="s">
        <v>2082</v>
      </c>
      <c r="N12" s="6" t="s">
        <v>94</v>
      </c>
    </row>
    <row r="13" customFormat="false" ht="28.5" hidden="false" customHeight="true" outlineLevel="0" collapsed="false">
      <c r="A13" s="35" t="s">
        <v>2939</v>
      </c>
      <c r="B13" s="35" t="s">
        <v>1045</v>
      </c>
      <c r="C13" s="35" t="s">
        <v>1046</v>
      </c>
      <c r="D13" s="28" t="s">
        <v>120</v>
      </c>
      <c r="E13" s="28" t="s">
        <v>2067</v>
      </c>
      <c r="F13" s="36" t="n">
        <v>0.0683</v>
      </c>
      <c r="G13" s="37" t="n">
        <f aca="false">IFERROR(VLOOKUP("煤炭|8-煤炭运价指数",指标更新台账_v3!$A$2:$I$600,9,FALSE()),0)</f>
        <v>6</v>
      </c>
      <c r="H13" s="38" t="s">
        <v>2940</v>
      </c>
      <c r="I13" s="35" t="s">
        <v>2080</v>
      </c>
      <c r="J13" s="39" t="s">
        <v>2941</v>
      </c>
      <c r="K13" s="28" t="s">
        <v>2060</v>
      </c>
      <c r="L13" s="12" t="n">
        <v>0.08</v>
      </c>
      <c r="M13" s="6" t="s">
        <v>2082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2942</v>
      </c>
      <c r="B15" s="28" t="s">
        <v>127</v>
      </c>
      <c r="C15" s="35" t="s">
        <v>1049</v>
      </c>
      <c r="D15" s="28" t="s">
        <v>217</v>
      </c>
      <c r="E15" s="28" t="s">
        <v>2062</v>
      </c>
      <c r="F15" s="36" t="n">
        <v>0.06</v>
      </c>
      <c r="G15" s="37" t="n">
        <f aca="false">IFERROR(VLOOKUP("煤炭|9-煤炭企业季度净利润",指标更新台账_v3!$A$2:$I$600,9,FALSE()),0)</f>
        <v>6</v>
      </c>
      <c r="H15" s="38" t="s">
        <v>2943</v>
      </c>
      <c r="I15" s="35" t="s">
        <v>2073</v>
      </c>
      <c r="J15" s="38" t="s">
        <v>2944</v>
      </c>
      <c r="K15" s="28" t="s">
        <v>2100</v>
      </c>
      <c r="L15" s="12" t="n">
        <v>0.1</v>
      </c>
      <c r="M15" s="6" t="s">
        <v>2101</v>
      </c>
      <c r="N15" s="6" t="s">
        <v>131</v>
      </c>
    </row>
    <row r="16" customFormat="false" ht="28.5" hidden="false" customHeight="true" outlineLevel="0" collapsed="false">
      <c r="A16" s="35" t="s">
        <v>2945</v>
      </c>
      <c r="B16" s="28" t="s">
        <v>127</v>
      </c>
      <c r="C16" s="35" t="s">
        <v>469</v>
      </c>
      <c r="D16" s="35" t="s">
        <v>129</v>
      </c>
      <c r="E16" s="28" t="s">
        <v>2062</v>
      </c>
      <c r="F16" s="36" t="n">
        <v>0.048</v>
      </c>
      <c r="G16" s="37" t="n">
        <f aca="false">IFERROR(VLOOKUP("煤炭|10-煤炭行业ROE",指标更新台账_v3!$A$2:$I$600,9,FALSE()),0)</f>
        <v>6</v>
      </c>
      <c r="H16" s="38" t="s">
        <v>2472</v>
      </c>
      <c r="I16" s="35" t="s">
        <v>2073</v>
      </c>
      <c r="J16" s="38" t="s">
        <v>2946</v>
      </c>
      <c r="K16" s="28" t="s">
        <v>2100</v>
      </c>
      <c r="L16" s="12" t="n">
        <v>0.08</v>
      </c>
      <c r="M16" s="6" t="s">
        <v>2101</v>
      </c>
      <c r="N16" s="6" t="s">
        <v>131</v>
      </c>
    </row>
    <row r="17" customFormat="false" ht="28.5" hidden="false" customHeight="true" outlineLevel="0" collapsed="false">
      <c r="A17" s="35" t="s">
        <v>2947</v>
      </c>
      <c r="B17" s="28" t="s">
        <v>127</v>
      </c>
      <c r="C17" s="35" t="s">
        <v>680</v>
      </c>
      <c r="D17" s="35" t="s">
        <v>129</v>
      </c>
      <c r="E17" s="28" t="s">
        <v>2062</v>
      </c>
      <c r="F17" s="36" t="n">
        <v>0.042</v>
      </c>
      <c r="G17" s="40" t="n">
        <f aca="false">IFERROR(VLOOKUP("煤炭|11-煤炭行业资产负债率",指标更新台账_v3!$A$2:$I$600,9,FALSE()),0)</f>
        <v>8</v>
      </c>
      <c r="H17" s="38" t="s">
        <v>2724</v>
      </c>
      <c r="I17" s="35" t="s">
        <v>2050</v>
      </c>
      <c r="J17" s="39" t="s">
        <v>2948</v>
      </c>
      <c r="K17" s="28" t="s">
        <v>2100</v>
      </c>
      <c r="L17" s="12" t="n">
        <v>0.07</v>
      </c>
      <c r="M17" s="6" t="s">
        <v>2101</v>
      </c>
      <c r="N17" s="6" t="s">
        <v>168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2" t="n">
        <f aca="false">ROUND(SUMPRODUCT(F5:F17,G5:G17),1)</f>
        <v>7.5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2949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2950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7.6</v>
      </c>
    </row>
    <row r="5" customFormat="false" ht="28.5" hidden="false" customHeight="true" outlineLevel="0" collapsed="false">
      <c r="A5" s="35" t="s">
        <v>2951</v>
      </c>
      <c r="B5" s="35" t="s">
        <v>1057</v>
      </c>
      <c r="C5" s="35" t="s">
        <v>402</v>
      </c>
      <c r="D5" s="28" t="s">
        <v>2114</v>
      </c>
      <c r="E5" s="28" t="s">
        <v>2062</v>
      </c>
      <c r="F5" s="36" t="n">
        <v>0.1744</v>
      </c>
      <c r="G5" s="40" t="n">
        <f aca="false">IFERROR(VLOOKUP("石油石化|1-原油价格(Brent)",指标更新台账_v3!$A$2:$I$600,9,FALSE()),0)</f>
        <v>8</v>
      </c>
      <c r="H5" s="38" t="s">
        <v>2952</v>
      </c>
      <c r="I5" s="35" t="s">
        <v>2080</v>
      </c>
      <c r="J5" s="39" t="s">
        <v>2116</v>
      </c>
      <c r="K5" s="28" t="s">
        <v>2095</v>
      </c>
      <c r="L5" s="12" t="n">
        <v>0.15</v>
      </c>
      <c r="M5" s="6" t="s">
        <v>2053</v>
      </c>
      <c r="N5" s="6" t="s">
        <v>94</v>
      </c>
      <c r="O5" s="12" t="s">
        <v>108</v>
      </c>
      <c r="P5" s="12" t="n">
        <f aca="false">ROUND(SUMPRODUCT(F10:F13,G10:G13)/SUM(F10:F13),1)</f>
        <v>6</v>
      </c>
    </row>
    <row r="6" customFormat="false" ht="28.5" hidden="false" customHeight="true" outlineLevel="0" collapsed="false">
      <c r="A6" s="35" t="s">
        <v>2953</v>
      </c>
      <c r="B6" s="35" t="s">
        <v>1060</v>
      </c>
      <c r="C6" s="35" t="s">
        <v>1061</v>
      </c>
      <c r="D6" s="28" t="s">
        <v>2954</v>
      </c>
      <c r="E6" s="28" t="s">
        <v>2955</v>
      </c>
      <c r="F6" s="36" t="n">
        <v>0.1163</v>
      </c>
      <c r="G6" s="40" t="n">
        <f aca="false">IFERROR(VLOOKUP("石油石化|2-OPEC+产量政策",指标更新台账_v3!$A$2:$I$600,9,FALSE()),0)</f>
        <v>8</v>
      </c>
      <c r="H6" s="39" t="s">
        <v>2956</v>
      </c>
      <c r="I6" s="35" t="s">
        <v>2080</v>
      </c>
      <c r="J6" s="38" t="s">
        <v>2957</v>
      </c>
      <c r="K6" s="28" t="s">
        <v>2052</v>
      </c>
      <c r="L6" s="12" t="n">
        <v>0.1</v>
      </c>
      <c r="M6" s="6" t="s">
        <v>2053</v>
      </c>
      <c r="N6" s="6" t="s">
        <v>279</v>
      </c>
      <c r="O6" s="12" t="s">
        <v>125</v>
      </c>
      <c r="P6" s="12" t="n">
        <f aca="false">ROUND(SUMPRODUCT(F15:F17,G15:G17)/SUM(F15:F17),1)</f>
        <v>6.6</v>
      </c>
    </row>
    <row r="7" customFormat="false" ht="14.25" hidden="false" customHeight="true" outlineLevel="0" collapsed="false">
      <c r="A7" s="35" t="s">
        <v>2958</v>
      </c>
      <c r="B7" s="35" t="s">
        <v>1065</v>
      </c>
      <c r="C7" s="35" t="s">
        <v>563</v>
      </c>
      <c r="D7" s="35" t="s">
        <v>1066</v>
      </c>
      <c r="E7" s="28" t="s">
        <v>2169</v>
      </c>
      <c r="F7" s="36" t="n">
        <v>0.1163</v>
      </c>
      <c r="G7" s="40" t="n">
        <f aca="false">IFERROR(VLOOKUP("石油石化|3-美国原油库存变化",指标更新台账_v3!$A$2:$I$600,9,FALSE()),0)</f>
        <v>8</v>
      </c>
      <c r="H7" s="38" t="s">
        <v>2959</v>
      </c>
      <c r="I7" s="35" t="s">
        <v>2106</v>
      </c>
      <c r="J7" s="39" t="s">
        <v>2960</v>
      </c>
      <c r="K7" s="28" t="s">
        <v>2060</v>
      </c>
      <c r="L7" s="12" t="n">
        <v>0.1</v>
      </c>
      <c r="M7" s="6" t="s">
        <v>2053</v>
      </c>
      <c r="N7" s="6" t="s">
        <v>168</v>
      </c>
    </row>
    <row r="8" customFormat="false" ht="14.25" hidden="false" customHeight="true" outlineLevel="0" collapsed="false">
      <c r="A8" s="35" t="s">
        <v>2961</v>
      </c>
      <c r="B8" s="35" t="s">
        <v>1069</v>
      </c>
      <c r="C8" s="35" t="s">
        <v>223</v>
      </c>
      <c r="D8" s="35" t="s">
        <v>85</v>
      </c>
      <c r="E8" s="28" t="s">
        <v>2067</v>
      </c>
      <c r="F8" s="36" t="n">
        <v>0.093</v>
      </c>
      <c r="G8" s="37" t="n">
        <f aca="false">IFERROR(VLOOKUP("石油石化|4-全球石油需求预期",指标更新台账_v3!$A$2:$I$600,9,FALSE()),0)</f>
        <v>6</v>
      </c>
      <c r="H8" s="38" t="s">
        <v>2333</v>
      </c>
      <c r="I8" s="35" t="s">
        <v>2080</v>
      </c>
      <c r="J8" s="39" t="s">
        <v>2962</v>
      </c>
      <c r="K8" s="28" t="s">
        <v>2052</v>
      </c>
      <c r="L8" s="12" t="n">
        <v>0.08</v>
      </c>
      <c r="M8" s="6" t="s">
        <v>2053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2963</v>
      </c>
      <c r="B10" s="28" t="s">
        <v>1072</v>
      </c>
      <c r="C10" s="35" t="s">
        <v>1073</v>
      </c>
      <c r="D10" s="28" t="s">
        <v>2964</v>
      </c>
      <c r="E10" s="28" t="s">
        <v>2067</v>
      </c>
      <c r="F10" s="36" t="n">
        <v>0.105</v>
      </c>
      <c r="G10" s="37" t="n">
        <f aca="false">IFERROR(VLOOKUP("石油石化|5-成品油价格",指标更新台账_v3!$A$2:$I$600,9,FALSE()),0)</f>
        <v>6</v>
      </c>
      <c r="H10" s="38" t="s">
        <v>2965</v>
      </c>
      <c r="I10" s="35" t="s">
        <v>2089</v>
      </c>
      <c r="J10" s="39" t="s">
        <v>2966</v>
      </c>
      <c r="K10" s="28" t="s">
        <v>2060</v>
      </c>
      <c r="L10" s="12" t="n">
        <v>0.12</v>
      </c>
      <c r="M10" s="6" t="s">
        <v>2082</v>
      </c>
      <c r="N10" s="6" t="s">
        <v>94</v>
      </c>
    </row>
    <row r="11" customFormat="false" ht="28.5" hidden="false" customHeight="true" outlineLevel="0" collapsed="false">
      <c r="A11" s="35" t="s">
        <v>2967</v>
      </c>
      <c r="B11" s="28" t="s">
        <v>1077</v>
      </c>
      <c r="C11" s="35" t="s">
        <v>402</v>
      </c>
      <c r="D11" s="35" t="s">
        <v>129</v>
      </c>
      <c r="E11" s="28" t="s">
        <v>2067</v>
      </c>
      <c r="F11" s="36" t="n">
        <v>0.0875</v>
      </c>
      <c r="G11" s="37" t="n">
        <f aca="false">IFERROR(VLOOKUP("石油石化|6-炼化开工率",指标更新台账_v3!$A$2:$I$600,9,FALSE()),0)</f>
        <v>6</v>
      </c>
      <c r="H11" s="38" t="s">
        <v>2123</v>
      </c>
      <c r="I11" s="35" t="s">
        <v>2080</v>
      </c>
      <c r="J11" s="39" t="s">
        <v>2968</v>
      </c>
      <c r="K11" s="28" t="s">
        <v>2060</v>
      </c>
      <c r="L11" s="12" t="n">
        <v>0.1</v>
      </c>
      <c r="M11" s="6" t="s">
        <v>2082</v>
      </c>
      <c r="N11" s="6" t="s">
        <v>88</v>
      </c>
    </row>
    <row r="12" customFormat="false" ht="28.5" hidden="false" customHeight="true" outlineLevel="0" collapsed="false">
      <c r="A12" s="35" t="s">
        <v>2969</v>
      </c>
      <c r="B12" s="28" t="s">
        <v>788</v>
      </c>
      <c r="C12" s="35" t="s">
        <v>1080</v>
      </c>
      <c r="D12" s="35" t="s">
        <v>2134</v>
      </c>
      <c r="E12" s="28" t="s">
        <v>2067</v>
      </c>
      <c r="F12" s="36" t="n">
        <v>0.0875</v>
      </c>
      <c r="G12" s="37" t="n">
        <f aca="false">IFERROR(VLOOKUP("石油石化|7-化工品价差",指标更新台账_v3!$A$2:$I$600,9,FALSE()),0)</f>
        <v>6</v>
      </c>
      <c r="H12" s="38" t="s">
        <v>2216</v>
      </c>
      <c r="I12" s="35" t="s">
        <v>2080</v>
      </c>
      <c r="J12" s="39" t="s">
        <v>2970</v>
      </c>
      <c r="K12" s="28" t="s">
        <v>2060</v>
      </c>
      <c r="L12" s="12" t="n">
        <v>0.1</v>
      </c>
      <c r="M12" s="6" t="s">
        <v>2082</v>
      </c>
      <c r="N12" s="6" t="s">
        <v>94</v>
      </c>
    </row>
    <row r="13" customFormat="false" ht="14.25" hidden="false" customHeight="true" outlineLevel="0" collapsed="false">
      <c r="A13" s="35" t="s">
        <v>2971</v>
      </c>
      <c r="B13" s="28" t="s">
        <v>101</v>
      </c>
      <c r="C13" s="35" t="s">
        <v>177</v>
      </c>
      <c r="D13" s="35" t="s">
        <v>85</v>
      </c>
      <c r="E13" s="28" t="s">
        <v>2067</v>
      </c>
      <c r="F13" s="36" t="n">
        <v>0.07</v>
      </c>
      <c r="G13" s="37" t="n">
        <f aca="false">IFERROR(VLOOKUP("石油石化|8-石油制品出口增速",指标更新台账_v3!$A$2:$I$600,9,FALSE()),0)</f>
        <v>6</v>
      </c>
      <c r="H13" s="38" t="s">
        <v>2149</v>
      </c>
      <c r="I13" s="35" t="s">
        <v>2089</v>
      </c>
      <c r="J13" s="39" t="s">
        <v>2972</v>
      </c>
      <c r="K13" s="28" t="s">
        <v>2052</v>
      </c>
      <c r="L13" s="12" t="n">
        <v>0.08</v>
      </c>
      <c r="M13" s="6" t="s">
        <v>2082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2973</v>
      </c>
      <c r="B15" s="28" t="s">
        <v>127</v>
      </c>
      <c r="C15" s="35" t="s">
        <v>1085</v>
      </c>
      <c r="D15" s="28" t="s">
        <v>217</v>
      </c>
      <c r="E15" s="28" t="s">
        <v>2067</v>
      </c>
      <c r="F15" s="36" t="n">
        <v>0.06</v>
      </c>
      <c r="G15" s="37" t="n">
        <f aca="false">IFERROR(VLOOKUP("石油石化|9-石化企业季度净利润",指标更新台账_v3!$A$2:$I$600,9,FALSE()),0)</f>
        <v>6</v>
      </c>
      <c r="H15" s="38" t="s">
        <v>2974</v>
      </c>
      <c r="I15" s="35" t="s">
        <v>2080</v>
      </c>
      <c r="J15" s="38" t="s">
        <v>2975</v>
      </c>
      <c r="K15" s="28" t="s">
        <v>2100</v>
      </c>
      <c r="L15" s="12" t="n">
        <v>0.1</v>
      </c>
      <c r="M15" s="6" t="s">
        <v>2101</v>
      </c>
      <c r="N15" s="6" t="s">
        <v>131</v>
      </c>
    </row>
    <row r="16" customFormat="false" ht="14.25" hidden="false" customHeight="true" outlineLevel="0" collapsed="false">
      <c r="A16" s="35" t="s">
        <v>2976</v>
      </c>
      <c r="B16" s="28" t="s">
        <v>127</v>
      </c>
      <c r="C16" s="35" t="s">
        <v>335</v>
      </c>
      <c r="D16" s="35" t="s">
        <v>129</v>
      </c>
      <c r="E16" s="28" t="s">
        <v>2067</v>
      </c>
      <c r="F16" s="36" t="n">
        <v>0.048</v>
      </c>
      <c r="G16" s="37" t="n">
        <f aca="false">IFERROR(VLOOKUP("石油石化|10-石化行业ROE",指标更新台账_v3!$A$2:$I$600,9,FALSE()),0)</f>
        <v>6</v>
      </c>
      <c r="H16" s="38" t="s">
        <v>2294</v>
      </c>
      <c r="I16" s="35" t="s">
        <v>2069</v>
      </c>
      <c r="J16" s="38" t="s">
        <v>2977</v>
      </c>
      <c r="K16" s="28" t="s">
        <v>2100</v>
      </c>
      <c r="L16" s="12" t="n">
        <v>0.08</v>
      </c>
      <c r="M16" s="6" t="s">
        <v>2101</v>
      </c>
      <c r="N16" s="6" t="s">
        <v>131</v>
      </c>
    </row>
    <row r="17" customFormat="false" ht="28.5" hidden="false" customHeight="true" outlineLevel="0" collapsed="false">
      <c r="A17" s="35" t="s">
        <v>2978</v>
      </c>
      <c r="B17" s="28" t="s">
        <v>105</v>
      </c>
      <c r="C17" s="35" t="s">
        <v>177</v>
      </c>
      <c r="D17" s="35" t="s">
        <v>129</v>
      </c>
      <c r="E17" s="28" t="s">
        <v>2067</v>
      </c>
      <c r="F17" s="36" t="n">
        <v>0.042</v>
      </c>
      <c r="G17" s="40" t="n">
        <f aca="false">IFERROR(VLOOKUP("石油石化|11-PPI石油和天然气开采",指标更新台账_v3!$A$2:$I$600,9,FALSE()),0)</f>
        <v>8</v>
      </c>
      <c r="H17" s="38" t="s">
        <v>2149</v>
      </c>
      <c r="I17" s="35" t="s">
        <v>2085</v>
      </c>
      <c r="J17" s="39" t="s">
        <v>2979</v>
      </c>
      <c r="K17" s="28" t="s">
        <v>2052</v>
      </c>
      <c r="L17" s="12" t="n">
        <v>0.07</v>
      </c>
      <c r="M17" s="6" t="s">
        <v>2101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5" t="n">
        <f aca="false">ROUND(SUMPRODUCT(F5:F17,G5:G17),1)</f>
        <v>6.9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2980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2981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8</v>
      </c>
    </row>
    <row r="5" customFormat="false" ht="28.5" hidden="false" customHeight="true" outlineLevel="0" collapsed="false">
      <c r="A5" s="35" t="s">
        <v>2982</v>
      </c>
      <c r="B5" s="28" t="s">
        <v>1072</v>
      </c>
      <c r="C5" s="35" t="s">
        <v>428</v>
      </c>
      <c r="D5" s="28" t="s">
        <v>217</v>
      </c>
      <c r="E5" s="28" t="s">
        <v>2433</v>
      </c>
      <c r="F5" s="36" t="n">
        <v>0.15</v>
      </c>
      <c r="G5" s="40" t="n">
        <f aca="false">IFERROR(VLOOKUP("环保|1-环保固定资产投资计划",指标更新台账_v3!$A$2:$I$600,9,FALSE()),0)</f>
        <v>8</v>
      </c>
      <c r="H5" s="38" t="s">
        <v>2983</v>
      </c>
      <c r="I5" s="35" t="s">
        <v>2223</v>
      </c>
      <c r="J5" s="39" t="s">
        <v>2984</v>
      </c>
      <c r="K5" s="28" t="s">
        <v>2075</v>
      </c>
      <c r="L5" s="12" t="n">
        <v>0.15</v>
      </c>
      <c r="M5" s="6" t="s">
        <v>2197</v>
      </c>
      <c r="N5" s="6" t="s">
        <v>88</v>
      </c>
      <c r="O5" s="12" t="s">
        <v>108</v>
      </c>
      <c r="P5" s="12" t="n">
        <f aca="false">ROUND(SUMPRODUCT(F10:F13,G10:G13)/SUM(F10:F13),1)</f>
        <v>6.5</v>
      </c>
    </row>
    <row r="6" customFormat="false" ht="14.25" hidden="false" customHeight="true" outlineLevel="0" collapsed="false">
      <c r="A6" s="35" t="s">
        <v>2985</v>
      </c>
      <c r="B6" s="28" t="s">
        <v>1095</v>
      </c>
      <c r="C6" s="35" t="s">
        <v>338</v>
      </c>
      <c r="D6" s="28" t="s">
        <v>2986</v>
      </c>
      <c r="E6" s="28" t="s">
        <v>2433</v>
      </c>
      <c r="F6" s="36" t="n">
        <v>0.1</v>
      </c>
      <c r="G6" s="40" t="n">
        <f aca="false">IFERROR(VLOOKUP("环保|2-环保政策发布数量",指标更新台账_v3!$A$2:$I$600,9,FALSE()),0)</f>
        <v>8</v>
      </c>
      <c r="H6" s="38" t="s">
        <v>2562</v>
      </c>
      <c r="I6" s="35" t="s">
        <v>2142</v>
      </c>
      <c r="J6" s="39" t="s">
        <v>2987</v>
      </c>
      <c r="K6" s="28" t="s">
        <v>2075</v>
      </c>
      <c r="L6" s="12" t="n">
        <v>0.1</v>
      </c>
      <c r="M6" s="6" t="s">
        <v>2197</v>
      </c>
      <c r="N6" s="6" t="s">
        <v>279</v>
      </c>
      <c r="O6" s="12" t="s">
        <v>125</v>
      </c>
      <c r="P6" s="12" t="n">
        <f aca="false">ROUND(SUMPRODUCT(F15:F17,G15:G17)/SUM(F15:F17),1)</f>
        <v>6</v>
      </c>
    </row>
    <row r="7" customFormat="false" ht="28.5" hidden="false" customHeight="true" outlineLevel="0" collapsed="false">
      <c r="A7" s="35" t="s">
        <v>2988</v>
      </c>
      <c r="B7" s="28" t="s">
        <v>1099</v>
      </c>
      <c r="C7" s="35" t="s">
        <v>538</v>
      </c>
      <c r="D7" s="28" t="s">
        <v>2118</v>
      </c>
      <c r="E7" s="28" t="s">
        <v>2067</v>
      </c>
      <c r="F7" s="36" t="n">
        <v>0.12</v>
      </c>
      <c r="G7" s="40" t="n">
        <f aca="false">IFERROR(VLOOKUP("环保|3-碳交易价格",指标更新台账_v3!$A$2:$I$600,9,FALSE()),0)</f>
        <v>8</v>
      </c>
      <c r="H7" s="38" t="s">
        <v>2758</v>
      </c>
      <c r="I7" s="35" t="s">
        <v>2242</v>
      </c>
      <c r="J7" s="39" t="s">
        <v>2989</v>
      </c>
      <c r="K7" s="28" t="s">
        <v>2052</v>
      </c>
      <c r="L7" s="12" t="n">
        <v>0.12</v>
      </c>
      <c r="M7" s="6" t="s">
        <v>2197</v>
      </c>
      <c r="N7" s="6" t="s">
        <v>94</v>
      </c>
    </row>
    <row r="8" customFormat="false" ht="28.5" hidden="false" customHeight="true" outlineLevel="0" collapsed="false">
      <c r="A8" s="35" t="s">
        <v>2990</v>
      </c>
      <c r="B8" s="28" t="s">
        <v>698</v>
      </c>
      <c r="C8" s="35" t="s">
        <v>177</v>
      </c>
      <c r="D8" s="35" t="s">
        <v>85</v>
      </c>
      <c r="E8" s="28" t="s">
        <v>2067</v>
      </c>
      <c r="F8" s="36" t="n">
        <v>0.08</v>
      </c>
      <c r="G8" s="40" t="n">
        <f aca="false">IFERROR(VLOOKUP("环保|4-地方政府环保支出",指标更新台账_v3!$A$2:$I$600,9,FALSE()),0)</f>
        <v>8</v>
      </c>
      <c r="H8" s="38" t="s">
        <v>2149</v>
      </c>
      <c r="I8" s="35" t="s">
        <v>2085</v>
      </c>
      <c r="J8" s="39" t="s">
        <v>2991</v>
      </c>
      <c r="K8" s="28" t="s">
        <v>2075</v>
      </c>
      <c r="L8" s="12" t="n">
        <v>0.08</v>
      </c>
      <c r="M8" s="6" t="s">
        <v>2197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2992</v>
      </c>
      <c r="B10" s="28" t="s">
        <v>1104</v>
      </c>
      <c r="C10" s="35" t="s">
        <v>532</v>
      </c>
      <c r="D10" s="35" t="s">
        <v>85</v>
      </c>
      <c r="E10" s="28" t="s">
        <v>2067</v>
      </c>
      <c r="F10" s="36" t="n">
        <v>0.105</v>
      </c>
      <c r="G10" s="37" t="n">
        <f aca="false">IFERROR(VLOOKUP("环保|5-污水处理量",指标更新台账_v3!$A$2:$I$600,9,FALSE()),0)</f>
        <v>6</v>
      </c>
      <c r="H10" s="38" t="s">
        <v>2469</v>
      </c>
      <c r="I10" s="35" t="s">
        <v>2080</v>
      </c>
      <c r="J10" s="39" t="s">
        <v>2993</v>
      </c>
      <c r="K10" s="28" t="s">
        <v>2052</v>
      </c>
      <c r="L10" s="12" t="n">
        <v>0.12</v>
      </c>
      <c r="M10" s="6" t="s">
        <v>2082</v>
      </c>
      <c r="N10" s="6" t="s">
        <v>88</v>
      </c>
    </row>
    <row r="11" customFormat="false" ht="28.5" hidden="false" customHeight="true" outlineLevel="0" collapsed="false">
      <c r="A11" s="35" t="s">
        <v>2994</v>
      </c>
      <c r="B11" s="28" t="s">
        <v>1104</v>
      </c>
      <c r="C11" s="35" t="s">
        <v>354</v>
      </c>
      <c r="D11" s="35" t="s">
        <v>85</v>
      </c>
      <c r="E11" s="28" t="s">
        <v>2067</v>
      </c>
      <c r="F11" s="36" t="n">
        <v>0.0875</v>
      </c>
      <c r="G11" s="37" t="n">
        <f aca="false">IFERROR(VLOOKUP("环保|6-垃圾处理量",指标更新台账_v3!$A$2:$I$600,9,FALSE()),0)</f>
        <v>6</v>
      </c>
      <c r="H11" s="38" t="s">
        <v>2469</v>
      </c>
      <c r="I11" s="35" t="s">
        <v>2089</v>
      </c>
      <c r="J11" s="39" t="s">
        <v>2995</v>
      </c>
      <c r="K11" s="28" t="s">
        <v>2052</v>
      </c>
      <c r="L11" s="12" t="n">
        <v>0.1</v>
      </c>
      <c r="M11" s="6" t="s">
        <v>2082</v>
      </c>
      <c r="N11" s="6" t="s">
        <v>88</v>
      </c>
    </row>
    <row r="12" customFormat="false" ht="28.5" hidden="false" customHeight="true" outlineLevel="0" collapsed="false">
      <c r="A12" s="35" t="s">
        <v>2996</v>
      </c>
      <c r="B12" s="28" t="s">
        <v>768</v>
      </c>
      <c r="C12" s="35" t="s">
        <v>266</v>
      </c>
      <c r="D12" s="35" t="s">
        <v>85</v>
      </c>
      <c r="E12" s="28" t="s">
        <v>2067</v>
      </c>
      <c r="F12" s="36" t="n">
        <v>0.0875</v>
      </c>
      <c r="G12" s="40" t="n">
        <f aca="false">IFERROR(VLOOKUP("环保|7-环保企业订单金额",指标更新台账_v3!$A$2:$I$600,9,FALSE()),0)</f>
        <v>8</v>
      </c>
      <c r="H12" s="38" t="s">
        <v>2234</v>
      </c>
      <c r="I12" s="35" t="s">
        <v>2142</v>
      </c>
      <c r="J12" s="39" t="s">
        <v>2997</v>
      </c>
      <c r="K12" s="28" t="s">
        <v>2100</v>
      </c>
      <c r="L12" s="12" t="n">
        <v>0.1</v>
      </c>
      <c r="M12" s="6" t="s">
        <v>2082</v>
      </c>
      <c r="N12" s="6" t="s">
        <v>279</v>
      </c>
    </row>
    <row r="13" customFormat="false" ht="28.5" hidden="false" customHeight="true" outlineLevel="0" collapsed="false">
      <c r="A13" s="35" t="s">
        <v>2998</v>
      </c>
      <c r="B13" s="28" t="s">
        <v>105</v>
      </c>
      <c r="C13" s="35" t="s">
        <v>177</v>
      </c>
      <c r="D13" s="35" t="s">
        <v>85</v>
      </c>
      <c r="E13" s="28" t="s">
        <v>2067</v>
      </c>
      <c r="F13" s="36" t="n">
        <v>0.07</v>
      </c>
      <c r="G13" s="37" t="n">
        <f aca="false">IFERROR(VLOOKUP("环保|8-环保设备产量",指标更新台账_v3!$A$2:$I$600,9,FALSE()),0)</f>
        <v>6</v>
      </c>
      <c r="H13" s="38" t="s">
        <v>2149</v>
      </c>
      <c r="I13" s="35" t="s">
        <v>2089</v>
      </c>
      <c r="J13" s="39" t="s">
        <v>2999</v>
      </c>
      <c r="K13" s="28" t="s">
        <v>2052</v>
      </c>
      <c r="L13" s="12" t="n">
        <v>0.08</v>
      </c>
      <c r="M13" s="6" t="s">
        <v>2082</v>
      </c>
      <c r="N13" s="6" t="s">
        <v>213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3000</v>
      </c>
      <c r="B15" s="28" t="s">
        <v>127</v>
      </c>
      <c r="C15" s="35" t="s">
        <v>677</v>
      </c>
      <c r="D15" s="28" t="s">
        <v>217</v>
      </c>
      <c r="E15" s="28" t="s">
        <v>2067</v>
      </c>
      <c r="F15" s="36" t="n">
        <v>0.08</v>
      </c>
      <c r="G15" s="37" t="n">
        <f aca="false">IFERROR(VLOOKUP("环保|9-环保企业季度净利润",指标更新台账_v3!$A$2:$I$600,9,FALSE()),0)</f>
        <v>6</v>
      </c>
      <c r="H15" s="38" t="s">
        <v>2775</v>
      </c>
      <c r="I15" s="35" t="s">
        <v>2069</v>
      </c>
      <c r="J15" s="38" t="s">
        <v>3001</v>
      </c>
      <c r="K15" s="28" t="s">
        <v>2100</v>
      </c>
      <c r="L15" s="12" t="n">
        <v>0.1</v>
      </c>
      <c r="M15" s="6" t="s">
        <v>2296</v>
      </c>
      <c r="N15" s="6" t="s">
        <v>131</v>
      </c>
    </row>
    <row r="16" customFormat="false" ht="28.5" hidden="false" customHeight="true" outlineLevel="0" collapsed="false">
      <c r="A16" s="35" t="s">
        <v>3002</v>
      </c>
      <c r="B16" s="28" t="s">
        <v>127</v>
      </c>
      <c r="C16" s="35" t="s">
        <v>302</v>
      </c>
      <c r="D16" s="35" t="s">
        <v>129</v>
      </c>
      <c r="E16" s="28" t="s">
        <v>2067</v>
      </c>
      <c r="F16" s="36" t="n">
        <v>0.064</v>
      </c>
      <c r="G16" s="37" t="n">
        <f aca="false">IFERROR(VLOOKUP("环保|10-环保行业毛利率",指标更新台账_v3!$A$2:$I$600,9,FALSE()),0)</f>
        <v>6</v>
      </c>
      <c r="H16" s="38" t="s">
        <v>2266</v>
      </c>
      <c r="I16" s="35" t="s">
        <v>2069</v>
      </c>
      <c r="J16" s="39" t="s">
        <v>3003</v>
      </c>
      <c r="K16" s="28" t="s">
        <v>2100</v>
      </c>
      <c r="L16" s="12" t="n">
        <v>0.08</v>
      </c>
      <c r="M16" s="6" t="s">
        <v>2296</v>
      </c>
      <c r="N16" s="6" t="s">
        <v>94</v>
      </c>
    </row>
    <row r="17" customFormat="false" ht="28.5" hidden="false" customHeight="true" outlineLevel="0" collapsed="false">
      <c r="A17" s="35" t="s">
        <v>3004</v>
      </c>
      <c r="B17" s="28" t="s">
        <v>127</v>
      </c>
      <c r="C17" s="35" t="s">
        <v>720</v>
      </c>
      <c r="D17" s="28" t="s">
        <v>167</v>
      </c>
      <c r="E17" s="28" t="s">
        <v>2067</v>
      </c>
      <c r="F17" s="36" t="n">
        <v>0.056</v>
      </c>
      <c r="G17" s="37" t="n">
        <f aca="false">IFERROR(VLOOKUP("环保|11-环保行业应收账款周转",指标更新台账_v3!$A$2:$I$600,9,FALSE()),0)</f>
        <v>6</v>
      </c>
      <c r="H17" s="38" t="s">
        <v>3005</v>
      </c>
      <c r="I17" s="35" t="s">
        <v>2080</v>
      </c>
      <c r="J17" s="39" t="s">
        <v>3006</v>
      </c>
      <c r="K17" s="28" t="s">
        <v>2100</v>
      </c>
      <c r="L17" s="12" t="n">
        <v>0.07</v>
      </c>
      <c r="M17" s="6" t="s">
        <v>2296</v>
      </c>
      <c r="N17" s="6" t="s">
        <v>168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5" t="n">
        <f aca="false">ROUND(SUMPRODUCT(F5:F17,G5:G17),1)</f>
        <v>7.1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3007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3008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ROUND(SUMPRODUCT(F5:F8,G5:G8)/SUM(F5:F8),1)</f>
        <v>5.8</v>
      </c>
    </row>
    <row r="5" customFormat="false" ht="28.5" hidden="false" customHeight="true" outlineLevel="0" collapsed="false">
      <c r="A5" s="35" t="s">
        <v>3009</v>
      </c>
      <c r="B5" s="28" t="s">
        <v>105</v>
      </c>
      <c r="C5" s="35" t="s">
        <v>585</v>
      </c>
      <c r="D5" s="35" t="s">
        <v>85</v>
      </c>
      <c r="E5" s="28" t="s">
        <v>2067</v>
      </c>
      <c r="F5" s="36" t="n">
        <v>0.1333</v>
      </c>
      <c r="G5" s="37" t="n">
        <f aca="false">IFERROR(VLOOKUP("美容护理|1-居民人均可支配收入增速",指标更新台账_v3!$A$2:$I$600,9,FALSE()),0)</f>
        <v>6</v>
      </c>
      <c r="H5" s="38" t="s">
        <v>2523</v>
      </c>
      <c r="I5" s="35" t="s">
        <v>2073</v>
      </c>
      <c r="J5" s="39" t="s">
        <v>3010</v>
      </c>
      <c r="K5" s="28" t="s">
        <v>2100</v>
      </c>
      <c r="L5" s="12" t="n">
        <v>0.15</v>
      </c>
      <c r="M5" s="6" t="s">
        <v>2211</v>
      </c>
      <c r="N5" s="6" t="s">
        <v>213</v>
      </c>
      <c r="O5" s="12" t="s">
        <v>108</v>
      </c>
      <c r="P5" s="12" t="n">
        <f aca="false">ROUND(SUMPRODUCT(F10:F13,G10:G13)/SUM(F10:F13),1)</f>
        <v>7.6</v>
      </c>
    </row>
    <row r="6" customFormat="false" ht="28.5" hidden="false" customHeight="true" outlineLevel="0" collapsed="false">
      <c r="A6" s="35" t="s">
        <v>3011</v>
      </c>
      <c r="B6" s="28" t="s">
        <v>101</v>
      </c>
      <c r="C6" s="35" t="s">
        <v>327</v>
      </c>
      <c r="D6" s="35" t="s">
        <v>85</v>
      </c>
      <c r="E6" s="28" t="s">
        <v>2067</v>
      </c>
      <c r="F6" s="36" t="n">
        <v>0.0889</v>
      </c>
      <c r="G6" s="37" t="n">
        <f aca="false">IFERROR(VLOOKUP("美容护理|2-化妆品进口金额增速",指标更新台账_v3!$A$2:$I$600,9,FALSE()),0)</f>
        <v>6</v>
      </c>
      <c r="H6" s="38" t="s">
        <v>2149</v>
      </c>
      <c r="I6" s="35" t="s">
        <v>2080</v>
      </c>
      <c r="J6" s="39" t="s">
        <v>3012</v>
      </c>
      <c r="K6" s="28" t="s">
        <v>2052</v>
      </c>
      <c r="L6" s="12" t="n">
        <v>0.1</v>
      </c>
      <c r="M6" s="6" t="s">
        <v>2211</v>
      </c>
      <c r="N6" s="6" t="s">
        <v>88</v>
      </c>
      <c r="O6" s="12" t="s">
        <v>125</v>
      </c>
      <c r="P6" s="12" t="n">
        <f aca="false">ROUND(SUMPRODUCT(F15:F17,G15:G17)/SUM(F15:F17),1)</f>
        <v>7.2</v>
      </c>
    </row>
    <row r="7" customFormat="false" ht="28.5" hidden="false" customHeight="true" outlineLevel="0" collapsed="false">
      <c r="A7" s="35" t="s">
        <v>2309</v>
      </c>
      <c r="B7" s="28" t="s">
        <v>105</v>
      </c>
      <c r="C7" s="35" t="s">
        <v>287</v>
      </c>
      <c r="D7" s="28" t="s">
        <v>120</v>
      </c>
      <c r="E7" s="28" t="s">
        <v>2062</v>
      </c>
      <c r="F7" s="36" t="n">
        <v>0.1067</v>
      </c>
      <c r="G7" s="44" t="n">
        <f aca="false">IFERROR(VLOOKUP("美容护理|3-消费者信心指数",指标更新台账_v3!$A$2:$I$600,9,FALSE()),0)</f>
        <v>4</v>
      </c>
      <c r="H7" s="38" t="s">
        <v>2088</v>
      </c>
      <c r="I7" s="35" t="s">
        <v>2275</v>
      </c>
      <c r="J7" s="39" t="s">
        <v>3013</v>
      </c>
      <c r="K7" s="28" t="s">
        <v>2052</v>
      </c>
      <c r="L7" s="12" t="n">
        <v>0.12</v>
      </c>
      <c r="M7" s="6" t="s">
        <v>2211</v>
      </c>
      <c r="N7" s="6" t="s">
        <v>88</v>
      </c>
    </row>
    <row r="8" customFormat="false" ht="28.5" hidden="false" customHeight="true" outlineLevel="0" collapsed="false">
      <c r="A8" s="35" t="s">
        <v>3014</v>
      </c>
      <c r="B8" s="28" t="s">
        <v>1125</v>
      </c>
      <c r="C8" s="35" t="s">
        <v>308</v>
      </c>
      <c r="D8" s="35" t="s">
        <v>85</v>
      </c>
      <c r="E8" s="28" t="s">
        <v>2067</v>
      </c>
      <c r="F8" s="36" t="n">
        <v>0.0711</v>
      </c>
      <c r="G8" s="40" t="n">
        <f aca="false">IFERROR(VLOOKUP("美容护理|4-社交媒体美妆话题热度",指标更新台账_v3!$A$2:$I$600,9,FALSE()),0)</f>
        <v>8</v>
      </c>
      <c r="H8" s="38" t="s">
        <v>2403</v>
      </c>
      <c r="I8" s="35" t="s">
        <v>2085</v>
      </c>
      <c r="J8" s="39" t="s">
        <v>3015</v>
      </c>
      <c r="K8" s="28" t="s">
        <v>2052</v>
      </c>
      <c r="L8" s="12" t="n">
        <v>0.08</v>
      </c>
      <c r="M8" s="6" t="s">
        <v>2211</v>
      </c>
      <c r="N8" s="6" t="s">
        <v>88</v>
      </c>
    </row>
    <row r="9" customFormat="false" ht="13.5" hidden="false" customHeight="true" outlineLevel="0" collapsed="false">
      <c r="A9" s="34" t="s">
        <v>2076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28.5" hidden="false" customHeight="true" outlineLevel="0" collapsed="false">
      <c r="A10" s="35" t="s">
        <v>3016</v>
      </c>
      <c r="B10" s="28" t="s">
        <v>105</v>
      </c>
      <c r="C10" s="35" t="s">
        <v>177</v>
      </c>
      <c r="D10" s="35" t="s">
        <v>85</v>
      </c>
      <c r="E10" s="28" t="s">
        <v>2067</v>
      </c>
      <c r="F10" s="36" t="n">
        <v>0.1463</v>
      </c>
      <c r="G10" s="40" t="n">
        <f aca="false">IFERROR(VLOOKUP("美容护理|5-化妆品零售额增速",指标更新台账_v3!$A$2:$I$600,9,FALSE()),0)</f>
        <v>8</v>
      </c>
      <c r="H10" s="38" t="s">
        <v>2472</v>
      </c>
      <c r="I10" s="35" t="s">
        <v>2089</v>
      </c>
      <c r="J10" s="39" t="s">
        <v>3017</v>
      </c>
      <c r="K10" s="28" t="s">
        <v>2052</v>
      </c>
      <c r="L10" s="12" t="n">
        <v>0.15</v>
      </c>
      <c r="M10" s="6" t="s">
        <v>2211</v>
      </c>
      <c r="N10" s="6" t="s">
        <v>213</v>
      </c>
    </row>
    <row r="11" customFormat="false" ht="28.5" hidden="false" customHeight="true" outlineLevel="0" collapsed="false">
      <c r="A11" s="35" t="s">
        <v>3018</v>
      </c>
      <c r="B11" s="28" t="s">
        <v>816</v>
      </c>
      <c r="C11" s="35" t="s">
        <v>240</v>
      </c>
      <c r="D11" s="35" t="s">
        <v>85</v>
      </c>
      <c r="E11" s="28" t="s">
        <v>2067</v>
      </c>
      <c r="F11" s="36" t="n">
        <v>0.0976</v>
      </c>
      <c r="G11" s="40" t="n">
        <f aca="false">IFERROR(VLOOKUP("美容护理|6-医美市场规模",指标更新台账_v3!$A$2:$I$600,9,FALSE()),0)</f>
        <v>8</v>
      </c>
      <c r="H11" s="38" t="s">
        <v>2326</v>
      </c>
      <c r="I11" s="35" t="s">
        <v>2242</v>
      </c>
      <c r="J11" s="39" t="s">
        <v>3019</v>
      </c>
      <c r="K11" s="28" t="s">
        <v>2075</v>
      </c>
      <c r="L11" s="12" t="n">
        <v>0.1</v>
      </c>
      <c r="M11" s="6" t="s">
        <v>2211</v>
      </c>
      <c r="N11" s="6" t="s">
        <v>88</v>
      </c>
    </row>
    <row r="12" customFormat="false" ht="28.5" hidden="false" customHeight="true" outlineLevel="0" collapsed="false">
      <c r="A12" s="35" t="s">
        <v>3020</v>
      </c>
      <c r="B12" s="28" t="s">
        <v>105</v>
      </c>
      <c r="C12" s="35" t="s">
        <v>327</v>
      </c>
      <c r="D12" s="35" t="s">
        <v>85</v>
      </c>
      <c r="E12" s="28" t="s">
        <v>2067</v>
      </c>
      <c r="F12" s="36" t="n">
        <v>0.078</v>
      </c>
      <c r="G12" s="37" t="n">
        <f aca="false">IFERROR(VLOOKUP("美容护理|7-个护用品产量",指标更新台账_v3!$A$2:$I$600,9,FALSE()),0)</f>
        <v>6</v>
      </c>
      <c r="H12" s="38" t="s">
        <v>2149</v>
      </c>
      <c r="I12" s="35" t="s">
        <v>2080</v>
      </c>
      <c r="J12" s="39" t="s">
        <v>3021</v>
      </c>
      <c r="K12" s="28" t="s">
        <v>2052</v>
      </c>
      <c r="L12" s="12" t="n">
        <v>0.08</v>
      </c>
      <c r="M12" s="6" t="s">
        <v>2211</v>
      </c>
      <c r="N12" s="6" t="s">
        <v>213</v>
      </c>
    </row>
    <row r="13" customFormat="false" ht="28.5" hidden="false" customHeight="true" outlineLevel="0" collapsed="false">
      <c r="A13" s="35" t="s">
        <v>3022</v>
      </c>
      <c r="B13" s="28" t="s">
        <v>3023</v>
      </c>
      <c r="C13" s="35" t="s">
        <v>266</v>
      </c>
      <c r="D13" s="35" t="s">
        <v>85</v>
      </c>
      <c r="E13" s="28" t="s">
        <v>2067</v>
      </c>
      <c r="F13" s="36" t="n">
        <v>0.078</v>
      </c>
      <c r="G13" s="40" t="n">
        <f aca="false">IFERROR(VLOOKUP("美容护理|8-美容护理线上销售额",指标更新台账_v3!$A$2:$I$600,9,FALSE()),0)</f>
        <v>8</v>
      </c>
      <c r="H13" s="38" t="s">
        <v>2326</v>
      </c>
      <c r="I13" s="35" t="s">
        <v>2242</v>
      </c>
      <c r="J13" s="39" t="s">
        <v>3024</v>
      </c>
      <c r="K13" s="28" t="s">
        <v>2052</v>
      </c>
      <c r="L13" s="12" t="n">
        <v>0.08</v>
      </c>
      <c r="M13" s="6" t="s">
        <v>2211</v>
      </c>
      <c r="N13" s="6" t="s">
        <v>88</v>
      </c>
    </row>
    <row r="14" customFormat="false" ht="13.5" hidden="false" customHeight="true" outlineLevel="0" collapsed="false">
      <c r="A14" s="34" t="s">
        <v>2096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28.5" hidden="false" customHeight="true" outlineLevel="0" collapsed="false">
      <c r="A15" s="35" t="s">
        <v>3025</v>
      </c>
      <c r="B15" s="28" t="s">
        <v>127</v>
      </c>
      <c r="C15" s="35" t="s">
        <v>469</v>
      </c>
      <c r="D15" s="28" t="s">
        <v>217</v>
      </c>
      <c r="E15" s="28" t="s">
        <v>2067</v>
      </c>
      <c r="F15" s="36" t="n">
        <v>0.08</v>
      </c>
      <c r="G15" s="37" t="n">
        <f aca="false">IFERROR(VLOOKUP("美容护理|9-美容护理企业季度净利润",指标更新台账_v3!$A$2:$I$600,9,FALSE()),0)</f>
        <v>6</v>
      </c>
      <c r="H15" s="38" t="s">
        <v>2565</v>
      </c>
      <c r="I15" s="35" t="s">
        <v>2069</v>
      </c>
      <c r="J15" s="38" t="s">
        <v>3026</v>
      </c>
      <c r="K15" s="28" t="s">
        <v>2100</v>
      </c>
      <c r="L15" s="12" t="n">
        <v>0.1</v>
      </c>
      <c r="M15" s="6" t="s">
        <v>2296</v>
      </c>
      <c r="N15" s="6" t="s">
        <v>131</v>
      </c>
    </row>
    <row r="16" customFormat="false" ht="28.5" hidden="false" customHeight="true" outlineLevel="0" collapsed="false">
      <c r="A16" s="35" t="s">
        <v>3027</v>
      </c>
      <c r="B16" s="28" t="s">
        <v>127</v>
      </c>
      <c r="C16" s="35" t="s">
        <v>503</v>
      </c>
      <c r="D16" s="35" t="s">
        <v>129</v>
      </c>
      <c r="E16" s="28" t="s">
        <v>2067</v>
      </c>
      <c r="F16" s="36" t="n">
        <v>0.064</v>
      </c>
      <c r="G16" s="40" t="n">
        <f aca="false">IFERROR(VLOOKUP("美容护理|10-美容护理行业毛利率",指标更新台账_v3!$A$2:$I$600,9,FALSE()),0)</f>
        <v>8</v>
      </c>
      <c r="H16" s="38" t="s">
        <v>2414</v>
      </c>
      <c r="I16" s="35" t="s">
        <v>2223</v>
      </c>
      <c r="J16" s="39" t="s">
        <v>3028</v>
      </c>
      <c r="K16" s="28" t="s">
        <v>2100</v>
      </c>
      <c r="L16" s="12" t="n">
        <v>0.08</v>
      </c>
      <c r="M16" s="6" t="s">
        <v>2296</v>
      </c>
      <c r="N16" s="6" t="s">
        <v>94</v>
      </c>
    </row>
    <row r="17" customFormat="false" ht="28.5" hidden="false" customHeight="true" outlineLevel="0" collapsed="false">
      <c r="A17" s="35" t="s">
        <v>3029</v>
      </c>
      <c r="B17" s="28" t="s">
        <v>127</v>
      </c>
      <c r="C17" s="35" t="s">
        <v>1141</v>
      </c>
      <c r="D17" s="35" t="s">
        <v>129</v>
      </c>
      <c r="E17" s="28" t="s">
        <v>2062</v>
      </c>
      <c r="F17" s="36" t="n">
        <v>0.056</v>
      </c>
      <c r="G17" s="40" t="n">
        <f aca="false">IFERROR(VLOOKUP("美容护理|11-美容护理行业销售费用率",指标更新台账_v3!$A$2:$I$600,9,FALSE()),0)</f>
        <v>8</v>
      </c>
      <c r="H17" s="38" t="s">
        <v>3030</v>
      </c>
      <c r="I17" s="35" t="s">
        <v>2080</v>
      </c>
      <c r="J17" s="39" t="s">
        <v>3031</v>
      </c>
      <c r="K17" s="28" t="s">
        <v>2100</v>
      </c>
      <c r="L17" s="12" t="n">
        <v>0.07</v>
      </c>
      <c r="M17" s="6" t="s">
        <v>2296</v>
      </c>
      <c r="N17" s="6" t="s">
        <v>88</v>
      </c>
    </row>
    <row r="18" customFormat="false" ht="17.25" hidden="false" customHeight="true" outlineLevel="0" collapsed="false">
      <c r="A18" s="41" t="s">
        <v>2108</v>
      </c>
      <c r="B18" s="41"/>
      <c r="C18" s="41"/>
      <c r="D18" s="41"/>
      <c r="E18" s="41"/>
      <c r="F18" s="41"/>
      <c r="G18" s="45" t="n">
        <f aca="false">ROUND(SUMPRODUCT(F5:F17,G5:G17),1)</f>
        <v>6.8</v>
      </c>
      <c r="H18" s="43" t="s">
        <v>2109</v>
      </c>
      <c r="I18" s="43"/>
      <c r="J18" s="43"/>
      <c r="K18" s="43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3032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3033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ROUND(SUMPRODUCT(F5:F12,G5:G12)/SUM(F5:F12),1)</f>
        <v>8</v>
      </c>
    </row>
    <row r="5" customFormat="false" ht="28.5" hidden="false" customHeight="true" outlineLevel="0" collapsed="false">
      <c r="A5" s="35" t="s">
        <v>2233</v>
      </c>
      <c r="B5" s="35" t="s">
        <v>265</v>
      </c>
      <c r="C5" s="35" t="s">
        <v>266</v>
      </c>
      <c r="D5" s="35" t="s">
        <v>85</v>
      </c>
      <c r="E5" s="28" t="s">
        <v>2067</v>
      </c>
      <c r="F5" s="36" t="n">
        <v>0.075</v>
      </c>
      <c r="G5" s="40" t="n">
        <f aca="false">IFERROR(VLOOKUP("半导体|1-全球半导体销售额增速",指标更新台账_v3!$A$2:$I$600,9,FALSE()),0)</f>
        <v>8</v>
      </c>
      <c r="H5" s="38" t="s">
        <v>2234</v>
      </c>
      <c r="I5" s="35" t="s">
        <v>2229</v>
      </c>
      <c r="J5" s="39" t="s">
        <v>2235</v>
      </c>
      <c r="K5" s="28" t="s">
        <v>2052</v>
      </c>
      <c r="L5" s="12" t="n">
        <v>0.15</v>
      </c>
      <c r="M5" s="6" t="s">
        <v>2053</v>
      </c>
      <c r="N5" s="6" t="s">
        <v>88</v>
      </c>
      <c r="O5" s="12" t="s">
        <v>108</v>
      </c>
      <c r="P5" s="12" t="n">
        <f aca="false">ROUND(SUMPRODUCT(F14:F17,G14:G17)/SUM(F14:F17),1)</f>
        <v>7.6</v>
      </c>
    </row>
    <row r="6" customFormat="false" ht="28.5" hidden="false" customHeight="true" outlineLevel="0" collapsed="false">
      <c r="A6" s="35" t="s">
        <v>3034</v>
      </c>
      <c r="B6" s="35" t="s">
        <v>269</v>
      </c>
      <c r="C6" s="35" t="s">
        <v>270</v>
      </c>
      <c r="D6" s="35" t="s">
        <v>198</v>
      </c>
      <c r="E6" s="28" t="s">
        <v>2056</v>
      </c>
      <c r="F6" s="36" t="n">
        <v>0.06</v>
      </c>
      <c r="G6" s="40" t="n">
        <f aca="false">IFERROR(VLOOKUP("半导体|2-存储芯片价格变化(DRAM/NAND)",指标更新台账_v3!$A$2:$I$600,9,FALSE()),0)</f>
        <v>9</v>
      </c>
      <c r="H6" s="39" t="s">
        <v>2237</v>
      </c>
      <c r="I6" s="35" t="s">
        <v>2238</v>
      </c>
      <c r="J6" s="39" t="s">
        <v>2239</v>
      </c>
      <c r="K6" s="28" t="s">
        <v>2060</v>
      </c>
      <c r="L6" s="12" t="n">
        <v>0.12</v>
      </c>
      <c r="M6" s="6" t="s">
        <v>2053</v>
      </c>
      <c r="N6" s="6" t="s">
        <v>94</v>
      </c>
      <c r="O6" s="12" t="s">
        <v>125</v>
      </c>
      <c r="P6" s="12" t="n">
        <f aca="false">ROUND(SUMPRODUCT(F19:F21,G19:G21)/SUM(F19:F21),1)</f>
        <v>8.6</v>
      </c>
    </row>
    <row r="7" customFormat="false" ht="28.5" hidden="false" customHeight="true" outlineLevel="0" collapsed="false">
      <c r="A7" s="35" t="s">
        <v>2240</v>
      </c>
      <c r="B7" s="35" t="s">
        <v>273</v>
      </c>
      <c r="C7" s="35" t="s">
        <v>274</v>
      </c>
      <c r="D7" s="35" t="s">
        <v>85</v>
      </c>
      <c r="E7" s="28" t="s">
        <v>2067</v>
      </c>
      <c r="F7" s="36" t="n">
        <v>0.05</v>
      </c>
      <c r="G7" s="37" t="n">
        <f aca="false">IFERROR(VLOOKUP("半导体|3-硅片出货量增速",指标更新台账_v3!$A$2:$I$600,9,FALSE()),0)</f>
        <v>7</v>
      </c>
      <c r="H7" s="38" t="s">
        <v>2241</v>
      </c>
      <c r="I7" s="35" t="s">
        <v>2242</v>
      </c>
      <c r="J7" s="39" t="s">
        <v>2243</v>
      </c>
      <c r="K7" s="28" t="s">
        <v>2100</v>
      </c>
      <c r="L7" s="12" t="n">
        <v>0.1</v>
      </c>
      <c r="M7" s="6" t="s">
        <v>2053</v>
      </c>
      <c r="N7" s="6" t="s">
        <v>213</v>
      </c>
    </row>
    <row r="8" customFormat="false" ht="28.5" hidden="false" customHeight="true" outlineLevel="0" collapsed="false">
      <c r="A8" s="35" t="s">
        <v>3035</v>
      </c>
      <c r="B8" s="28" t="s">
        <v>1149</v>
      </c>
      <c r="C8" s="35" t="s">
        <v>278</v>
      </c>
      <c r="D8" s="35" t="s">
        <v>85</v>
      </c>
      <c r="E8" s="28" t="s">
        <v>2067</v>
      </c>
      <c r="F8" s="36" t="n">
        <v>0.065</v>
      </c>
      <c r="G8" s="40" t="n">
        <f aca="false">IFERROR(VLOOKUP("半导体|4-设备商订单增速(应用材料/ASML)",指标更新台账_v3!$A$2:$I$600,9,FALSE()),0)</f>
        <v>8</v>
      </c>
      <c r="H8" s="38" t="s">
        <v>2246</v>
      </c>
      <c r="I8" s="35" t="s">
        <v>2223</v>
      </c>
      <c r="J8" s="39" t="s">
        <v>2247</v>
      </c>
      <c r="K8" s="28" t="s">
        <v>2100</v>
      </c>
      <c r="L8" s="12" t="n">
        <v>0.13</v>
      </c>
      <c r="M8" s="6" t="s">
        <v>2053</v>
      </c>
      <c r="N8" s="6" t="s">
        <v>279</v>
      </c>
    </row>
    <row r="9" customFormat="false" ht="28.5" hidden="false" customHeight="true" outlineLevel="0" collapsed="false">
      <c r="A9" s="35" t="s">
        <v>2248</v>
      </c>
      <c r="B9" s="28" t="s">
        <v>282</v>
      </c>
      <c r="C9" s="35" t="s">
        <v>283</v>
      </c>
      <c r="D9" s="28" t="s">
        <v>167</v>
      </c>
      <c r="E9" s="28" t="s">
        <v>2249</v>
      </c>
      <c r="F9" s="36" t="n">
        <v>0.06</v>
      </c>
      <c r="G9" s="40" t="n">
        <f aca="false">IFERROR(VLOOKUP("半导体|5-下游客户库存周转天数",指标更新台账_v3!$A$2:$I$600,9,FALSE()),0)</f>
        <v>9</v>
      </c>
      <c r="H9" s="39" t="s">
        <v>2250</v>
      </c>
      <c r="I9" s="35" t="s">
        <v>2064</v>
      </c>
      <c r="J9" s="39" t="s">
        <v>2251</v>
      </c>
      <c r="K9" s="28" t="s">
        <v>2100</v>
      </c>
      <c r="L9" s="12" t="n">
        <v>0.12</v>
      </c>
      <c r="M9" s="6" t="s">
        <v>2053</v>
      </c>
      <c r="N9" s="6" t="s">
        <v>168</v>
      </c>
    </row>
    <row r="10" customFormat="false" ht="28.5" hidden="false" customHeight="true" outlineLevel="0" collapsed="false">
      <c r="A10" s="35" t="s">
        <v>3036</v>
      </c>
      <c r="B10" s="28" t="s">
        <v>3037</v>
      </c>
      <c r="C10" s="35" t="s">
        <v>308</v>
      </c>
      <c r="D10" s="35" t="s">
        <v>85</v>
      </c>
      <c r="E10" s="28" t="s">
        <v>2067</v>
      </c>
      <c r="F10" s="36" t="n">
        <v>0.065</v>
      </c>
      <c r="G10" s="37" t="n">
        <f aca="false">IFERROR(VLOOKUP("半导体|6-龙头企业资本开支增速",指标更新台账_v3!$A$2:$I$600,9,FALSE()),0)</f>
        <v>6</v>
      </c>
      <c r="H10" s="38" t="s">
        <v>3038</v>
      </c>
      <c r="I10" s="35" t="s">
        <v>2089</v>
      </c>
      <c r="J10" s="39" t="s">
        <v>3039</v>
      </c>
      <c r="K10" s="28" t="s">
        <v>2100</v>
      </c>
      <c r="L10" s="12" t="n">
        <v>0.13</v>
      </c>
      <c r="M10" s="6" t="s">
        <v>2053</v>
      </c>
      <c r="N10" s="6" t="s">
        <v>88</v>
      </c>
    </row>
    <row r="11" customFormat="false" ht="28.5" hidden="false" customHeight="true" outlineLevel="0" collapsed="false">
      <c r="A11" s="35" t="s">
        <v>3040</v>
      </c>
      <c r="B11" s="28" t="s">
        <v>3041</v>
      </c>
      <c r="C11" s="35" t="s">
        <v>872</v>
      </c>
      <c r="D11" s="35" t="s">
        <v>85</v>
      </c>
      <c r="E11" s="28" t="s">
        <v>3042</v>
      </c>
      <c r="F11" s="36" t="n">
        <v>0.06</v>
      </c>
      <c r="G11" s="40" t="n">
        <f aca="false">IFERROR(VLOOKUP("半导体|7-新签订单/合同负债增速",指标更新台账_v3!$A$2:$I$600,9,FALSE()),0)</f>
        <v>9</v>
      </c>
      <c r="H11" s="38" t="s">
        <v>3038</v>
      </c>
      <c r="I11" s="35" t="s">
        <v>2209</v>
      </c>
      <c r="J11" s="39" t="s">
        <v>3043</v>
      </c>
      <c r="K11" s="28" t="s">
        <v>2100</v>
      </c>
      <c r="L11" s="12" t="n">
        <v>0.12</v>
      </c>
      <c r="M11" s="6" t="s">
        <v>2053</v>
      </c>
      <c r="N11" s="6" t="s">
        <v>279</v>
      </c>
    </row>
    <row r="12" customFormat="false" ht="28.5" hidden="false" customHeight="true" outlineLevel="0" collapsed="false">
      <c r="A12" s="35" t="s">
        <v>3044</v>
      </c>
      <c r="B12" s="28" t="s">
        <v>1159</v>
      </c>
      <c r="C12" s="35" t="s">
        <v>354</v>
      </c>
      <c r="D12" s="35" t="s">
        <v>1160</v>
      </c>
      <c r="E12" s="28" t="s">
        <v>3045</v>
      </c>
      <c r="F12" s="36" t="n">
        <v>0.065</v>
      </c>
      <c r="G12" s="40" t="n">
        <f aca="false">IFERROR(VLOOKUP("半导体|8-进口替代进度(国产化率提升)",指标更新台账_v3!$A$2:$I$600,9,FALSE()),0)</f>
        <v>8</v>
      </c>
      <c r="H12" s="39" t="s">
        <v>3046</v>
      </c>
      <c r="I12" s="35" t="s">
        <v>2142</v>
      </c>
      <c r="J12" s="39" t="s">
        <v>3047</v>
      </c>
      <c r="K12" s="28" t="s">
        <v>3048</v>
      </c>
      <c r="L12" s="12" t="n">
        <v>0.13</v>
      </c>
      <c r="M12" s="6" t="s">
        <v>2053</v>
      </c>
      <c r="N12" s="6" t="s">
        <v>88</v>
      </c>
    </row>
    <row r="13" customFormat="false" ht="13.5" hidden="false" customHeight="true" outlineLevel="0" collapsed="false">
      <c r="A13" s="34" t="s">
        <v>2076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28.5" hidden="false" customHeight="true" outlineLevel="0" collapsed="false">
      <c r="A14" s="35" t="s">
        <v>3049</v>
      </c>
      <c r="B14" s="28" t="s">
        <v>2253</v>
      </c>
      <c r="C14" s="35" t="s">
        <v>287</v>
      </c>
      <c r="D14" s="35" t="s">
        <v>129</v>
      </c>
      <c r="E14" s="28" t="s">
        <v>2067</v>
      </c>
      <c r="F14" s="36" t="n">
        <v>0.1167</v>
      </c>
      <c r="G14" s="40" t="n">
        <f aca="false">IFERROR(VLOOKUP("半导体|9-晶圆厂产能利用率",指标更新台账_v3!$A$2:$I$600,9,FALSE()),0)</f>
        <v>8</v>
      </c>
      <c r="H14" s="38" t="s">
        <v>2254</v>
      </c>
      <c r="I14" s="35" t="s">
        <v>2223</v>
      </c>
      <c r="J14" s="39" t="s">
        <v>2255</v>
      </c>
      <c r="K14" s="28" t="s">
        <v>2052</v>
      </c>
      <c r="L14" s="12" t="n">
        <v>0.15</v>
      </c>
      <c r="M14" s="6" t="s">
        <v>2082</v>
      </c>
      <c r="N14" s="6" t="s">
        <v>131</v>
      </c>
    </row>
    <row r="15" customFormat="false" ht="28.5" hidden="false" customHeight="true" outlineLevel="0" collapsed="false">
      <c r="A15" s="35" t="s">
        <v>3050</v>
      </c>
      <c r="B15" s="35" t="s">
        <v>273</v>
      </c>
      <c r="C15" s="35" t="s">
        <v>624</v>
      </c>
      <c r="D15" s="35" t="s">
        <v>85</v>
      </c>
      <c r="E15" s="28" t="s">
        <v>2067</v>
      </c>
      <c r="F15" s="36" t="n">
        <v>0.0933</v>
      </c>
      <c r="G15" s="40" t="n">
        <f aca="false">IFERROR(VLOOKUP("半导体|10-半导体设备出货额",指标更新台账_v3!$A$2:$I$600,9,FALSE()),0)</f>
        <v>8</v>
      </c>
      <c r="H15" s="38" t="s">
        <v>2241</v>
      </c>
      <c r="I15" s="35" t="s">
        <v>2291</v>
      </c>
      <c r="J15" s="39" t="s">
        <v>3051</v>
      </c>
      <c r="K15" s="28" t="s">
        <v>2100</v>
      </c>
      <c r="L15" s="12" t="n">
        <v>0.12</v>
      </c>
      <c r="M15" s="6" t="s">
        <v>2082</v>
      </c>
      <c r="N15" s="6" t="s">
        <v>213</v>
      </c>
    </row>
    <row r="16" customFormat="false" ht="28.5" hidden="false" customHeight="true" outlineLevel="0" collapsed="false">
      <c r="A16" s="35" t="s">
        <v>3052</v>
      </c>
      <c r="B16" s="28" t="s">
        <v>3053</v>
      </c>
      <c r="C16" s="35" t="s">
        <v>194</v>
      </c>
      <c r="D16" s="35" t="s">
        <v>129</v>
      </c>
      <c r="E16" s="28" t="s">
        <v>2067</v>
      </c>
      <c r="F16" s="36" t="n">
        <v>0.0778</v>
      </c>
      <c r="G16" s="40" t="n">
        <f aca="false">IFERROR(VLOOKUP("半导体|11-封测产能利用率",指标更新台账_v3!$A$2:$I$600,9,FALSE()),0)</f>
        <v>8</v>
      </c>
      <c r="H16" s="38" t="s">
        <v>3054</v>
      </c>
      <c r="I16" s="35" t="s">
        <v>2142</v>
      </c>
      <c r="J16" s="39" t="s">
        <v>3055</v>
      </c>
      <c r="K16" s="28" t="s">
        <v>2052</v>
      </c>
      <c r="L16" s="12" t="n">
        <v>0.1</v>
      </c>
      <c r="M16" s="6" t="s">
        <v>2082</v>
      </c>
      <c r="N16" s="6" t="s">
        <v>131</v>
      </c>
    </row>
    <row r="17" customFormat="false" ht="28.5" hidden="false" customHeight="true" outlineLevel="0" collapsed="false">
      <c r="A17" s="35" t="s">
        <v>3056</v>
      </c>
      <c r="B17" s="35" t="s">
        <v>273</v>
      </c>
      <c r="C17" s="35" t="s">
        <v>305</v>
      </c>
      <c r="D17" s="35" t="s">
        <v>85</v>
      </c>
      <c r="E17" s="28" t="s">
        <v>2067</v>
      </c>
      <c r="F17" s="36" t="n">
        <v>0.0622</v>
      </c>
      <c r="G17" s="37" t="n">
        <f aca="false">IFERROR(VLOOKUP("半导体|12-半导体材料出货量",指标更新台账_v3!$A$2:$I$600,9,FALSE()),0)</f>
        <v>6</v>
      </c>
      <c r="H17" s="38" t="s">
        <v>2472</v>
      </c>
      <c r="I17" s="35" t="s">
        <v>2085</v>
      </c>
      <c r="J17" s="39" t="s">
        <v>3057</v>
      </c>
      <c r="K17" s="28" t="s">
        <v>2100</v>
      </c>
      <c r="L17" s="12" t="n">
        <v>0.08</v>
      </c>
      <c r="M17" s="6" t="s">
        <v>2082</v>
      </c>
      <c r="N17" s="6" t="s">
        <v>213</v>
      </c>
    </row>
    <row r="18" customFormat="false" ht="13.5" hidden="false" customHeight="true" outlineLevel="0" collapsed="false">
      <c r="A18" s="34" t="s">
        <v>2096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customFormat="false" ht="28.5" hidden="false" customHeight="true" outlineLevel="0" collapsed="false">
      <c r="A19" s="35" t="s">
        <v>3058</v>
      </c>
      <c r="B19" s="28" t="s">
        <v>127</v>
      </c>
      <c r="C19" s="35" t="s">
        <v>1141</v>
      </c>
      <c r="D19" s="35" t="s">
        <v>129</v>
      </c>
      <c r="E19" s="28" t="s">
        <v>2067</v>
      </c>
      <c r="F19" s="36" t="n">
        <v>0.06</v>
      </c>
      <c r="G19" s="40" t="n">
        <f aca="false">IFERROR(VLOOKUP("半导体|13-半导体企业季度毛利率",指标更新台账_v3!$A$2:$I$600,9,FALSE()),0)</f>
        <v>8</v>
      </c>
      <c r="H19" s="38" t="s">
        <v>2749</v>
      </c>
      <c r="I19" s="35" t="s">
        <v>2085</v>
      </c>
      <c r="J19" s="38" t="s">
        <v>2267</v>
      </c>
      <c r="K19" s="28" t="s">
        <v>2100</v>
      </c>
      <c r="L19" s="12" t="n">
        <v>0.1</v>
      </c>
      <c r="M19" s="6" t="s">
        <v>2101</v>
      </c>
      <c r="N19" s="6" t="s">
        <v>94</v>
      </c>
    </row>
    <row r="20" customFormat="false" ht="28.5" hidden="false" customHeight="true" outlineLevel="0" collapsed="false">
      <c r="A20" s="35" t="s">
        <v>3059</v>
      </c>
      <c r="B20" s="28" t="s">
        <v>127</v>
      </c>
      <c r="C20" s="35" t="s">
        <v>1174</v>
      </c>
      <c r="D20" s="35" t="s">
        <v>85</v>
      </c>
      <c r="E20" s="28" t="s">
        <v>2067</v>
      </c>
      <c r="F20" s="36" t="n">
        <v>0.048</v>
      </c>
      <c r="G20" s="40" t="n">
        <f aca="false">IFERROR(VLOOKUP("半导体|14-半导体行业净利润增速",指标更新台账_v3!$A$2:$I$600,9,FALSE()),0)</f>
        <v>10</v>
      </c>
      <c r="H20" s="38" t="s">
        <v>3038</v>
      </c>
      <c r="I20" s="35" t="s">
        <v>2784</v>
      </c>
      <c r="J20" s="38" t="s">
        <v>3060</v>
      </c>
      <c r="K20" s="28" t="s">
        <v>2100</v>
      </c>
      <c r="L20" s="12" t="n">
        <v>0.08</v>
      </c>
      <c r="M20" s="6" t="s">
        <v>2101</v>
      </c>
      <c r="N20" s="6" t="s">
        <v>131</v>
      </c>
    </row>
    <row r="21" customFormat="false" ht="14.25" hidden="false" customHeight="true" outlineLevel="0" collapsed="false">
      <c r="A21" s="35" t="s">
        <v>3061</v>
      </c>
      <c r="B21" s="28" t="s">
        <v>127</v>
      </c>
      <c r="C21" s="35" t="s">
        <v>469</v>
      </c>
      <c r="D21" s="35" t="s">
        <v>129</v>
      </c>
      <c r="E21" s="28" t="s">
        <v>2067</v>
      </c>
      <c r="F21" s="36" t="n">
        <v>0.042</v>
      </c>
      <c r="G21" s="40" t="n">
        <f aca="false">IFERROR(VLOOKUP("半导体|15-半导体行业ROE",指标更新台账_v3!$A$2:$I$600,9,FALSE()),0)</f>
        <v>8</v>
      </c>
      <c r="H21" s="38" t="s">
        <v>2472</v>
      </c>
      <c r="I21" s="35" t="s">
        <v>2142</v>
      </c>
      <c r="J21" s="38" t="s">
        <v>2977</v>
      </c>
      <c r="K21" s="28" t="s">
        <v>2100</v>
      </c>
      <c r="L21" s="12" t="n">
        <v>0.07</v>
      </c>
      <c r="M21" s="6" t="s">
        <v>2101</v>
      </c>
      <c r="N21" s="6" t="s">
        <v>131</v>
      </c>
    </row>
    <row r="22" customFormat="false" ht="17.25" hidden="false" customHeight="true" outlineLevel="0" collapsed="false">
      <c r="A22" s="41" t="s">
        <v>2108</v>
      </c>
      <c r="B22" s="41"/>
      <c r="C22" s="41"/>
      <c r="D22" s="41"/>
      <c r="E22" s="41"/>
      <c r="F22" s="41"/>
      <c r="G22" s="42" t="n">
        <f aca="false">ROUND(SUMPRODUCT(F5:F21,G5:G21),1)</f>
        <v>8</v>
      </c>
      <c r="H22" s="43" t="s">
        <v>2109</v>
      </c>
      <c r="I22" s="43"/>
      <c r="J22" s="43"/>
      <c r="K22" s="43"/>
    </row>
  </sheetData>
  <mergeCells count="7">
    <mergeCell ref="A1:K1"/>
    <mergeCell ref="A2:K2"/>
    <mergeCell ref="A4:K4"/>
    <mergeCell ref="A13:K13"/>
    <mergeCell ref="A18:K18"/>
    <mergeCell ref="A22:F22"/>
    <mergeCell ref="H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3062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3063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ROUND(SUMPRODUCT(F5:F12,G5:G12)/SUM(F5:F12),1)</f>
        <v>8.6</v>
      </c>
    </row>
    <row r="5" customFormat="false" ht="28.5" hidden="false" customHeight="true" outlineLevel="0" collapsed="false">
      <c r="A5" s="35" t="s">
        <v>2654</v>
      </c>
      <c r="B5" s="35" t="s">
        <v>724</v>
      </c>
      <c r="C5" s="35" t="s">
        <v>725</v>
      </c>
      <c r="D5" s="28" t="s">
        <v>2655</v>
      </c>
      <c r="E5" s="28" t="s">
        <v>2062</v>
      </c>
      <c r="F5" s="36" t="n">
        <v>0.0723</v>
      </c>
      <c r="G5" s="40" t="n">
        <f aca="false">IFERROR(VLOOKUP("新能源|1-光伏组件价格",指标更新台账_v3!$A$2:$I$600,9,FALSE()),0)</f>
        <v>8</v>
      </c>
      <c r="H5" s="38" t="s">
        <v>2656</v>
      </c>
      <c r="I5" s="35" t="s">
        <v>2275</v>
      </c>
      <c r="J5" s="39" t="s">
        <v>2657</v>
      </c>
      <c r="K5" s="28" t="s">
        <v>2060</v>
      </c>
      <c r="L5" s="12" t="n">
        <v>0.12</v>
      </c>
      <c r="M5" s="6" t="s">
        <v>2053</v>
      </c>
      <c r="N5" s="6" t="s">
        <v>94</v>
      </c>
      <c r="O5" s="12" t="s">
        <v>108</v>
      </c>
      <c r="P5" s="12" t="n">
        <f aca="false">ROUND(SUMPRODUCT(F14:F17,G14:G17)/SUM(F14:F17),1)</f>
        <v>6.5</v>
      </c>
    </row>
    <row r="6" customFormat="false" ht="28.5" hidden="false" customHeight="true" outlineLevel="0" collapsed="false">
      <c r="A6" s="35" t="s">
        <v>2658</v>
      </c>
      <c r="B6" s="28" t="s">
        <v>729</v>
      </c>
      <c r="C6" s="35" t="s">
        <v>338</v>
      </c>
      <c r="D6" s="28" t="s">
        <v>2659</v>
      </c>
      <c r="E6" s="28" t="s">
        <v>2062</v>
      </c>
      <c r="F6" s="36" t="n">
        <v>0.0602</v>
      </c>
      <c r="G6" s="40" t="n">
        <f aca="false">IFERROR(VLOOKUP("新能源|2-硅料价格",指标更新台账_v3!$A$2:$I$600,9,FALSE()),0)</f>
        <v>8</v>
      </c>
      <c r="H6" s="38" t="s">
        <v>2660</v>
      </c>
      <c r="I6" s="35" t="s">
        <v>2488</v>
      </c>
      <c r="J6" s="39" t="s">
        <v>2661</v>
      </c>
      <c r="K6" s="28" t="s">
        <v>2060</v>
      </c>
      <c r="L6" s="12" t="n">
        <v>0.1</v>
      </c>
      <c r="M6" s="6" t="s">
        <v>2053</v>
      </c>
      <c r="N6" s="6" t="s">
        <v>94</v>
      </c>
      <c r="O6" s="12" t="s">
        <v>125</v>
      </c>
      <c r="P6" s="12" t="n">
        <f aca="false">ROUND(SUMPRODUCT(F19:F21,G19:G21)/SUM(F19:F21),1)</f>
        <v>5.4</v>
      </c>
    </row>
    <row r="7" customFormat="false" ht="28.5" hidden="false" customHeight="true" outlineLevel="0" collapsed="false">
      <c r="A7" s="35" t="s">
        <v>2662</v>
      </c>
      <c r="B7" s="35" t="s">
        <v>231</v>
      </c>
      <c r="C7" s="35" t="s">
        <v>733</v>
      </c>
      <c r="D7" s="28" t="s">
        <v>2663</v>
      </c>
      <c r="E7" s="28" t="s">
        <v>2062</v>
      </c>
      <c r="F7" s="36" t="n">
        <v>0.0723</v>
      </c>
      <c r="G7" s="40" t="n">
        <f aca="false">IFERROR(VLOOKUP("新能源|3-锂电池价格",指标更新台账_v3!$A$2:$I$600,9,FALSE()),0)</f>
        <v>8</v>
      </c>
      <c r="H7" s="38" t="s">
        <v>2664</v>
      </c>
      <c r="I7" s="35" t="s">
        <v>2424</v>
      </c>
      <c r="J7" s="39" t="s">
        <v>2665</v>
      </c>
      <c r="K7" s="28" t="s">
        <v>2060</v>
      </c>
      <c r="L7" s="12" t="n">
        <v>0.12</v>
      </c>
      <c r="M7" s="6" t="s">
        <v>2053</v>
      </c>
      <c r="N7" s="6" t="s">
        <v>94</v>
      </c>
    </row>
    <row r="8" customFormat="false" ht="28.5" hidden="false" customHeight="true" outlineLevel="0" collapsed="false">
      <c r="A8" s="35" t="s">
        <v>2666</v>
      </c>
      <c r="B8" s="28" t="s">
        <v>2667</v>
      </c>
      <c r="C8" s="35" t="s">
        <v>538</v>
      </c>
      <c r="D8" s="35" t="s">
        <v>487</v>
      </c>
      <c r="E8" s="28" t="s">
        <v>2433</v>
      </c>
      <c r="F8" s="36" t="n">
        <v>0.0783</v>
      </c>
      <c r="G8" s="40" t="n">
        <f aca="false">IFERROR(VLOOKUP("新能源|4-风电招标量",指标更新台账_v3!$A$2:$I$600,9,FALSE()),0)</f>
        <v>10</v>
      </c>
      <c r="H8" s="38" t="s">
        <v>2199</v>
      </c>
      <c r="I8" s="35" t="s">
        <v>2238</v>
      </c>
      <c r="J8" s="39" t="s">
        <v>2668</v>
      </c>
      <c r="K8" s="28" t="s">
        <v>2100</v>
      </c>
      <c r="L8" s="12" t="n">
        <v>0.13</v>
      </c>
      <c r="M8" s="6" t="s">
        <v>2053</v>
      </c>
      <c r="N8" s="6" t="s">
        <v>279</v>
      </c>
    </row>
    <row r="9" customFormat="false" ht="28.5" hidden="false" customHeight="true" outlineLevel="0" collapsed="false">
      <c r="A9" s="35" t="s">
        <v>2669</v>
      </c>
      <c r="B9" s="28" t="s">
        <v>2670</v>
      </c>
      <c r="C9" s="35" t="s">
        <v>741</v>
      </c>
      <c r="D9" s="28" t="s">
        <v>217</v>
      </c>
      <c r="E9" s="28" t="s">
        <v>2433</v>
      </c>
      <c r="F9" s="36" t="n">
        <v>0.0602</v>
      </c>
      <c r="G9" s="40" t="n">
        <f aca="false">IFERROR(VLOOKUP("新能源|5-电网投资计划",指标更新台账_v3!$A$2:$I$600,9,FALSE()),0)</f>
        <v>10</v>
      </c>
      <c r="H9" s="38" t="s">
        <v>2671</v>
      </c>
      <c r="I9" s="35" t="s">
        <v>2209</v>
      </c>
      <c r="J9" s="39" t="s">
        <v>2672</v>
      </c>
      <c r="K9" s="28" t="s">
        <v>2075</v>
      </c>
      <c r="L9" s="12" t="n">
        <v>0.1</v>
      </c>
      <c r="M9" s="6" t="s">
        <v>2053</v>
      </c>
      <c r="N9" s="6" t="s">
        <v>88</v>
      </c>
    </row>
    <row r="10" customFormat="false" ht="28.5" hidden="false" customHeight="true" outlineLevel="0" collapsed="false">
      <c r="A10" s="35" t="s">
        <v>3064</v>
      </c>
      <c r="B10" s="35" t="s">
        <v>750</v>
      </c>
      <c r="C10" s="35" t="s">
        <v>744</v>
      </c>
      <c r="D10" s="35" t="s">
        <v>1185</v>
      </c>
      <c r="E10" s="28" t="s">
        <v>2433</v>
      </c>
      <c r="F10" s="36" t="n">
        <v>0.0602</v>
      </c>
      <c r="G10" s="40" t="n">
        <f aca="false">IFERROR(VLOOKUP("新能源|6-储能招标量",指标更新台账_v3!$A$2:$I$600,9,FALSE()),0)</f>
        <v>8</v>
      </c>
      <c r="H10" s="38" t="s">
        <v>2562</v>
      </c>
      <c r="I10" s="35" t="s">
        <v>2058</v>
      </c>
      <c r="J10" s="39" t="s">
        <v>3065</v>
      </c>
      <c r="K10" s="28" t="s">
        <v>2100</v>
      </c>
      <c r="L10" s="12" t="n">
        <v>0.1</v>
      </c>
      <c r="M10" s="6" t="s">
        <v>2053</v>
      </c>
      <c r="N10" s="6" t="s">
        <v>279</v>
      </c>
    </row>
    <row r="11" customFormat="false" ht="28.5" hidden="false" customHeight="true" outlineLevel="0" collapsed="false">
      <c r="A11" s="35" t="s">
        <v>3066</v>
      </c>
      <c r="B11" s="28" t="s">
        <v>485</v>
      </c>
      <c r="C11" s="35" t="s">
        <v>469</v>
      </c>
      <c r="D11" s="35" t="s">
        <v>487</v>
      </c>
      <c r="E11" s="28" t="s">
        <v>2433</v>
      </c>
      <c r="F11" s="36" t="n">
        <v>0.0482</v>
      </c>
      <c r="G11" s="40" t="n">
        <f aca="false">IFERROR(VLOOKUP("新能源|7-氢能项目规划",指标更新台账_v3!$A$2:$I$600,9,FALSE()),0)</f>
        <v>8</v>
      </c>
      <c r="H11" s="38" t="s">
        <v>3067</v>
      </c>
      <c r="I11" s="35" t="s">
        <v>2223</v>
      </c>
      <c r="J11" s="39" t="s">
        <v>3068</v>
      </c>
      <c r="K11" s="28" t="s">
        <v>2075</v>
      </c>
      <c r="L11" s="12" t="n">
        <v>0.08</v>
      </c>
      <c r="M11" s="6" t="s">
        <v>2053</v>
      </c>
      <c r="N11" s="6" t="s">
        <v>279</v>
      </c>
    </row>
    <row r="12" customFormat="false" ht="28.5" hidden="false" customHeight="true" outlineLevel="0" collapsed="false">
      <c r="A12" s="35" t="s">
        <v>3069</v>
      </c>
      <c r="B12" s="28" t="s">
        <v>965</v>
      </c>
      <c r="C12" s="35" t="s">
        <v>966</v>
      </c>
      <c r="D12" s="35" t="s">
        <v>129</v>
      </c>
      <c r="E12" s="28" t="s">
        <v>2067</v>
      </c>
      <c r="F12" s="36" t="n">
        <v>0.0482</v>
      </c>
      <c r="G12" s="40" t="n">
        <f aca="false">IFERROR(VLOOKUP("新能源|8-新能源车渗透率",指标更新台账_v3!$A$2:$I$600,9,FALSE()),0)</f>
        <v>8</v>
      </c>
      <c r="H12" s="38" t="s">
        <v>2330</v>
      </c>
      <c r="I12" s="35" t="s">
        <v>2223</v>
      </c>
      <c r="J12" s="39" t="s">
        <v>2872</v>
      </c>
      <c r="K12" s="28" t="s">
        <v>2052</v>
      </c>
      <c r="L12" s="12" t="n">
        <v>0.08</v>
      </c>
      <c r="M12" s="6" t="s">
        <v>2053</v>
      </c>
      <c r="N12" s="6" t="s">
        <v>88</v>
      </c>
    </row>
    <row r="13" customFormat="false" ht="13.5" hidden="false" customHeight="true" outlineLevel="0" collapsed="false">
      <c r="A13" s="34" t="s">
        <v>2076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28.5" hidden="false" customHeight="true" outlineLevel="0" collapsed="false">
      <c r="A14" s="35" t="s">
        <v>3070</v>
      </c>
      <c r="B14" s="28" t="s">
        <v>485</v>
      </c>
      <c r="C14" s="35" t="s">
        <v>744</v>
      </c>
      <c r="D14" s="35" t="s">
        <v>2674</v>
      </c>
      <c r="E14" s="28" t="s">
        <v>2067</v>
      </c>
      <c r="F14" s="36" t="n">
        <v>0.1</v>
      </c>
      <c r="G14" s="37" t="n">
        <f aca="false">IFERROR(VLOOKUP("新能源|9-光伏装机量",指标更新台账_v3!$A$2:$I$600,9,FALSE()),0)</f>
        <v>6</v>
      </c>
      <c r="H14" s="38" t="s">
        <v>2675</v>
      </c>
      <c r="I14" s="35" t="s">
        <v>2080</v>
      </c>
      <c r="J14" s="39" t="s">
        <v>2676</v>
      </c>
      <c r="K14" s="28" t="s">
        <v>2052</v>
      </c>
      <c r="L14" s="12" t="n">
        <v>0.12</v>
      </c>
      <c r="M14" s="6" t="s">
        <v>2082</v>
      </c>
      <c r="N14" s="6" t="s">
        <v>213</v>
      </c>
    </row>
    <row r="15" customFormat="false" ht="28.5" hidden="false" customHeight="true" outlineLevel="0" collapsed="false">
      <c r="A15" s="35" t="s">
        <v>3071</v>
      </c>
      <c r="B15" s="28" t="s">
        <v>485</v>
      </c>
      <c r="C15" s="35" t="s">
        <v>302</v>
      </c>
      <c r="D15" s="35" t="s">
        <v>2674</v>
      </c>
      <c r="E15" s="28" t="s">
        <v>2067</v>
      </c>
      <c r="F15" s="36" t="n">
        <v>0.0833</v>
      </c>
      <c r="G15" s="37" t="n">
        <f aca="false">IFERROR(VLOOKUP("新能源|10-风电装机量",指标更新台账_v3!$A$2:$I$600,9,FALSE()),0)</f>
        <v>6</v>
      </c>
      <c r="H15" s="38" t="s">
        <v>2678</v>
      </c>
      <c r="I15" s="35" t="s">
        <v>2069</v>
      </c>
      <c r="J15" s="39" t="s">
        <v>2679</v>
      </c>
      <c r="K15" s="28" t="s">
        <v>2052</v>
      </c>
      <c r="L15" s="12" t="n">
        <v>0.1</v>
      </c>
      <c r="M15" s="6" t="s">
        <v>2082</v>
      </c>
      <c r="N15" s="6" t="s">
        <v>213</v>
      </c>
    </row>
    <row r="16" customFormat="false" ht="28.5" hidden="false" customHeight="true" outlineLevel="0" collapsed="false">
      <c r="A16" s="35" t="s">
        <v>3072</v>
      </c>
      <c r="B16" s="35" t="s">
        <v>750</v>
      </c>
      <c r="C16" s="35" t="s">
        <v>166</v>
      </c>
      <c r="D16" s="35" t="s">
        <v>2681</v>
      </c>
      <c r="E16" s="28" t="s">
        <v>2067</v>
      </c>
      <c r="F16" s="36" t="n">
        <v>0.0833</v>
      </c>
      <c r="G16" s="37" t="n">
        <f aca="false">IFERROR(VLOOKUP("新能源|11-储能装机量",指标更新台账_v3!$A$2:$I$600,9,FALSE()),0)</f>
        <v>6</v>
      </c>
      <c r="H16" s="38" t="s">
        <v>2682</v>
      </c>
      <c r="I16" s="35" t="s">
        <v>2080</v>
      </c>
      <c r="J16" s="39" t="s">
        <v>2683</v>
      </c>
      <c r="K16" s="28" t="s">
        <v>2100</v>
      </c>
      <c r="L16" s="12" t="n">
        <v>0.1</v>
      </c>
      <c r="M16" s="6" t="s">
        <v>2082</v>
      </c>
      <c r="N16" s="6" t="s">
        <v>213</v>
      </c>
    </row>
    <row r="17" customFormat="false" ht="14.25" hidden="false" customHeight="true" outlineLevel="0" collapsed="false">
      <c r="A17" s="35" t="s">
        <v>3073</v>
      </c>
      <c r="B17" s="28" t="s">
        <v>965</v>
      </c>
      <c r="C17" s="35" t="s">
        <v>287</v>
      </c>
      <c r="D17" s="28" t="s">
        <v>2880</v>
      </c>
      <c r="E17" s="28" t="s">
        <v>2067</v>
      </c>
      <c r="F17" s="36" t="n">
        <v>0.0833</v>
      </c>
      <c r="G17" s="40" t="n">
        <f aca="false">IFERROR(VLOOKUP("新能源|12-新能源车销量",指标更新台账_v3!$A$2:$I$600,9,FALSE()),0)</f>
        <v>8</v>
      </c>
      <c r="H17" s="38" t="s">
        <v>2758</v>
      </c>
      <c r="I17" s="35" t="s">
        <v>2242</v>
      </c>
      <c r="J17" s="39" t="s">
        <v>2881</v>
      </c>
      <c r="K17" s="28" t="s">
        <v>2052</v>
      </c>
      <c r="L17" s="12" t="n">
        <v>0.1</v>
      </c>
      <c r="M17" s="6" t="s">
        <v>2082</v>
      </c>
      <c r="N17" s="6" t="s">
        <v>213</v>
      </c>
    </row>
    <row r="18" customFormat="false" ht="13.5" hidden="false" customHeight="true" outlineLevel="0" collapsed="false">
      <c r="A18" s="34" t="s">
        <v>2096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customFormat="false" ht="28.5" hidden="false" customHeight="true" outlineLevel="0" collapsed="false">
      <c r="A19" s="35" t="s">
        <v>3074</v>
      </c>
      <c r="B19" s="28" t="s">
        <v>127</v>
      </c>
      <c r="C19" s="35" t="s">
        <v>1200</v>
      </c>
      <c r="D19" s="28" t="s">
        <v>217</v>
      </c>
      <c r="E19" s="28" t="s">
        <v>2062</v>
      </c>
      <c r="F19" s="36" t="n">
        <v>0.06</v>
      </c>
      <c r="G19" s="37" t="n">
        <f aca="false">IFERROR(VLOOKUP("新能源|13-新能源企业季度净利润",指标更新台账_v3!$A$2:$I$600,9,FALSE()),0)</f>
        <v>6</v>
      </c>
      <c r="H19" s="38" t="s">
        <v>2513</v>
      </c>
      <c r="I19" s="35" t="s">
        <v>2073</v>
      </c>
      <c r="J19" s="38" t="s">
        <v>2688</v>
      </c>
      <c r="K19" s="28" t="s">
        <v>2100</v>
      </c>
      <c r="L19" s="12" t="n">
        <v>0.1</v>
      </c>
      <c r="M19" s="6" t="s">
        <v>2101</v>
      </c>
      <c r="N19" s="6" t="s">
        <v>131</v>
      </c>
    </row>
    <row r="20" customFormat="false" ht="28.5" hidden="false" customHeight="true" outlineLevel="0" collapsed="false">
      <c r="A20" s="35" t="s">
        <v>3075</v>
      </c>
      <c r="B20" s="28" t="s">
        <v>127</v>
      </c>
      <c r="C20" s="35" t="s">
        <v>166</v>
      </c>
      <c r="D20" s="35" t="s">
        <v>129</v>
      </c>
      <c r="E20" s="28" t="s">
        <v>2062</v>
      </c>
      <c r="F20" s="36" t="n">
        <v>0.048</v>
      </c>
      <c r="G20" s="44" t="n">
        <f aca="false">IFERROR(VLOOKUP("新能源|14-新能源行业毛利率",指标更新台账_v3!$A$2:$I$600,9,FALSE()),0)</f>
        <v>4</v>
      </c>
      <c r="H20" s="38" t="s">
        <v>2690</v>
      </c>
      <c r="I20" s="35" t="s">
        <v>2170</v>
      </c>
      <c r="J20" s="39" t="s">
        <v>2691</v>
      </c>
      <c r="K20" s="28" t="s">
        <v>2100</v>
      </c>
      <c r="L20" s="12" t="n">
        <v>0.08</v>
      </c>
      <c r="M20" s="6" t="s">
        <v>2101</v>
      </c>
      <c r="N20" s="6" t="s">
        <v>94</v>
      </c>
    </row>
    <row r="21" customFormat="false" ht="28.5" hidden="false" customHeight="true" outlineLevel="0" collapsed="false">
      <c r="A21" s="35" t="s">
        <v>3076</v>
      </c>
      <c r="B21" s="28" t="s">
        <v>788</v>
      </c>
      <c r="C21" s="35" t="s">
        <v>141</v>
      </c>
      <c r="D21" s="35" t="s">
        <v>129</v>
      </c>
      <c r="E21" s="28" t="s">
        <v>2062</v>
      </c>
      <c r="F21" s="36" t="n">
        <v>0.042</v>
      </c>
      <c r="G21" s="37" t="n">
        <f aca="false">IFERROR(VLOOKUP("新能源|15-新能源行业产能利用率",指标更新台账_v3!$A$2:$I$600,9,FALSE()),0)</f>
        <v>6</v>
      </c>
      <c r="H21" s="38" t="s">
        <v>2123</v>
      </c>
      <c r="I21" s="35" t="s">
        <v>2073</v>
      </c>
      <c r="J21" s="39" t="s">
        <v>3077</v>
      </c>
      <c r="K21" s="28" t="s">
        <v>2100</v>
      </c>
      <c r="L21" s="12" t="n">
        <v>0.07</v>
      </c>
      <c r="M21" s="6" t="s">
        <v>2101</v>
      </c>
      <c r="N21" s="6" t="s">
        <v>131</v>
      </c>
    </row>
    <row r="22" customFormat="false" ht="17.25" hidden="false" customHeight="true" outlineLevel="0" collapsed="false">
      <c r="A22" s="41" t="s">
        <v>2108</v>
      </c>
      <c r="B22" s="41"/>
      <c r="C22" s="41"/>
      <c r="D22" s="41"/>
      <c r="E22" s="41"/>
      <c r="F22" s="41"/>
      <c r="G22" s="42" t="n">
        <f aca="false">ROUND(SUMPRODUCT(F5:F21,G5:G21),1)</f>
        <v>7.3</v>
      </c>
      <c r="H22" s="43" t="s">
        <v>2109</v>
      </c>
      <c r="I22" s="43"/>
      <c r="J22" s="43"/>
      <c r="K22" s="43"/>
    </row>
  </sheetData>
  <mergeCells count="7">
    <mergeCell ref="A1:K1"/>
    <mergeCell ref="A2:K2"/>
    <mergeCell ref="A4:K4"/>
    <mergeCell ref="A13:K13"/>
    <mergeCell ref="A18:K18"/>
    <mergeCell ref="A22:F22"/>
    <mergeCell ref="H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3078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3079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ROUND(SUMPRODUCT(F5:F12,G5:G12)/SUM(F5:F12),1)</f>
        <v>8</v>
      </c>
    </row>
    <row r="5" customFormat="false" ht="28.5" hidden="false" customHeight="true" outlineLevel="0" collapsed="false">
      <c r="A5" s="35" t="s">
        <v>2392</v>
      </c>
      <c r="B5" s="35" t="s">
        <v>443</v>
      </c>
      <c r="C5" s="35" t="s">
        <v>444</v>
      </c>
      <c r="D5" s="28" t="s">
        <v>2393</v>
      </c>
      <c r="E5" s="28" t="s">
        <v>2067</v>
      </c>
      <c r="F5" s="36" t="n">
        <v>0.0937</v>
      </c>
      <c r="G5" s="40" t="n">
        <f aca="false">IFERROR(VLOOKUP("医药医疗|1-创新药IND数量",指标更新台账_v3!$A$2:$I$600,9,FALSE()),0)</f>
        <v>8</v>
      </c>
      <c r="H5" s="38" t="s">
        <v>2394</v>
      </c>
      <c r="I5" s="35" t="s">
        <v>2223</v>
      </c>
      <c r="J5" s="39" t="s">
        <v>2395</v>
      </c>
      <c r="K5" s="28" t="s">
        <v>2052</v>
      </c>
      <c r="L5" s="12" t="n">
        <v>0.15</v>
      </c>
      <c r="M5" s="6" t="s">
        <v>2053</v>
      </c>
      <c r="N5" s="6" t="s">
        <v>88</v>
      </c>
      <c r="O5" s="12" t="s">
        <v>108</v>
      </c>
      <c r="P5" s="12" t="n">
        <f aca="false">ROUND(SUMPRODUCT(F14:F17,G14:G17)/SUM(F14:F17),1)</f>
        <v>7.2</v>
      </c>
    </row>
    <row r="6" customFormat="false" ht="28.5" hidden="false" customHeight="true" outlineLevel="0" collapsed="false">
      <c r="A6" s="35" t="s">
        <v>2396</v>
      </c>
      <c r="B6" s="28" t="s">
        <v>448</v>
      </c>
      <c r="C6" s="35" t="s">
        <v>449</v>
      </c>
      <c r="D6" s="35" t="s">
        <v>129</v>
      </c>
      <c r="E6" s="28" t="s">
        <v>2397</v>
      </c>
      <c r="F6" s="36" t="n">
        <v>0.0625</v>
      </c>
      <c r="G6" s="40" t="n">
        <f aca="false">IFERROR(VLOOKUP("医药医疗|2-医保谈判降价幅度",指标更新台账_v3!$A$2:$I$600,9,FALSE()),0)</f>
        <v>8</v>
      </c>
      <c r="H6" s="38" t="s">
        <v>2398</v>
      </c>
      <c r="I6" s="35" t="s">
        <v>2080</v>
      </c>
      <c r="J6" s="39" t="s">
        <v>2399</v>
      </c>
      <c r="K6" s="28" t="s">
        <v>2075</v>
      </c>
      <c r="L6" s="12" t="n">
        <v>0.1</v>
      </c>
      <c r="M6" s="6" t="s">
        <v>2053</v>
      </c>
      <c r="N6" s="6" t="s">
        <v>88</v>
      </c>
      <c r="O6" s="12" t="s">
        <v>125</v>
      </c>
      <c r="P6" s="12" t="n">
        <f aca="false">ROUND(SUMPRODUCT(F19:F21,G19:G21)/SUM(F19:F21),1)</f>
        <v>8</v>
      </c>
    </row>
    <row r="7" customFormat="false" ht="28.5" hidden="false" customHeight="true" outlineLevel="0" collapsed="false">
      <c r="A7" s="35" t="s">
        <v>2400</v>
      </c>
      <c r="B7" s="28" t="s">
        <v>452</v>
      </c>
      <c r="C7" s="35" t="s">
        <v>319</v>
      </c>
      <c r="D7" s="35" t="s">
        <v>85</v>
      </c>
      <c r="E7" s="28" t="s">
        <v>2062</v>
      </c>
      <c r="F7" s="36" t="n">
        <v>0.0625</v>
      </c>
      <c r="G7" s="40" t="n">
        <f aca="false">IFERROR(VLOOKUP("医药医疗|3-原料药价格变化",指标更新台账_v3!$A$2:$I$600,9,FALSE()),0)</f>
        <v>8</v>
      </c>
      <c r="H7" s="38" t="s">
        <v>2068</v>
      </c>
      <c r="I7" s="35" t="s">
        <v>2106</v>
      </c>
      <c r="J7" s="39" t="s">
        <v>2401</v>
      </c>
      <c r="K7" s="28" t="s">
        <v>2052</v>
      </c>
      <c r="L7" s="12" t="n">
        <v>0.1</v>
      </c>
      <c r="M7" s="6" t="s">
        <v>2053</v>
      </c>
      <c r="N7" s="6" t="s">
        <v>94</v>
      </c>
    </row>
    <row r="8" customFormat="false" ht="28.5" hidden="false" customHeight="true" outlineLevel="0" collapsed="false">
      <c r="A8" s="35" t="s">
        <v>2402</v>
      </c>
      <c r="B8" s="35" t="s">
        <v>455</v>
      </c>
      <c r="C8" s="35" t="s">
        <v>308</v>
      </c>
      <c r="D8" s="35" t="s">
        <v>85</v>
      </c>
      <c r="E8" s="28" t="s">
        <v>2067</v>
      </c>
      <c r="F8" s="36" t="n">
        <v>0.0625</v>
      </c>
      <c r="G8" s="40" t="n">
        <f aca="false">IFERROR(VLOOKUP("医药医疗|4-全球生物医药融资额",指标更新台账_v3!$A$2:$I$600,9,FALSE()),0)</f>
        <v>8</v>
      </c>
      <c r="H8" s="38" t="s">
        <v>2403</v>
      </c>
      <c r="I8" s="35" t="s">
        <v>2103</v>
      </c>
      <c r="J8" s="39" t="s">
        <v>2404</v>
      </c>
      <c r="K8" s="28" t="s">
        <v>2100</v>
      </c>
      <c r="L8" s="12" t="n">
        <v>0.1</v>
      </c>
      <c r="M8" s="6" t="s">
        <v>2053</v>
      </c>
      <c r="N8" s="6" t="s">
        <v>279</v>
      </c>
    </row>
    <row r="9" customFormat="false" ht="28.5" hidden="false" customHeight="true" outlineLevel="0" collapsed="false">
      <c r="A9" s="35" t="s">
        <v>3080</v>
      </c>
      <c r="B9" s="35" t="s">
        <v>1212</v>
      </c>
      <c r="C9" s="35" t="s">
        <v>769</v>
      </c>
      <c r="D9" s="28" t="s">
        <v>2393</v>
      </c>
      <c r="E9" s="28" t="s">
        <v>2433</v>
      </c>
      <c r="F9" s="36" t="n">
        <v>0.05</v>
      </c>
      <c r="G9" s="40" t="n">
        <f aca="false">IFERROR(VLOOKUP("医药医疗|5-医疗器械注册证数量",指标更新台账_v3!$A$2:$I$600,9,FALSE()),0)</f>
        <v>8</v>
      </c>
      <c r="H9" s="38" t="s">
        <v>3081</v>
      </c>
      <c r="I9" s="35" t="s">
        <v>2223</v>
      </c>
      <c r="J9" s="39" t="s">
        <v>3082</v>
      </c>
      <c r="K9" s="28" t="s">
        <v>2052</v>
      </c>
      <c r="L9" s="12" t="n">
        <v>0.08</v>
      </c>
      <c r="M9" s="6" t="s">
        <v>2053</v>
      </c>
      <c r="N9" s="6" t="s">
        <v>279</v>
      </c>
    </row>
    <row r="10" customFormat="false" ht="28.5" hidden="false" customHeight="true" outlineLevel="0" collapsed="false">
      <c r="A10" s="35" t="s">
        <v>3083</v>
      </c>
      <c r="B10" s="28" t="s">
        <v>3084</v>
      </c>
      <c r="C10" s="35" t="s">
        <v>240</v>
      </c>
      <c r="D10" s="35" t="s">
        <v>85</v>
      </c>
      <c r="E10" s="28" t="s">
        <v>2067</v>
      </c>
      <c r="F10" s="36" t="n">
        <v>0.075</v>
      </c>
      <c r="G10" s="40" t="n">
        <f aca="false">IFERROR(VLOOKUP("医药医疗|6-CXO订单增速",指标更新台账_v3!$A$2:$I$600,9,FALSE()),0)</f>
        <v>8</v>
      </c>
      <c r="H10" s="38" t="s">
        <v>2403</v>
      </c>
      <c r="I10" s="35" t="s">
        <v>2142</v>
      </c>
      <c r="J10" s="38" t="s">
        <v>3085</v>
      </c>
      <c r="K10" s="28" t="s">
        <v>2100</v>
      </c>
      <c r="L10" s="12" t="n">
        <v>0.12</v>
      </c>
      <c r="M10" s="6" t="s">
        <v>2053</v>
      </c>
      <c r="N10" s="6" t="s">
        <v>279</v>
      </c>
    </row>
    <row r="11" customFormat="false" ht="28.5" hidden="false" customHeight="true" outlineLevel="0" collapsed="false">
      <c r="A11" s="35" t="s">
        <v>3086</v>
      </c>
      <c r="B11" s="35" t="s">
        <v>1212</v>
      </c>
      <c r="C11" s="35" t="s">
        <v>1200</v>
      </c>
      <c r="D11" s="28" t="s">
        <v>2393</v>
      </c>
      <c r="E11" s="28" t="s">
        <v>2067</v>
      </c>
      <c r="F11" s="36" t="n">
        <v>0.05</v>
      </c>
      <c r="G11" s="40" t="n">
        <f aca="false">IFERROR(VLOOKUP("医药医疗|7-仿制药一致性评价通过数",指标更新台账_v3!$A$2:$I$600,9,FALSE()),0)</f>
        <v>8</v>
      </c>
      <c r="H11" s="38" t="s">
        <v>2758</v>
      </c>
      <c r="I11" s="35" t="s">
        <v>2142</v>
      </c>
      <c r="J11" s="39" t="s">
        <v>3087</v>
      </c>
      <c r="K11" s="28" t="s">
        <v>2052</v>
      </c>
      <c r="L11" s="12" t="n">
        <v>0.08</v>
      </c>
      <c r="M11" s="6" t="s">
        <v>2053</v>
      </c>
      <c r="N11" s="6" t="s">
        <v>88</v>
      </c>
    </row>
    <row r="12" customFormat="false" ht="28.5" hidden="false" customHeight="true" outlineLevel="0" collapsed="false">
      <c r="A12" s="35" t="s">
        <v>3088</v>
      </c>
      <c r="B12" s="35" t="s">
        <v>1212</v>
      </c>
      <c r="C12" s="35" t="s">
        <v>338</v>
      </c>
      <c r="D12" s="28" t="s">
        <v>3089</v>
      </c>
      <c r="E12" s="28" t="s">
        <v>2433</v>
      </c>
      <c r="F12" s="36" t="n">
        <v>0.0438</v>
      </c>
      <c r="G12" s="40" t="n">
        <f aca="false">IFERROR(VLOOKUP("医药医疗|8-医疗AI产品获批数量",指标更新台账_v3!$A$2:$I$600,9,FALSE()),0)</f>
        <v>8</v>
      </c>
      <c r="H12" s="38" t="s">
        <v>2562</v>
      </c>
      <c r="I12" s="35" t="s">
        <v>2242</v>
      </c>
      <c r="J12" s="38" t="s">
        <v>3090</v>
      </c>
      <c r="K12" s="28" t="s">
        <v>2075</v>
      </c>
      <c r="L12" s="12" t="n">
        <v>0.07</v>
      </c>
      <c r="M12" s="6" t="s">
        <v>2053</v>
      </c>
      <c r="N12" s="6" t="s">
        <v>88</v>
      </c>
    </row>
    <row r="13" customFormat="false" ht="13.5" hidden="false" customHeight="true" outlineLevel="0" collapsed="false">
      <c r="A13" s="34" t="s">
        <v>2076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customFormat="false" ht="14.25" hidden="false" customHeight="true" outlineLevel="0" collapsed="false">
      <c r="A14" s="35" t="s">
        <v>3091</v>
      </c>
      <c r="B14" s="28" t="s">
        <v>105</v>
      </c>
      <c r="C14" s="35" t="s">
        <v>177</v>
      </c>
      <c r="D14" s="35" t="s">
        <v>85</v>
      </c>
      <c r="E14" s="28" t="s">
        <v>2067</v>
      </c>
      <c r="F14" s="36" t="n">
        <v>0.1105</v>
      </c>
      <c r="G14" s="40" t="n">
        <f aca="false">IFERROR(VLOOKUP("医药医疗|9-医药制造业收入增速",指标更新台账_v3!$A$2:$I$600,9,FALSE()),0)</f>
        <v>8</v>
      </c>
      <c r="H14" s="38" t="s">
        <v>2149</v>
      </c>
      <c r="I14" s="35" t="s">
        <v>2085</v>
      </c>
      <c r="J14" s="39" t="s">
        <v>2406</v>
      </c>
      <c r="K14" s="28" t="s">
        <v>2052</v>
      </c>
      <c r="L14" s="12" t="n">
        <v>0.12</v>
      </c>
      <c r="M14" s="6" t="s">
        <v>2082</v>
      </c>
      <c r="N14" s="6" t="s">
        <v>213</v>
      </c>
    </row>
    <row r="15" customFormat="false" ht="14.25" hidden="false" customHeight="true" outlineLevel="0" collapsed="false">
      <c r="A15" s="35" t="s">
        <v>3092</v>
      </c>
      <c r="B15" s="28" t="s">
        <v>105</v>
      </c>
      <c r="C15" s="35" t="s">
        <v>330</v>
      </c>
      <c r="D15" s="35" t="s">
        <v>85</v>
      </c>
      <c r="E15" s="28" t="s">
        <v>2067</v>
      </c>
      <c r="F15" s="36" t="n">
        <v>0.0737</v>
      </c>
      <c r="G15" s="37" t="n">
        <f aca="false">IFERROR(VLOOKUP("医药医疗|10-化学药品原药产量",指标更新台账_v3!$A$2:$I$600,9,FALSE()),0)</f>
        <v>6</v>
      </c>
      <c r="H15" s="38" t="s">
        <v>2319</v>
      </c>
      <c r="I15" s="35" t="s">
        <v>2080</v>
      </c>
      <c r="J15" s="39" t="s">
        <v>2408</v>
      </c>
      <c r="K15" s="28" t="s">
        <v>2052</v>
      </c>
      <c r="L15" s="12" t="n">
        <v>0.08</v>
      </c>
      <c r="M15" s="6" t="s">
        <v>2082</v>
      </c>
      <c r="N15" s="6" t="s">
        <v>213</v>
      </c>
    </row>
    <row r="16" customFormat="false" ht="28.5" hidden="false" customHeight="true" outlineLevel="0" collapsed="false">
      <c r="A16" s="35" t="s">
        <v>3093</v>
      </c>
      <c r="B16" s="28" t="s">
        <v>101</v>
      </c>
      <c r="C16" s="35" t="s">
        <v>266</v>
      </c>
      <c r="D16" s="35" t="s">
        <v>85</v>
      </c>
      <c r="E16" s="28" t="s">
        <v>2067</v>
      </c>
      <c r="F16" s="36" t="n">
        <v>0.0921</v>
      </c>
      <c r="G16" s="40" t="n">
        <f aca="false">IFERROR(VLOOKUP("医药医疗|11-医疗器械出口增速",指标更新台账_v3!$A$2:$I$600,9,FALSE()),0)</f>
        <v>8</v>
      </c>
      <c r="H16" s="38" t="s">
        <v>2098</v>
      </c>
      <c r="I16" s="35" t="s">
        <v>2291</v>
      </c>
      <c r="J16" s="39" t="s">
        <v>2410</v>
      </c>
      <c r="K16" s="28" t="s">
        <v>2052</v>
      </c>
      <c r="L16" s="12" t="n">
        <v>0.1</v>
      </c>
      <c r="M16" s="6" t="s">
        <v>2082</v>
      </c>
      <c r="N16" s="6" t="s">
        <v>88</v>
      </c>
    </row>
    <row r="17" customFormat="false" ht="28.5" hidden="false" customHeight="true" outlineLevel="0" collapsed="false">
      <c r="A17" s="35" t="s">
        <v>3094</v>
      </c>
      <c r="B17" s="28" t="s">
        <v>464</v>
      </c>
      <c r="C17" s="35" t="s">
        <v>327</v>
      </c>
      <c r="D17" s="35" t="s">
        <v>85</v>
      </c>
      <c r="E17" s="28" t="s">
        <v>2067</v>
      </c>
      <c r="F17" s="36" t="n">
        <v>0.0737</v>
      </c>
      <c r="G17" s="37" t="n">
        <f aca="false">IFERROR(VLOOKUP("医药医疗|12-医院诊疗人次增速",指标更新台账_v3!$A$2:$I$600,9,FALSE()),0)</f>
        <v>6</v>
      </c>
      <c r="H17" s="38" t="s">
        <v>2149</v>
      </c>
      <c r="I17" s="35" t="s">
        <v>2089</v>
      </c>
      <c r="J17" s="39" t="s">
        <v>2412</v>
      </c>
      <c r="K17" s="28" t="s">
        <v>2052</v>
      </c>
      <c r="L17" s="12" t="n">
        <v>0.08</v>
      </c>
      <c r="M17" s="6" t="s">
        <v>2082</v>
      </c>
      <c r="N17" s="6" t="s">
        <v>88</v>
      </c>
    </row>
    <row r="18" customFormat="false" ht="13.5" hidden="false" customHeight="true" outlineLevel="0" collapsed="false">
      <c r="A18" s="34" t="s">
        <v>2096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customFormat="false" ht="28.5" hidden="false" customHeight="true" outlineLevel="0" collapsed="false">
      <c r="A19" s="35" t="s">
        <v>3095</v>
      </c>
      <c r="B19" s="28" t="s">
        <v>127</v>
      </c>
      <c r="C19" s="35" t="s">
        <v>283</v>
      </c>
      <c r="D19" s="35" t="s">
        <v>129</v>
      </c>
      <c r="E19" s="28" t="s">
        <v>2067</v>
      </c>
      <c r="F19" s="36" t="n">
        <v>0.06</v>
      </c>
      <c r="G19" s="40" t="n">
        <f aca="false">IFERROR(VLOOKUP("医药医疗|13-医药企业季度毛利率",指标更新台账_v3!$A$2:$I$600,9,FALSE()),0)</f>
        <v>8</v>
      </c>
      <c r="H19" s="38" t="s">
        <v>2414</v>
      </c>
      <c r="I19" s="35" t="s">
        <v>2242</v>
      </c>
      <c r="J19" s="38" t="s">
        <v>2415</v>
      </c>
      <c r="K19" s="28" t="s">
        <v>2100</v>
      </c>
      <c r="L19" s="12" t="n">
        <v>0.1</v>
      </c>
      <c r="M19" s="6" t="s">
        <v>2101</v>
      </c>
      <c r="N19" s="6" t="s">
        <v>94</v>
      </c>
    </row>
    <row r="20" customFormat="false" ht="28.5" hidden="false" customHeight="true" outlineLevel="0" collapsed="false">
      <c r="A20" s="35" t="s">
        <v>3096</v>
      </c>
      <c r="B20" s="28" t="s">
        <v>127</v>
      </c>
      <c r="C20" s="35" t="s">
        <v>1233</v>
      </c>
      <c r="D20" s="35" t="s">
        <v>129</v>
      </c>
      <c r="E20" s="28" t="s">
        <v>2067</v>
      </c>
      <c r="F20" s="36" t="n">
        <v>0.048</v>
      </c>
      <c r="G20" s="40" t="n">
        <f aca="false">IFERROR(VLOOKUP("医药医疗|14-医药企业研发费用率",指标更新台账_v3!$A$2:$I$600,9,FALSE()),0)</f>
        <v>8</v>
      </c>
      <c r="H20" s="38" t="s">
        <v>2417</v>
      </c>
      <c r="I20" s="35" t="s">
        <v>2085</v>
      </c>
      <c r="J20" s="39" t="s">
        <v>2418</v>
      </c>
      <c r="K20" s="28" t="s">
        <v>2100</v>
      </c>
      <c r="L20" s="12" t="n">
        <v>0.08</v>
      </c>
      <c r="M20" s="6" t="s">
        <v>2101</v>
      </c>
      <c r="N20" s="6" t="s">
        <v>88</v>
      </c>
    </row>
    <row r="21" customFormat="false" ht="28.5" hidden="false" customHeight="true" outlineLevel="0" collapsed="false">
      <c r="A21" s="35" t="s">
        <v>3097</v>
      </c>
      <c r="B21" s="28" t="s">
        <v>105</v>
      </c>
      <c r="C21" s="35" t="s">
        <v>305</v>
      </c>
      <c r="D21" s="35" t="s">
        <v>85</v>
      </c>
      <c r="E21" s="28" t="s">
        <v>2067</v>
      </c>
      <c r="F21" s="36" t="n">
        <v>0.042</v>
      </c>
      <c r="G21" s="40" t="n">
        <f aca="false">IFERROR(VLOOKUP("医药医疗|15-医药制造业利润增速",指标更新台账_v3!$A$2:$I$600,9,FALSE()),0)</f>
        <v>8</v>
      </c>
      <c r="H21" s="38" t="s">
        <v>2098</v>
      </c>
      <c r="I21" s="35" t="s">
        <v>2142</v>
      </c>
      <c r="J21" s="39" t="s">
        <v>2420</v>
      </c>
      <c r="K21" s="28" t="s">
        <v>2052</v>
      </c>
      <c r="L21" s="12" t="n">
        <v>0.07</v>
      </c>
      <c r="M21" s="6" t="s">
        <v>2101</v>
      </c>
      <c r="N21" s="6" t="s">
        <v>131</v>
      </c>
    </row>
    <row r="22" customFormat="false" ht="17.25" hidden="false" customHeight="true" outlineLevel="0" collapsed="false">
      <c r="A22" s="41" t="s">
        <v>2108</v>
      </c>
      <c r="B22" s="41"/>
      <c r="C22" s="41"/>
      <c r="D22" s="41"/>
      <c r="E22" s="41"/>
      <c r="F22" s="41"/>
      <c r="G22" s="42" t="n">
        <f aca="false">ROUND(SUMPRODUCT(F5:F21,G5:G21),1)</f>
        <v>7.7</v>
      </c>
      <c r="H22" s="43" t="s">
        <v>2109</v>
      </c>
      <c r="I22" s="43"/>
      <c r="J22" s="43"/>
      <c r="K22" s="43"/>
    </row>
  </sheetData>
  <mergeCells count="7">
    <mergeCell ref="A1:K1"/>
    <mergeCell ref="A2:K2"/>
    <mergeCell ref="A4:K4"/>
    <mergeCell ref="A13:K13"/>
    <mergeCell ref="A18:K18"/>
    <mergeCell ref="A22:F22"/>
    <mergeCell ref="H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3098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3099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ROUND(SUMPRODUCT(F5:F9,G5:G9)/SUM(F5:F9),1)</f>
        <v>7.6</v>
      </c>
    </row>
    <row r="5" customFormat="false" ht="28.5" hidden="false" customHeight="true" outlineLevel="0" collapsed="false">
      <c r="A5" s="35" t="s">
        <v>2895</v>
      </c>
      <c r="B5" s="28" t="s">
        <v>105</v>
      </c>
      <c r="C5" s="35" t="s">
        <v>975</v>
      </c>
      <c r="D5" s="35" t="s">
        <v>85</v>
      </c>
      <c r="E5" s="28" t="s">
        <v>2067</v>
      </c>
      <c r="F5" s="36" t="n">
        <v>0.1364</v>
      </c>
      <c r="G5" s="40" t="n">
        <f aca="false">IFERROR(VLOOKUP("高端制造|1-制造业固定资产投资增速",指标更新台账_v3!$A$2:$I$600,9,FALSE()),0)</f>
        <v>8</v>
      </c>
      <c r="H5" s="38" t="s">
        <v>2606</v>
      </c>
      <c r="I5" s="35" t="s">
        <v>2142</v>
      </c>
      <c r="J5" s="39" t="s">
        <v>2896</v>
      </c>
      <c r="K5" s="28" t="s">
        <v>2052</v>
      </c>
      <c r="L5" s="12" t="n">
        <v>0.15</v>
      </c>
      <c r="M5" s="6" t="s">
        <v>2053</v>
      </c>
      <c r="N5" s="6" t="s">
        <v>88</v>
      </c>
      <c r="O5" s="12" t="s">
        <v>108</v>
      </c>
      <c r="P5" s="12" t="n">
        <f aca="false">ROUND(SUMPRODUCT(F11:F14,G11:G14)/SUM(F11:F14),1)</f>
        <v>7</v>
      </c>
    </row>
    <row r="6" customFormat="false" ht="28.5" hidden="false" customHeight="true" outlineLevel="0" collapsed="false">
      <c r="A6" s="35" t="s">
        <v>3100</v>
      </c>
      <c r="B6" s="28" t="s">
        <v>105</v>
      </c>
      <c r="C6" s="35" t="s">
        <v>266</v>
      </c>
      <c r="D6" s="35" t="s">
        <v>85</v>
      </c>
      <c r="E6" s="28" t="s">
        <v>2067</v>
      </c>
      <c r="F6" s="36" t="n">
        <v>0.1091</v>
      </c>
      <c r="G6" s="40" t="n">
        <f aca="false">IFERROR(VLOOKUP("高端制造|2-工业机器人产量增速",指标更新台账_v3!$A$2:$I$600,9,FALSE()),0)</f>
        <v>8</v>
      </c>
      <c r="H6" s="38" t="s">
        <v>2403</v>
      </c>
      <c r="I6" s="35" t="s">
        <v>2242</v>
      </c>
      <c r="J6" s="39" t="s">
        <v>2904</v>
      </c>
      <c r="K6" s="28" t="s">
        <v>2052</v>
      </c>
      <c r="L6" s="12" t="n">
        <v>0.12</v>
      </c>
      <c r="M6" s="6" t="s">
        <v>2053</v>
      </c>
      <c r="N6" s="6" t="s">
        <v>213</v>
      </c>
      <c r="O6" s="12" t="s">
        <v>125</v>
      </c>
      <c r="P6" s="12" t="n">
        <f aca="false">ROUND(SUMPRODUCT(F16:F18,G16:G18)/SUM(F16:F18),1)</f>
        <v>6</v>
      </c>
    </row>
    <row r="7" customFormat="false" ht="28.5" hidden="false" customHeight="true" outlineLevel="0" collapsed="false">
      <c r="A7" s="35" t="s">
        <v>3101</v>
      </c>
      <c r="B7" s="28" t="s">
        <v>101</v>
      </c>
      <c r="C7" s="35" t="s">
        <v>177</v>
      </c>
      <c r="D7" s="35" t="s">
        <v>85</v>
      </c>
      <c r="E7" s="28" t="s">
        <v>2067</v>
      </c>
      <c r="F7" s="36" t="n">
        <v>0.0909</v>
      </c>
      <c r="G7" s="37" t="n">
        <f aca="false">IFERROR(VLOOKUP("高端制造|3-数控机床进口金额",指标更新台账_v3!$A$2:$I$600,9,FALSE()),0)</f>
        <v>6</v>
      </c>
      <c r="H7" s="38" t="s">
        <v>2149</v>
      </c>
      <c r="I7" s="35" t="s">
        <v>2089</v>
      </c>
      <c r="J7" s="39" t="s">
        <v>3102</v>
      </c>
      <c r="K7" s="28" t="s">
        <v>2052</v>
      </c>
      <c r="L7" s="12" t="n">
        <v>0.1</v>
      </c>
      <c r="M7" s="6" t="s">
        <v>2053</v>
      </c>
      <c r="N7" s="6" t="s">
        <v>88</v>
      </c>
    </row>
    <row r="8" customFormat="false" ht="28.5" hidden="false" customHeight="true" outlineLevel="0" collapsed="false">
      <c r="A8" s="35" t="s">
        <v>3103</v>
      </c>
      <c r="B8" s="28" t="s">
        <v>127</v>
      </c>
      <c r="C8" s="35" t="s">
        <v>270</v>
      </c>
      <c r="D8" s="35" t="s">
        <v>85</v>
      </c>
      <c r="E8" s="28" t="s">
        <v>2067</v>
      </c>
      <c r="F8" s="36" t="n">
        <v>0.0909</v>
      </c>
      <c r="G8" s="40" t="n">
        <f aca="false">IFERROR(VLOOKUP("高端制造|4-高端装备研发支出增速",指标更新台账_v3!$A$2:$I$600,9,FALSE()),0)</f>
        <v>8</v>
      </c>
      <c r="H8" s="38" t="s">
        <v>2326</v>
      </c>
      <c r="I8" s="35" t="s">
        <v>2223</v>
      </c>
      <c r="J8" s="39" t="s">
        <v>3104</v>
      </c>
      <c r="K8" s="28" t="s">
        <v>2100</v>
      </c>
      <c r="L8" s="12" t="n">
        <v>0.1</v>
      </c>
      <c r="M8" s="6" t="s">
        <v>2053</v>
      </c>
      <c r="N8" s="6" t="s">
        <v>88</v>
      </c>
    </row>
    <row r="9" customFormat="false" ht="28.5" hidden="false" customHeight="true" outlineLevel="0" collapsed="false">
      <c r="A9" s="35" t="s">
        <v>3105</v>
      </c>
      <c r="B9" s="28" t="s">
        <v>3106</v>
      </c>
      <c r="C9" s="35" t="s">
        <v>302</v>
      </c>
      <c r="D9" s="28" t="s">
        <v>2986</v>
      </c>
      <c r="E9" s="28" t="s">
        <v>2433</v>
      </c>
      <c r="F9" s="36" t="n">
        <v>0.0727</v>
      </c>
      <c r="G9" s="40" t="n">
        <f aca="false">IFERROR(VLOOKUP("高端制造|5-国产替代政策力度",指标更新台账_v3!$A$2:$I$600,9,FALSE()),0)</f>
        <v>8</v>
      </c>
      <c r="H9" s="38" t="s">
        <v>3107</v>
      </c>
      <c r="I9" s="35" t="s">
        <v>2242</v>
      </c>
      <c r="J9" s="39" t="s">
        <v>3108</v>
      </c>
      <c r="K9" s="28" t="s">
        <v>2075</v>
      </c>
      <c r="L9" s="12" t="n">
        <v>0.08</v>
      </c>
      <c r="M9" s="6" t="s">
        <v>2053</v>
      </c>
      <c r="N9" s="6" t="s">
        <v>279</v>
      </c>
    </row>
    <row r="10" customFormat="false" ht="13.5" hidden="false" customHeight="true" outlineLevel="0" collapsed="false">
      <c r="A10" s="34" t="s">
        <v>2076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28.5" hidden="false" customHeight="true" outlineLevel="0" collapsed="false">
      <c r="A11" s="35" t="s">
        <v>2907</v>
      </c>
      <c r="B11" s="28" t="s">
        <v>105</v>
      </c>
      <c r="C11" s="35" t="s">
        <v>177</v>
      </c>
      <c r="D11" s="35" t="s">
        <v>85</v>
      </c>
      <c r="E11" s="28" t="s">
        <v>2067</v>
      </c>
      <c r="F11" s="36" t="n">
        <v>0.105</v>
      </c>
      <c r="G11" s="37" t="n">
        <f aca="false">IFERROR(VLOOKUP("高端制造|6-金属切削机床产量",指标更新台账_v3!$A$2:$I$600,9,FALSE()),0)</f>
        <v>6</v>
      </c>
      <c r="H11" s="38" t="s">
        <v>2149</v>
      </c>
      <c r="I11" s="35" t="s">
        <v>2089</v>
      </c>
      <c r="J11" s="39" t="s">
        <v>2908</v>
      </c>
      <c r="K11" s="28" t="s">
        <v>2052</v>
      </c>
      <c r="L11" s="12" t="n">
        <v>0.12</v>
      </c>
      <c r="M11" s="6" t="s">
        <v>2082</v>
      </c>
      <c r="N11" s="6" t="s">
        <v>213</v>
      </c>
    </row>
    <row r="12" customFormat="false" ht="28.5" hidden="false" customHeight="true" outlineLevel="0" collapsed="false">
      <c r="A12" s="35" t="s">
        <v>3109</v>
      </c>
      <c r="B12" s="28" t="s">
        <v>1250</v>
      </c>
      <c r="C12" s="35" t="s">
        <v>1251</v>
      </c>
      <c r="D12" s="35" t="s">
        <v>85</v>
      </c>
      <c r="E12" s="28" t="s">
        <v>2067</v>
      </c>
      <c r="F12" s="36" t="n">
        <v>0.0875</v>
      </c>
      <c r="G12" s="40" t="n">
        <f aca="false">IFERROR(VLOOKUP("高端制造|7-工业机器人销量",指标更新台账_v3!$A$2:$I$600,9,FALSE()),0)</f>
        <v>8</v>
      </c>
      <c r="H12" s="38" t="s">
        <v>2403</v>
      </c>
      <c r="I12" s="35" t="s">
        <v>2142</v>
      </c>
      <c r="J12" s="39" t="s">
        <v>3110</v>
      </c>
      <c r="K12" s="28" t="s">
        <v>2100</v>
      </c>
      <c r="L12" s="12" t="n">
        <v>0.1</v>
      </c>
      <c r="M12" s="6" t="s">
        <v>2082</v>
      </c>
      <c r="N12" s="6" t="s">
        <v>213</v>
      </c>
    </row>
    <row r="13" customFormat="false" ht="28.5" hidden="false" customHeight="true" outlineLevel="0" collapsed="false">
      <c r="A13" s="35" t="s">
        <v>3111</v>
      </c>
      <c r="B13" s="28" t="s">
        <v>101</v>
      </c>
      <c r="C13" s="35" t="s">
        <v>266</v>
      </c>
      <c r="D13" s="35" t="s">
        <v>85</v>
      </c>
      <c r="E13" s="28" t="s">
        <v>2067</v>
      </c>
      <c r="F13" s="36" t="n">
        <v>0.0875</v>
      </c>
      <c r="G13" s="40" t="n">
        <f aca="false">IFERROR(VLOOKUP("高端制造|8-高端装备出口增速",指标更新台账_v3!$A$2:$I$600,9,FALSE()),0)</f>
        <v>8</v>
      </c>
      <c r="H13" s="38" t="s">
        <v>2472</v>
      </c>
      <c r="I13" s="35" t="s">
        <v>2291</v>
      </c>
      <c r="J13" s="39" t="s">
        <v>3112</v>
      </c>
      <c r="K13" s="28" t="s">
        <v>2052</v>
      </c>
      <c r="L13" s="12" t="n">
        <v>0.1</v>
      </c>
      <c r="M13" s="6" t="s">
        <v>2082</v>
      </c>
      <c r="N13" s="6" t="s">
        <v>88</v>
      </c>
    </row>
    <row r="14" customFormat="false" ht="28.5" hidden="false" customHeight="true" outlineLevel="0" collapsed="false">
      <c r="A14" s="35" t="s">
        <v>3113</v>
      </c>
      <c r="B14" s="28" t="s">
        <v>105</v>
      </c>
      <c r="C14" s="35" t="s">
        <v>177</v>
      </c>
      <c r="D14" s="35" t="s">
        <v>85</v>
      </c>
      <c r="E14" s="28" t="s">
        <v>2067</v>
      </c>
      <c r="F14" s="36" t="n">
        <v>0.07</v>
      </c>
      <c r="G14" s="37" t="n">
        <f aca="false">IFERROR(VLOOKUP("高端制造|9-航空航天器产量",指标更新台账_v3!$A$2:$I$600,9,FALSE()),0)</f>
        <v>6</v>
      </c>
      <c r="H14" s="38" t="s">
        <v>2149</v>
      </c>
      <c r="I14" s="35" t="s">
        <v>2089</v>
      </c>
      <c r="J14" s="39" t="s">
        <v>3114</v>
      </c>
      <c r="K14" s="28" t="s">
        <v>2100</v>
      </c>
      <c r="L14" s="12" t="n">
        <v>0.08</v>
      </c>
      <c r="M14" s="6" t="s">
        <v>2082</v>
      </c>
      <c r="N14" s="6" t="s">
        <v>213</v>
      </c>
    </row>
    <row r="15" customFormat="false" ht="13.5" hidden="false" customHeight="true" outlineLevel="0" collapsed="false">
      <c r="A15" s="34" t="s">
        <v>2096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customFormat="false" ht="28.5" hidden="false" customHeight="true" outlineLevel="0" collapsed="false">
      <c r="A16" s="35" t="s">
        <v>3115</v>
      </c>
      <c r="B16" s="28" t="s">
        <v>127</v>
      </c>
      <c r="C16" s="35" t="s">
        <v>449</v>
      </c>
      <c r="D16" s="28" t="s">
        <v>217</v>
      </c>
      <c r="E16" s="28" t="s">
        <v>2067</v>
      </c>
      <c r="F16" s="36" t="n">
        <v>0.06</v>
      </c>
      <c r="G16" s="37" t="n">
        <f aca="false">IFERROR(VLOOKUP("高端制造|10-高端制造企业季度净利润",指标更新台账_v3!$A$2:$I$600,9,FALSE()),0)</f>
        <v>6</v>
      </c>
      <c r="H16" s="38" t="s">
        <v>2186</v>
      </c>
      <c r="I16" s="35" t="s">
        <v>2080</v>
      </c>
      <c r="J16" s="38" t="s">
        <v>2914</v>
      </c>
      <c r="K16" s="28" t="s">
        <v>2100</v>
      </c>
      <c r="L16" s="12" t="n">
        <v>0.1</v>
      </c>
      <c r="M16" s="6" t="s">
        <v>2101</v>
      </c>
      <c r="N16" s="6" t="s">
        <v>131</v>
      </c>
    </row>
    <row r="17" customFormat="false" ht="28.5" hidden="false" customHeight="true" outlineLevel="0" collapsed="false">
      <c r="A17" s="35" t="s">
        <v>3116</v>
      </c>
      <c r="B17" s="28" t="s">
        <v>127</v>
      </c>
      <c r="C17" s="35" t="s">
        <v>302</v>
      </c>
      <c r="D17" s="35" t="s">
        <v>129</v>
      </c>
      <c r="E17" s="28" t="s">
        <v>2067</v>
      </c>
      <c r="F17" s="36" t="n">
        <v>0.048</v>
      </c>
      <c r="G17" s="37" t="n">
        <f aca="false">IFERROR(VLOOKUP("高端制造|11-高端制造行业毛利率",指标更新台账_v3!$A$2:$I$600,9,FALSE()),0)</f>
        <v>6</v>
      </c>
      <c r="H17" s="38" t="s">
        <v>2266</v>
      </c>
      <c r="I17" s="35" t="s">
        <v>2080</v>
      </c>
      <c r="J17" s="39" t="s">
        <v>3117</v>
      </c>
      <c r="K17" s="28" t="s">
        <v>2100</v>
      </c>
      <c r="L17" s="12" t="n">
        <v>0.08</v>
      </c>
      <c r="M17" s="6" t="s">
        <v>2101</v>
      </c>
      <c r="N17" s="6" t="s">
        <v>94</v>
      </c>
    </row>
    <row r="18" customFormat="false" ht="28.5" hidden="false" customHeight="true" outlineLevel="0" collapsed="false">
      <c r="A18" s="35" t="s">
        <v>3118</v>
      </c>
      <c r="B18" s="28" t="s">
        <v>105</v>
      </c>
      <c r="C18" s="35" t="s">
        <v>402</v>
      </c>
      <c r="D18" s="35" t="s">
        <v>129</v>
      </c>
      <c r="E18" s="28" t="s">
        <v>2067</v>
      </c>
      <c r="F18" s="36" t="n">
        <v>0.042</v>
      </c>
      <c r="G18" s="37" t="n">
        <f aca="false">IFERROR(VLOOKUP("高端制造|12-高端制造行业产能利用率",指标更新台账_v3!$A$2:$I$600,9,FALSE()),0)</f>
        <v>6</v>
      </c>
      <c r="H18" s="38" t="s">
        <v>2123</v>
      </c>
      <c r="I18" s="35" t="s">
        <v>2089</v>
      </c>
      <c r="J18" s="39" t="s">
        <v>2890</v>
      </c>
      <c r="K18" s="28" t="s">
        <v>2100</v>
      </c>
      <c r="L18" s="12" t="n">
        <v>0.07</v>
      </c>
      <c r="M18" s="6" t="s">
        <v>2101</v>
      </c>
      <c r="N18" s="6" t="s">
        <v>131</v>
      </c>
    </row>
    <row r="19" customFormat="false" ht="17.25" hidden="false" customHeight="true" outlineLevel="0" collapsed="false">
      <c r="A19" s="41" t="s">
        <v>2108</v>
      </c>
      <c r="B19" s="41"/>
      <c r="C19" s="41"/>
      <c r="D19" s="41"/>
      <c r="E19" s="41"/>
      <c r="F19" s="41"/>
      <c r="G19" s="42" t="n">
        <f aca="false">ROUND(SUMPRODUCT(F5:F18,G5:G18),1)</f>
        <v>7.2</v>
      </c>
      <c r="H19" s="43" t="s">
        <v>2109</v>
      </c>
      <c r="I19" s="43"/>
      <c r="J19" s="43"/>
      <c r="K19" s="43"/>
    </row>
  </sheetData>
  <mergeCells count="7">
    <mergeCell ref="A1:K1"/>
    <mergeCell ref="A2:K2"/>
    <mergeCell ref="A4:K4"/>
    <mergeCell ref="A10:K10"/>
    <mergeCell ref="A15:K15"/>
    <mergeCell ref="A19:F19"/>
    <mergeCell ref="H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3119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3120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ROUND(SUMPRODUCT(F5:F9,G5:G9)/SUM(F5:F9),1)</f>
        <v>8.4</v>
      </c>
    </row>
    <row r="5" customFormat="false" ht="28.5" hidden="false" customHeight="true" outlineLevel="0" collapsed="false">
      <c r="A5" s="35" t="s">
        <v>3121</v>
      </c>
      <c r="B5" s="28" t="s">
        <v>3122</v>
      </c>
      <c r="C5" s="35" t="s">
        <v>1266</v>
      </c>
      <c r="D5" s="28" t="s">
        <v>1267</v>
      </c>
      <c r="E5" s="28" t="s">
        <v>2433</v>
      </c>
      <c r="F5" s="36" t="n">
        <v>0.15</v>
      </c>
      <c r="G5" s="40" t="n">
        <f aca="false">IFERROR(VLOOKUP("人形机器人|1-人形机器人量产计划",指标更新台账_v3!$A$2:$I$600,9,FALSE()),0)</f>
        <v>8</v>
      </c>
      <c r="H5" s="38" t="s">
        <v>3123</v>
      </c>
      <c r="I5" s="35" t="s">
        <v>2223</v>
      </c>
      <c r="J5" s="39" t="s">
        <v>3124</v>
      </c>
      <c r="K5" s="28" t="s">
        <v>2100</v>
      </c>
      <c r="L5" s="12" t="n">
        <v>0.15</v>
      </c>
      <c r="M5" s="6" t="s">
        <v>3125</v>
      </c>
      <c r="N5" s="6" t="s">
        <v>88</v>
      </c>
      <c r="O5" s="12" t="s">
        <v>108</v>
      </c>
      <c r="P5" s="12" t="n">
        <f aca="false">ROUND(SUMPRODUCT(F11:F14,G11:G14)/SUM(F11:F14),1)</f>
        <v>7.6</v>
      </c>
    </row>
    <row r="6" customFormat="false" ht="28.5" hidden="false" customHeight="true" outlineLevel="0" collapsed="false">
      <c r="A6" s="35" t="s">
        <v>3126</v>
      </c>
      <c r="B6" s="28" t="s">
        <v>3127</v>
      </c>
      <c r="C6" s="35" t="s">
        <v>1271</v>
      </c>
      <c r="D6" s="35" t="s">
        <v>85</v>
      </c>
      <c r="E6" s="28" t="s">
        <v>3042</v>
      </c>
      <c r="F6" s="36" t="n">
        <v>0.12</v>
      </c>
      <c r="G6" s="40" t="n">
        <f aca="false">IFERROR(VLOOKUP("人形机器人|2-核心零部件订单",指标更新台账_v3!$A$2:$I$600,9,FALSE()),0)</f>
        <v>10</v>
      </c>
      <c r="H6" s="38" t="s">
        <v>3128</v>
      </c>
      <c r="I6" s="35" t="s">
        <v>2784</v>
      </c>
      <c r="J6" s="39" t="s">
        <v>3129</v>
      </c>
      <c r="K6" s="28" t="s">
        <v>2100</v>
      </c>
      <c r="L6" s="12" t="n">
        <v>0.12</v>
      </c>
      <c r="M6" s="6" t="s">
        <v>3125</v>
      </c>
      <c r="N6" s="6" t="s">
        <v>279</v>
      </c>
      <c r="O6" s="12" t="s">
        <v>125</v>
      </c>
      <c r="P6" s="12" t="n">
        <f aca="false">ROUND(SUMPRODUCT(F16:F18,G16:G18)/SUM(F16:F18),1)</f>
        <v>5.8</v>
      </c>
    </row>
    <row r="7" customFormat="false" ht="28.5" hidden="false" customHeight="true" outlineLevel="0" collapsed="false">
      <c r="A7" s="35" t="s">
        <v>3130</v>
      </c>
      <c r="B7" s="28" t="s">
        <v>1159</v>
      </c>
      <c r="C7" s="35" t="s">
        <v>550</v>
      </c>
      <c r="D7" s="35" t="s">
        <v>85</v>
      </c>
      <c r="E7" s="28" t="s">
        <v>2062</v>
      </c>
      <c r="F7" s="36" t="n">
        <v>0.1</v>
      </c>
      <c r="G7" s="40" t="n">
        <f aca="false">IFERROR(VLOOKUP("人形机器人|3-减速器价格变化",指标更新台账_v3!$A$2:$I$600,9,FALSE()),0)</f>
        <v>8</v>
      </c>
      <c r="H7" s="38" t="s">
        <v>3131</v>
      </c>
      <c r="I7" s="35" t="s">
        <v>2064</v>
      </c>
      <c r="J7" s="39" t="s">
        <v>3132</v>
      </c>
      <c r="K7" s="28" t="s">
        <v>2100</v>
      </c>
      <c r="L7" s="12" t="n">
        <v>0.1</v>
      </c>
      <c r="M7" s="6" t="s">
        <v>3125</v>
      </c>
      <c r="N7" s="6" t="s">
        <v>94</v>
      </c>
    </row>
    <row r="8" customFormat="false" ht="28.5" hidden="false" customHeight="true" outlineLevel="0" collapsed="false">
      <c r="A8" s="35" t="s">
        <v>3133</v>
      </c>
      <c r="B8" s="28" t="s">
        <v>3134</v>
      </c>
      <c r="C8" s="35" t="s">
        <v>806</v>
      </c>
      <c r="D8" s="35" t="s">
        <v>85</v>
      </c>
      <c r="E8" s="28" t="s">
        <v>2067</v>
      </c>
      <c r="F8" s="36" t="n">
        <v>0.1</v>
      </c>
      <c r="G8" s="40" t="n">
        <f aca="false">IFERROR(VLOOKUP("人形机器人|4-伺服电机出货量",指标更新台账_v3!$A$2:$I$600,9,FALSE()),0)</f>
        <v>8</v>
      </c>
      <c r="H8" s="38" t="s">
        <v>3038</v>
      </c>
      <c r="I8" s="35" t="s">
        <v>2058</v>
      </c>
      <c r="J8" s="39" t="s">
        <v>3135</v>
      </c>
      <c r="K8" s="28" t="s">
        <v>2100</v>
      </c>
      <c r="L8" s="12" t="n">
        <v>0.1</v>
      </c>
      <c r="M8" s="6" t="s">
        <v>3125</v>
      </c>
      <c r="N8" s="6" t="s">
        <v>213</v>
      </c>
    </row>
    <row r="9" customFormat="false" ht="28.5" hidden="false" customHeight="true" outlineLevel="0" collapsed="false">
      <c r="A9" s="35" t="s">
        <v>3136</v>
      </c>
      <c r="B9" s="35" t="s">
        <v>3137</v>
      </c>
      <c r="C9" s="35" t="s">
        <v>1280</v>
      </c>
      <c r="D9" s="28" t="s">
        <v>1281</v>
      </c>
      <c r="E9" s="28" t="s">
        <v>3138</v>
      </c>
      <c r="F9" s="36" t="n">
        <v>0.08</v>
      </c>
      <c r="G9" s="40" t="n">
        <f aca="false">IFERROR(VLOOKUP("人形机器人|5-AI大模型迭代进度",指标更新台账_v3!$A$2:$I$600,9,FALSE()),0)</f>
        <v>8</v>
      </c>
      <c r="H9" s="39" t="s">
        <v>3139</v>
      </c>
      <c r="I9" s="35" t="s">
        <v>2229</v>
      </c>
      <c r="J9" s="39" t="s">
        <v>3140</v>
      </c>
      <c r="K9" s="28" t="s">
        <v>2100</v>
      </c>
      <c r="L9" s="12" t="n">
        <v>0.08</v>
      </c>
      <c r="M9" s="6" t="s">
        <v>3125</v>
      </c>
      <c r="N9" s="6" t="s">
        <v>88</v>
      </c>
    </row>
    <row r="10" customFormat="false" ht="13.5" hidden="false" customHeight="true" outlineLevel="0" collapsed="false">
      <c r="A10" s="34" t="s">
        <v>2076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28.5" hidden="false" customHeight="true" outlineLevel="0" collapsed="false">
      <c r="A11" s="35" t="s">
        <v>3141</v>
      </c>
      <c r="B11" s="28" t="s">
        <v>788</v>
      </c>
      <c r="C11" s="35" t="s">
        <v>940</v>
      </c>
      <c r="D11" s="28" t="s">
        <v>3142</v>
      </c>
      <c r="E11" s="28" t="s">
        <v>2067</v>
      </c>
      <c r="F11" s="36" t="n">
        <v>0.1047</v>
      </c>
      <c r="G11" s="40" t="n">
        <f aca="false">IFERROR(VLOOKUP("人形机器人|6-人形机器人出货量",指标更新台账_v3!$A$2:$I$600,9,FALSE()),0)</f>
        <v>8</v>
      </c>
      <c r="H11" s="38" t="s">
        <v>3143</v>
      </c>
      <c r="I11" s="35" t="s">
        <v>2223</v>
      </c>
      <c r="J11" s="39" t="s">
        <v>3144</v>
      </c>
      <c r="K11" s="28" t="s">
        <v>2052</v>
      </c>
      <c r="L11" s="12" t="n">
        <v>0.15</v>
      </c>
      <c r="M11" s="6" t="s">
        <v>2306</v>
      </c>
      <c r="N11" s="6" t="s">
        <v>213</v>
      </c>
    </row>
    <row r="12" customFormat="false" ht="28.5" hidden="false" customHeight="true" outlineLevel="0" collapsed="false">
      <c r="A12" s="35" t="s">
        <v>3145</v>
      </c>
      <c r="B12" s="28" t="s">
        <v>1159</v>
      </c>
      <c r="C12" s="35" t="s">
        <v>141</v>
      </c>
      <c r="D12" s="35" t="s">
        <v>129</v>
      </c>
      <c r="E12" s="28" t="s">
        <v>2067</v>
      </c>
      <c r="F12" s="36" t="n">
        <v>0.0698</v>
      </c>
      <c r="G12" s="40" t="n">
        <f aca="false">IFERROR(VLOOKUP("人形机器人|7-核心零部件国产化率",指标更新台账_v3!$A$2:$I$600,9,FALSE()),0)</f>
        <v>8</v>
      </c>
      <c r="H12" s="38" t="s">
        <v>3146</v>
      </c>
      <c r="I12" s="35" t="s">
        <v>2242</v>
      </c>
      <c r="J12" s="39" t="s">
        <v>3147</v>
      </c>
      <c r="K12" s="28" t="s">
        <v>2100</v>
      </c>
      <c r="L12" s="12" t="n">
        <v>0.1</v>
      </c>
      <c r="M12" s="6" t="s">
        <v>2306</v>
      </c>
      <c r="N12" s="6" t="s">
        <v>88</v>
      </c>
    </row>
    <row r="13" customFormat="false" ht="28.5" hidden="false" customHeight="true" outlineLevel="0" collapsed="false">
      <c r="A13" s="35" t="s">
        <v>3148</v>
      </c>
      <c r="B13" s="28" t="s">
        <v>1159</v>
      </c>
      <c r="C13" s="35" t="s">
        <v>685</v>
      </c>
      <c r="D13" s="28" t="s">
        <v>1289</v>
      </c>
      <c r="E13" s="28" t="s">
        <v>2067</v>
      </c>
      <c r="F13" s="36" t="n">
        <v>0.0558</v>
      </c>
      <c r="G13" s="37" t="n">
        <f aca="false">IFERROR(VLOOKUP("人形机器人|8-人形机器人应用场景拓展",指标更新台账_v3!$A$2:$I$600,9,FALSE()),0)</f>
        <v>6</v>
      </c>
      <c r="H13" s="38" t="s">
        <v>3067</v>
      </c>
      <c r="I13" s="35" t="s">
        <v>2085</v>
      </c>
      <c r="J13" s="39" t="s">
        <v>3149</v>
      </c>
      <c r="K13" s="28" t="s">
        <v>2100</v>
      </c>
      <c r="L13" s="12" t="n">
        <v>0.08</v>
      </c>
      <c r="M13" s="6" t="s">
        <v>2306</v>
      </c>
      <c r="N13" s="6" t="s">
        <v>88</v>
      </c>
    </row>
    <row r="14" customFormat="false" ht="28.5" hidden="false" customHeight="true" outlineLevel="0" collapsed="false">
      <c r="A14" s="35" t="s">
        <v>3150</v>
      </c>
      <c r="B14" s="28" t="s">
        <v>127</v>
      </c>
      <c r="C14" s="35" t="s">
        <v>872</v>
      </c>
      <c r="D14" s="35" t="s">
        <v>85</v>
      </c>
      <c r="E14" s="28" t="s">
        <v>2067</v>
      </c>
      <c r="F14" s="36" t="n">
        <v>0.0698</v>
      </c>
      <c r="G14" s="40" t="n">
        <f aca="false">IFERROR(VLOOKUP("人形机器人|9-相关上市公司收入增速",指标更新台账_v3!$A$2:$I$600,9,FALSE()),0)</f>
        <v>8</v>
      </c>
      <c r="H14" s="38" t="s">
        <v>3038</v>
      </c>
      <c r="I14" s="35" t="s">
        <v>2229</v>
      </c>
      <c r="J14" s="39" t="s">
        <v>3151</v>
      </c>
      <c r="K14" s="28" t="s">
        <v>2100</v>
      </c>
      <c r="L14" s="12" t="n">
        <v>0.1</v>
      </c>
      <c r="M14" s="6" t="s">
        <v>2306</v>
      </c>
      <c r="N14" s="6" t="s">
        <v>213</v>
      </c>
    </row>
    <row r="15" customFormat="false" ht="13.5" hidden="false" customHeight="true" outlineLevel="0" collapsed="false">
      <c r="A15" s="34" t="s">
        <v>2096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customFormat="false" ht="28.5" hidden="false" customHeight="true" outlineLevel="0" collapsed="false">
      <c r="A16" s="35" t="s">
        <v>3152</v>
      </c>
      <c r="B16" s="28" t="s">
        <v>127</v>
      </c>
      <c r="C16" s="35" t="s">
        <v>600</v>
      </c>
      <c r="D16" s="28" t="s">
        <v>217</v>
      </c>
      <c r="E16" s="28" t="s">
        <v>3153</v>
      </c>
      <c r="F16" s="36" t="n">
        <v>0.06</v>
      </c>
      <c r="G16" s="44" t="n">
        <f aca="false">IFERROR(VLOOKUP("人形机器人|10-人形机器人企业净利润",指标更新台账_v3!$A$2:$I$600,9,FALSE()),0)</f>
        <v>4</v>
      </c>
      <c r="H16" s="38" t="s">
        <v>3154</v>
      </c>
      <c r="I16" s="35" t="s">
        <v>2050</v>
      </c>
      <c r="J16" s="39" t="s">
        <v>3155</v>
      </c>
      <c r="K16" s="28" t="s">
        <v>2100</v>
      </c>
      <c r="L16" s="12" t="n">
        <v>0.1</v>
      </c>
      <c r="M16" s="6" t="s">
        <v>2101</v>
      </c>
      <c r="N16" s="6" t="s">
        <v>131</v>
      </c>
    </row>
    <row r="17" customFormat="false" ht="28.5" hidden="false" customHeight="true" outlineLevel="0" collapsed="false">
      <c r="A17" s="35" t="s">
        <v>3156</v>
      </c>
      <c r="B17" s="28" t="s">
        <v>127</v>
      </c>
      <c r="C17" s="35" t="s">
        <v>677</v>
      </c>
      <c r="D17" s="35" t="s">
        <v>129</v>
      </c>
      <c r="E17" s="28" t="s">
        <v>2067</v>
      </c>
      <c r="F17" s="36" t="n">
        <v>0.048</v>
      </c>
      <c r="G17" s="37" t="n">
        <f aca="false">IFERROR(VLOOKUP("人形机器人|11-人形机器人行业毛利率",指标更新台账_v3!$A$2:$I$600,9,FALSE()),0)</f>
        <v>6</v>
      </c>
      <c r="H17" s="38" t="s">
        <v>2241</v>
      </c>
      <c r="I17" s="35" t="s">
        <v>2069</v>
      </c>
      <c r="J17" s="39" t="s">
        <v>3157</v>
      </c>
      <c r="K17" s="28" t="s">
        <v>2100</v>
      </c>
      <c r="L17" s="12" t="n">
        <v>0.08</v>
      </c>
      <c r="M17" s="6" t="s">
        <v>2101</v>
      </c>
      <c r="N17" s="6" t="s">
        <v>94</v>
      </c>
    </row>
    <row r="18" customFormat="false" ht="28.5" hidden="false" customHeight="true" outlineLevel="0" collapsed="false">
      <c r="A18" s="35" t="s">
        <v>3158</v>
      </c>
      <c r="B18" s="28" t="s">
        <v>127</v>
      </c>
      <c r="C18" s="35" t="s">
        <v>166</v>
      </c>
      <c r="D18" s="35" t="s">
        <v>129</v>
      </c>
      <c r="E18" s="28" t="s">
        <v>2067</v>
      </c>
      <c r="F18" s="36" t="n">
        <v>0.042</v>
      </c>
      <c r="G18" s="40" t="n">
        <f aca="false">IFERROR(VLOOKUP("人形机器人|12-人形机器人行业研发投入",指标更新台账_v3!$A$2:$I$600,9,FALSE()),0)</f>
        <v>8</v>
      </c>
      <c r="H18" s="38" t="s">
        <v>2326</v>
      </c>
      <c r="I18" s="35" t="s">
        <v>2223</v>
      </c>
      <c r="J18" s="39" t="s">
        <v>3159</v>
      </c>
      <c r="K18" s="28" t="s">
        <v>2100</v>
      </c>
      <c r="L18" s="12" t="n">
        <v>0.07</v>
      </c>
      <c r="M18" s="6" t="s">
        <v>2101</v>
      </c>
      <c r="N18" s="6" t="s">
        <v>88</v>
      </c>
    </row>
    <row r="19" customFormat="false" ht="17.25" hidden="false" customHeight="true" outlineLevel="0" collapsed="false">
      <c r="A19" s="41" t="s">
        <v>2108</v>
      </c>
      <c r="B19" s="41"/>
      <c r="C19" s="41"/>
      <c r="D19" s="41"/>
      <c r="E19" s="41"/>
      <c r="F19" s="41"/>
      <c r="G19" s="42" t="n">
        <f aca="false">ROUND(SUMPRODUCT(F5:F18,G5:G18),1)</f>
        <v>7.8</v>
      </c>
      <c r="H19" s="43" t="s">
        <v>2109</v>
      </c>
      <c r="I19" s="43"/>
      <c r="J19" s="43"/>
      <c r="K19" s="43"/>
    </row>
  </sheetData>
  <mergeCells count="7">
    <mergeCell ref="A1:K1"/>
    <mergeCell ref="A2:K2"/>
    <mergeCell ref="A4:K4"/>
    <mergeCell ref="A10:K10"/>
    <mergeCell ref="A15:K15"/>
    <mergeCell ref="A19:F19"/>
    <mergeCell ref="H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8.75" hidden="false" customHeight="true" outlineLevel="0" collapsed="false">
      <c r="A1" s="30" t="s">
        <v>3160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3161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ROUND(SUMPRODUCT(F5:F9,G5:G9)/SUM(F5:F9),1)</f>
        <v>9.4</v>
      </c>
    </row>
    <row r="5" customFormat="false" ht="28.5" hidden="false" customHeight="true" outlineLevel="0" collapsed="false">
      <c r="A5" s="35" t="s">
        <v>3162</v>
      </c>
      <c r="B5" s="35" t="s">
        <v>805</v>
      </c>
      <c r="C5" s="35" t="s">
        <v>1301</v>
      </c>
      <c r="D5" s="35" t="s">
        <v>85</v>
      </c>
      <c r="E5" s="28" t="s">
        <v>2067</v>
      </c>
      <c r="F5" s="36" t="n">
        <v>0.15</v>
      </c>
      <c r="G5" s="40" t="n">
        <f aca="false">IFERROR(VLOOKUP("AI算力|1-全球AI服务器出货量增速",指标更新台账_v3!$A$2:$I$600,9,FALSE()),0)</f>
        <v>10</v>
      </c>
      <c r="H5" s="38" t="s">
        <v>2733</v>
      </c>
      <c r="I5" s="35" t="s">
        <v>2784</v>
      </c>
      <c r="J5" s="38" t="s">
        <v>3163</v>
      </c>
      <c r="K5" s="28" t="s">
        <v>2100</v>
      </c>
      <c r="L5" s="12" t="n">
        <v>0.15</v>
      </c>
      <c r="M5" s="6" t="s">
        <v>3125</v>
      </c>
      <c r="N5" s="6" t="s">
        <v>213</v>
      </c>
      <c r="O5" s="12" t="s">
        <v>108</v>
      </c>
      <c r="P5" s="12" t="n">
        <f aca="false">ROUND(SUMPRODUCT(F11:F14,G11:G14)/SUM(F11:F14),1)</f>
        <v>8.5</v>
      </c>
    </row>
    <row r="6" customFormat="false" ht="28.5" hidden="false" customHeight="true" outlineLevel="0" collapsed="false">
      <c r="A6" s="35" t="s">
        <v>3164</v>
      </c>
      <c r="B6" s="28" t="s">
        <v>3165</v>
      </c>
      <c r="C6" s="35" t="s">
        <v>1305</v>
      </c>
      <c r="D6" s="35" t="s">
        <v>85</v>
      </c>
      <c r="E6" s="28" t="s">
        <v>2067</v>
      </c>
      <c r="F6" s="36" t="n">
        <v>0.12</v>
      </c>
      <c r="G6" s="40" t="n">
        <f aca="false">IFERROR(VLOOKUP("AI算力|2-GPU/ASIC出货量",指标更新台账_v3!$A$2:$I$600,9,FALSE()),0)</f>
        <v>10</v>
      </c>
      <c r="H6" s="38" t="s">
        <v>2733</v>
      </c>
      <c r="I6" s="35" t="s">
        <v>3166</v>
      </c>
      <c r="J6" s="38" t="s">
        <v>3167</v>
      </c>
      <c r="K6" s="28" t="s">
        <v>2100</v>
      </c>
      <c r="L6" s="12" t="n">
        <v>0.12</v>
      </c>
      <c r="M6" s="6" t="s">
        <v>3125</v>
      </c>
      <c r="N6" s="6" t="s">
        <v>213</v>
      </c>
      <c r="O6" s="12" t="s">
        <v>125</v>
      </c>
      <c r="P6" s="12" t="n">
        <f aca="false">ROUND(SUMPRODUCT(F16:F18,G16:G18)/SUM(F16:F18),1)</f>
        <v>8</v>
      </c>
    </row>
    <row r="7" customFormat="false" ht="28.5" hidden="false" customHeight="true" outlineLevel="0" collapsed="false">
      <c r="A7" s="35" t="s">
        <v>2789</v>
      </c>
      <c r="B7" s="35" t="s">
        <v>871</v>
      </c>
      <c r="C7" s="35" t="s">
        <v>1307</v>
      </c>
      <c r="D7" s="35" t="s">
        <v>85</v>
      </c>
      <c r="E7" s="28" t="s">
        <v>2067</v>
      </c>
      <c r="F7" s="36" t="n">
        <v>0.1</v>
      </c>
      <c r="G7" s="40" t="n">
        <f aca="false">IFERROR(VLOOKUP("AI算力|3-光模块出货量",指标更新台账_v3!$A$2:$I$600,9,FALSE()),0)</f>
        <v>10</v>
      </c>
      <c r="H7" s="38" t="s">
        <v>2568</v>
      </c>
      <c r="I7" s="35" t="s">
        <v>2209</v>
      </c>
      <c r="J7" s="39" t="s">
        <v>3168</v>
      </c>
      <c r="K7" s="28" t="s">
        <v>2100</v>
      </c>
      <c r="L7" s="12" t="n">
        <v>0.1</v>
      </c>
      <c r="M7" s="6" t="s">
        <v>3125</v>
      </c>
      <c r="N7" s="6" t="s">
        <v>213</v>
      </c>
    </row>
    <row r="8" customFormat="false" ht="28.5" hidden="false" customHeight="true" outlineLevel="0" collapsed="false">
      <c r="A8" s="35" t="s">
        <v>2791</v>
      </c>
      <c r="B8" s="28" t="s">
        <v>809</v>
      </c>
      <c r="C8" s="35" t="s">
        <v>1309</v>
      </c>
      <c r="D8" s="28" t="s">
        <v>876</v>
      </c>
      <c r="E8" s="28" t="s">
        <v>2433</v>
      </c>
      <c r="F8" s="36" t="n">
        <v>0.1</v>
      </c>
      <c r="G8" s="40" t="n">
        <f aca="false">IFERROR(VLOOKUP("AI算力|4-数据中心建设规模",指标更新台账_v3!$A$2:$I$600,9,FALSE()),0)</f>
        <v>10</v>
      </c>
      <c r="H8" s="38" t="s">
        <v>2758</v>
      </c>
      <c r="I8" s="35" t="s">
        <v>2209</v>
      </c>
      <c r="J8" s="39" t="s">
        <v>2792</v>
      </c>
      <c r="K8" s="28" t="s">
        <v>2075</v>
      </c>
      <c r="L8" s="12" t="n">
        <v>0.1</v>
      </c>
      <c r="M8" s="6" t="s">
        <v>3125</v>
      </c>
      <c r="N8" s="6" t="s">
        <v>88</v>
      </c>
    </row>
    <row r="9" customFormat="false" ht="28.5" hidden="false" customHeight="true" outlineLevel="0" collapsed="false">
      <c r="A9" s="35" t="s">
        <v>3169</v>
      </c>
      <c r="B9" s="28" t="s">
        <v>1159</v>
      </c>
      <c r="C9" s="35" t="s">
        <v>232</v>
      </c>
      <c r="D9" s="35" t="s">
        <v>129</v>
      </c>
      <c r="E9" s="28" t="s">
        <v>2067</v>
      </c>
      <c r="F9" s="36" t="n">
        <v>0.08</v>
      </c>
      <c r="G9" s="37" t="n">
        <f aca="false">IFERROR(VLOOKUP("AI算力|5-液冷技术渗透率",指标更新台账_v3!$A$2:$I$600,9,FALSE()),0)</f>
        <v>6</v>
      </c>
      <c r="H9" s="38" t="s">
        <v>3170</v>
      </c>
      <c r="I9" s="35" t="s">
        <v>2089</v>
      </c>
      <c r="J9" s="39" t="s">
        <v>3171</v>
      </c>
      <c r="K9" s="28" t="s">
        <v>2100</v>
      </c>
      <c r="L9" s="12" t="n">
        <v>0.08</v>
      </c>
      <c r="M9" s="6" t="s">
        <v>3125</v>
      </c>
      <c r="N9" s="6" t="s">
        <v>88</v>
      </c>
    </row>
    <row r="10" customFormat="false" ht="13.5" hidden="false" customHeight="true" outlineLevel="0" collapsed="false">
      <c r="A10" s="34" t="s">
        <v>2076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customFormat="false" ht="28.5" hidden="false" customHeight="true" outlineLevel="0" collapsed="false">
      <c r="A11" s="35" t="s">
        <v>3172</v>
      </c>
      <c r="B11" s="28" t="s">
        <v>1125</v>
      </c>
      <c r="C11" s="35" t="s">
        <v>308</v>
      </c>
      <c r="D11" s="35" t="s">
        <v>2134</v>
      </c>
      <c r="E11" s="28" t="s">
        <v>2067</v>
      </c>
      <c r="F11" s="36" t="n">
        <v>0.09</v>
      </c>
      <c r="G11" s="40" t="n">
        <f aca="false">IFERROR(VLOOKUP("AI算力|6-AI算力租赁价格",指标更新台账_v3!$A$2:$I$600,9,FALSE()),0)</f>
        <v>8</v>
      </c>
      <c r="H11" s="38" t="s">
        <v>2216</v>
      </c>
      <c r="I11" s="35" t="s">
        <v>2242</v>
      </c>
      <c r="J11" s="39" t="s">
        <v>3173</v>
      </c>
      <c r="K11" s="28" t="s">
        <v>2052</v>
      </c>
      <c r="L11" s="12" t="n">
        <v>0.12</v>
      </c>
      <c r="M11" s="6" t="s">
        <v>2306</v>
      </c>
      <c r="N11" s="6" t="s">
        <v>94</v>
      </c>
    </row>
    <row r="12" customFormat="false" ht="28.5" hidden="false" customHeight="true" outlineLevel="0" collapsed="false">
      <c r="A12" s="35" t="s">
        <v>3174</v>
      </c>
      <c r="B12" s="28" t="s">
        <v>3175</v>
      </c>
      <c r="C12" s="35" t="s">
        <v>278</v>
      </c>
      <c r="D12" s="35" t="s">
        <v>85</v>
      </c>
      <c r="E12" s="28" t="s">
        <v>2067</v>
      </c>
      <c r="F12" s="36" t="n">
        <v>0.075</v>
      </c>
      <c r="G12" s="40" t="n">
        <f aca="false">IFERROR(VLOOKUP("AI算力|7-云计算收入增速",指标更新台账_v3!$A$2:$I$600,9,FALSE()),0)</f>
        <v>8</v>
      </c>
      <c r="H12" s="38" t="s">
        <v>3170</v>
      </c>
      <c r="I12" s="35" t="s">
        <v>2223</v>
      </c>
      <c r="J12" s="39" t="s">
        <v>3176</v>
      </c>
      <c r="K12" s="28" t="s">
        <v>2100</v>
      </c>
      <c r="L12" s="12" t="n">
        <v>0.1</v>
      </c>
      <c r="M12" s="6" t="s">
        <v>2306</v>
      </c>
      <c r="N12" s="6" t="s">
        <v>213</v>
      </c>
    </row>
    <row r="13" customFormat="false" ht="14.25" hidden="false" customHeight="true" outlineLevel="0" collapsed="false">
      <c r="A13" s="35" t="s">
        <v>3177</v>
      </c>
      <c r="B13" s="28" t="s">
        <v>809</v>
      </c>
      <c r="C13" s="35" t="s">
        <v>1319</v>
      </c>
      <c r="D13" s="28"/>
      <c r="E13" s="28" t="s">
        <v>3178</v>
      </c>
      <c r="F13" s="36" t="n">
        <v>0.06</v>
      </c>
      <c r="G13" s="40" t="n">
        <f aca="false">IFERROR(VLOOKUP("AI算力|8-算力中心PUE值",指标更新台账_v3!$A$2:$I$600,9,FALSE()),0)</f>
        <v>8</v>
      </c>
      <c r="H13" s="38" t="s">
        <v>3179</v>
      </c>
      <c r="I13" s="35" t="s">
        <v>2085</v>
      </c>
      <c r="J13" s="38" t="s">
        <v>3180</v>
      </c>
      <c r="K13" s="28" t="s">
        <v>2100</v>
      </c>
      <c r="L13" s="12" t="n">
        <v>0.08</v>
      </c>
      <c r="M13" s="6" t="s">
        <v>2306</v>
      </c>
      <c r="N13" s="6" t="s">
        <v>88</v>
      </c>
    </row>
    <row r="14" customFormat="false" ht="28.5" hidden="false" customHeight="true" outlineLevel="0" collapsed="false">
      <c r="A14" s="35" t="s">
        <v>3181</v>
      </c>
      <c r="B14" s="28" t="s">
        <v>3182</v>
      </c>
      <c r="C14" s="35" t="s">
        <v>1271</v>
      </c>
      <c r="D14" s="35" t="s">
        <v>85</v>
      </c>
      <c r="E14" s="28" t="s">
        <v>2067</v>
      </c>
      <c r="F14" s="36" t="n">
        <v>0.075</v>
      </c>
      <c r="G14" s="40" t="n">
        <f aca="false">IFERROR(VLOOKUP("AI算力|9-国产AI芯片出货量",指标更新台账_v3!$A$2:$I$600,9,FALSE()),0)</f>
        <v>10</v>
      </c>
      <c r="H14" s="38" t="s">
        <v>3128</v>
      </c>
      <c r="I14" s="35" t="s">
        <v>2209</v>
      </c>
      <c r="J14" s="39" t="s">
        <v>3183</v>
      </c>
      <c r="K14" s="28" t="s">
        <v>2100</v>
      </c>
      <c r="L14" s="12" t="n">
        <v>0.1</v>
      </c>
      <c r="M14" s="6" t="s">
        <v>2306</v>
      </c>
      <c r="N14" s="6" t="s">
        <v>213</v>
      </c>
    </row>
    <row r="15" customFormat="false" ht="13.5" hidden="false" customHeight="true" outlineLevel="0" collapsed="false">
      <c r="A15" s="34" t="s">
        <v>2096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customFormat="false" ht="28.5" hidden="false" customHeight="true" outlineLevel="0" collapsed="false">
      <c r="A16" s="35" t="s">
        <v>3184</v>
      </c>
      <c r="B16" s="28" t="s">
        <v>127</v>
      </c>
      <c r="C16" s="35" t="s">
        <v>744</v>
      </c>
      <c r="D16" s="28" t="s">
        <v>217</v>
      </c>
      <c r="E16" s="28" t="s">
        <v>2067</v>
      </c>
      <c r="F16" s="36" t="n">
        <v>0.06</v>
      </c>
      <c r="G16" s="40" t="n">
        <f aca="false">IFERROR(VLOOKUP("AI算力|10-AI算力企业季度净利润",指标更新台账_v3!$A$2:$I$600,9,FALSE()),0)</f>
        <v>8</v>
      </c>
      <c r="H16" s="38" t="s">
        <v>2186</v>
      </c>
      <c r="I16" s="35" t="s">
        <v>2223</v>
      </c>
      <c r="J16" s="38" t="s">
        <v>3185</v>
      </c>
      <c r="K16" s="28" t="s">
        <v>2100</v>
      </c>
      <c r="L16" s="12" t="n">
        <v>0.1</v>
      </c>
      <c r="M16" s="6" t="s">
        <v>2101</v>
      </c>
      <c r="N16" s="6" t="s">
        <v>131</v>
      </c>
    </row>
    <row r="17" customFormat="false" ht="28.5" hidden="false" customHeight="true" outlineLevel="0" collapsed="false">
      <c r="A17" s="35" t="s">
        <v>3186</v>
      </c>
      <c r="B17" s="28" t="s">
        <v>127</v>
      </c>
      <c r="C17" s="35" t="s">
        <v>1141</v>
      </c>
      <c r="D17" s="35" t="s">
        <v>129</v>
      </c>
      <c r="E17" s="28" t="s">
        <v>2067</v>
      </c>
      <c r="F17" s="36" t="n">
        <v>0.048</v>
      </c>
      <c r="G17" s="40" t="n">
        <f aca="false">IFERROR(VLOOKUP("AI算力|11-AI算力行业毛利率",指标更新台账_v3!$A$2:$I$600,9,FALSE()),0)</f>
        <v>8</v>
      </c>
      <c r="H17" s="38" t="s">
        <v>3187</v>
      </c>
      <c r="I17" s="35" t="s">
        <v>2142</v>
      </c>
      <c r="J17" s="39" t="s">
        <v>3188</v>
      </c>
      <c r="K17" s="28" t="s">
        <v>2100</v>
      </c>
      <c r="L17" s="12" t="n">
        <v>0.08</v>
      </c>
      <c r="M17" s="6" t="s">
        <v>2101</v>
      </c>
      <c r="N17" s="6" t="s">
        <v>94</v>
      </c>
    </row>
    <row r="18" customFormat="false" ht="28.5" hidden="false" customHeight="true" outlineLevel="0" collapsed="false">
      <c r="A18" s="35" t="s">
        <v>3189</v>
      </c>
      <c r="B18" s="28" t="s">
        <v>1159</v>
      </c>
      <c r="C18" s="35" t="s">
        <v>287</v>
      </c>
      <c r="D18" s="35" t="s">
        <v>129</v>
      </c>
      <c r="E18" s="28" t="s">
        <v>2067</v>
      </c>
      <c r="F18" s="36" t="n">
        <v>0.042</v>
      </c>
      <c r="G18" s="40" t="n">
        <f aca="false">IFERROR(VLOOKUP("AI算力|12-AI算力行业产能利用率",指标更新台账_v3!$A$2:$I$600,9,FALSE()),0)</f>
        <v>8</v>
      </c>
      <c r="H18" s="38" t="s">
        <v>3054</v>
      </c>
      <c r="I18" s="35" t="s">
        <v>2229</v>
      </c>
      <c r="J18" s="39" t="s">
        <v>3190</v>
      </c>
      <c r="K18" s="28" t="s">
        <v>2100</v>
      </c>
      <c r="L18" s="12" t="n">
        <v>0.07</v>
      </c>
      <c r="M18" s="6" t="s">
        <v>2101</v>
      </c>
      <c r="N18" s="6" t="s">
        <v>131</v>
      </c>
    </row>
    <row r="19" customFormat="false" ht="17.25" hidden="false" customHeight="true" outlineLevel="0" collapsed="false">
      <c r="A19" s="41" t="s">
        <v>2108</v>
      </c>
      <c r="B19" s="41"/>
      <c r="C19" s="41"/>
      <c r="D19" s="41"/>
      <c r="E19" s="41"/>
      <c r="F19" s="41"/>
      <c r="G19" s="42" t="n">
        <f aca="false">ROUND(SUMPRODUCT(F5:F18,G5:G18),1)</f>
        <v>8.9</v>
      </c>
      <c r="H19" s="43" t="s">
        <v>2109</v>
      </c>
      <c r="I19" s="43"/>
      <c r="J19" s="43"/>
      <c r="K19" s="43"/>
    </row>
  </sheetData>
  <mergeCells count="7">
    <mergeCell ref="A1:K1"/>
    <mergeCell ref="A2:K2"/>
    <mergeCell ref="A4:K4"/>
    <mergeCell ref="A10:K10"/>
    <mergeCell ref="A15:K15"/>
    <mergeCell ref="A19:F19"/>
    <mergeCell ref="H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3191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3192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ROUND(SUMPRODUCT(F5:F11,G5:G11)/SUM(F5:F11),1)</f>
        <v>7.8</v>
      </c>
    </row>
    <row r="5" customFormat="false" ht="28.5" hidden="false" customHeight="true" outlineLevel="0" collapsed="false">
      <c r="A5" s="35" t="s">
        <v>3193</v>
      </c>
      <c r="B5" s="35" t="s">
        <v>3194</v>
      </c>
      <c r="C5" s="35" t="s">
        <v>765</v>
      </c>
      <c r="D5" s="28" t="s">
        <v>3195</v>
      </c>
      <c r="E5" s="28" t="s">
        <v>2062</v>
      </c>
      <c r="F5" s="36" t="n">
        <v>0.1056</v>
      </c>
      <c r="G5" s="40" t="n">
        <f aca="false">IFERROR(VLOOKUP("锂电|1-碳酸锂价格变化",指标更新台账_v3!$A$2:$I$600,9,FALSE()),0)</f>
        <v>8</v>
      </c>
      <c r="H5" s="38" t="s">
        <v>3196</v>
      </c>
      <c r="I5" s="35" t="s">
        <v>2424</v>
      </c>
      <c r="J5" s="39" t="s">
        <v>3197</v>
      </c>
      <c r="K5" s="28" t="s">
        <v>2060</v>
      </c>
      <c r="L5" s="12" t="n">
        <v>0.15</v>
      </c>
      <c r="M5" s="6" t="s">
        <v>2053</v>
      </c>
      <c r="N5" s="6" t="s">
        <v>94</v>
      </c>
      <c r="O5" s="12" t="s">
        <v>108</v>
      </c>
      <c r="P5" s="12" t="n">
        <f aca="false">ROUND(SUMPRODUCT(F13:F18,G13:G18)/SUM(F13:F18),1)</f>
        <v>8</v>
      </c>
    </row>
    <row r="6" customFormat="false" ht="28.5" hidden="false" customHeight="true" outlineLevel="0" collapsed="false">
      <c r="A6" s="35" t="s">
        <v>3198</v>
      </c>
      <c r="B6" s="35" t="s">
        <v>231</v>
      </c>
      <c r="C6" s="35" t="s">
        <v>335</v>
      </c>
      <c r="D6" s="28" t="s">
        <v>3195</v>
      </c>
      <c r="E6" s="28" t="s">
        <v>2062</v>
      </c>
      <c r="F6" s="36" t="n">
        <v>0.0563</v>
      </c>
      <c r="G6" s="40" t="n">
        <f aca="false">IFERROR(VLOOKUP("锂电|2-氢氧化锂价格变化",指标更新台账_v3!$A$2:$I$600,9,FALSE()),0)</f>
        <v>8</v>
      </c>
      <c r="H6" s="38" t="s">
        <v>3199</v>
      </c>
      <c r="I6" s="35" t="s">
        <v>2120</v>
      </c>
      <c r="J6" s="39" t="s">
        <v>3200</v>
      </c>
      <c r="K6" s="28" t="s">
        <v>2060</v>
      </c>
      <c r="L6" s="12" t="n">
        <v>0.08</v>
      </c>
      <c r="M6" s="6" t="s">
        <v>2053</v>
      </c>
      <c r="N6" s="6" t="s">
        <v>94</v>
      </c>
      <c r="O6" s="12" t="s">
        <v>125</v>
      </c>
      <c r="P6" s="12" t="n">
        <f aca="false">ROUND(SUMPRODUCT(F20:F23,G20:G23)/SUM(F20:F23),1)</f>
        <v>5.5</v>
      </c>
    </row>
    <row r="7" customFormat="false" ht="28.5" hidden="false" customHeight="true" outlineLevel="0" collapsed="false">
      <c r="A7" s="35" t="s">
        <v>3201</v>
      </c>
      <c r="B7" s="35" t="s">
        <v>1338</v>
      </c>
      <c r="C7" s="35" t="s">
        <v>312</v>
      </c>
      <c r="D7" s="35" t="s">
        <v>85</v>
      </c>
      <c r="E7" s="28" t="s">
        <v>2062</v>
      </c>
      <c r="F7" s="36" t="n">
        <v>0.0563</v>
      </c>
      <c r="G7" s="40" t="n">
        <f aca="false">IFERROR(VLOOKUP("锂电|3-钴/镍价格变化",指标更新台账_v3!$A$2:$I$600,9,FALSE()),0)</f>
        <v>8</v>
      </c>
      <c r="H7" s="38" t="s">
        <v>2195</v>
      </c>
      <c r="I7" s="35" t="s">
        <v>2170</v>
      </c>
      <c r="J7" s="39" t="s">
        <v>3202</v>
      </c>
      <c r="K7" s="28" t="s">
        <v>2060</v>
      </c>
      <c r="L7" s="12" t="n">
        <v>0.08</v>
      </c>
      <c r="M7" s="6" t="s">
        <v>2053</v>
      </c>
      <c r="N7" s="6" t="s">
        <v>94</v>
      </c>
    </row>
    <row r="8" customFormat="false" ht="28.5" hidden="false" customHeight="true" outlineLevel="0" collapsed="false">
      <c r="A8" s="35" t="s">
        <v>3203</v>
      </c>
      <c r="B8" s="28" t="s">
        <v>1341</v>
      </c>
      <c r="C8" s="35" t="s">
        <v>624</v>
      </c>
      <c r="D8" s="35" t="s">
        <v>85</v>
      </c>
      <c r="E8" s="28" t="s">
        <v>2127</v>
      </c>
      <c r="F8" s="36" t="n">
        <v>0.0704</v>
      </c>
      <c r="G8" s="40" t="n">
        <f aca="false">IFERROR(VLOOKUP("锂电|4-动力电池产能规划增速",指标更新台账_v3!$A$2:$I$600,9,FALSE()),0)</f>
        <v>8</v>
      </c>
      <c r="H8" s="38" t="s">
        <v>3204</v>
      </c>
      <c r="I8" s="35" t="s">
        <v>2080</v>
      </c>
      <c r="J8" s="39" t="s">
        <v>3205</v>
      </c>
      <c r="K8" s="28" t="s">
        <v>2100</v>
      </c>
      <c r="L8" s="12" t="n">
        <v>0.1</v>
      </c>
      <c r="M8" s="6" t="s">
        <v>2053</v>
      </c>
      <c r="N8" s="6" t="s">
        <v>279</v>
      </c>
    </row>
    <row r="9" customFormat="false" ht="28.5" hidden="false" customHeight="true" outlineLevel="0" collapsed="false">
      <c r="A9" s="35" t="s">
        <v>3206</v>
      </c>
      <c r="B9" s="28" t="s">
        <v>3207</v>
      </c>
      <c r="C9" s="35" t="s">
        <v>966</v>
      </c>
      <c r="D9" s="35" t="s">
        <v>129</v>
      </c>
      <c r="E9" s="28" t="s">
        <v>2067</v>
      </c>
      <c r="F9" s="36" t="n">
        <v>0.0845</v>
      </c>
      <c r="G9" s="40" t="n">
        <f aca="false">IFERROR(VLOOKUP("锂电|5-新能源车渗透率预期",指标更新台账_v3!$A$2:$I$600,9,FALSE()),0)</f>
        <v>8</v>
      </c>
      <c r="H9" s="38" t="s">
        <v>2330</v>
      </c>
      <c r="I9" s="35" t="s">
        <v>2223</v>
      </c>
      <c r="J9" s="39" t="s">
        <v>3208</v>
      </c>
      <c r="K9" s="28" t="s">
        <v>2052</v>
      </c>
      <c r="L9" s="12" t="n">
        <v>0.12</v>
      </c>
      <c r="M9" s="6" t="s">
        <v>2053</v>
      </c>
      <c r="N9" s="6" t="s">
        <v>88</v>
      </c>
    </row>
    <row r="10" customFormat="false" ht="28.5" hidden="false" customHeight="true" outlineLevel="0" collapsed="false">
      <c r="A10" s="35" t="s">
        <v>3209</v>
      </c>
      <c r="B10" s="28" t="s">
        <v>3210</v>
      </c>
      <c r="C10" s="35" t="s">
        <v>93</v>
      </c>
      <c r="D10" s="35" t="s">
        <v>85</v>
      </c>
      <c r="E10" s="28" t="s">
        <v>2067</v>
      </c>
      <c r="F10" s="36" t="n">
        <v>0.0704</v>
      </c>
      <c r="G10" s="40" t="n">
        <f aca="false">IFERROR(VLOOKUP("锂电|6-锂电设备订单增速",指标更新台账_v3!$A$2:$I$600,9,FALSE()),0)</f>
        <v>8</v>
      </c>
      <c r="H10" s="38" t="s">
        <v>2712</v>
      </c>
      <c r="I10" s="35" t="s">
        <v>2223</v>
      </c>
      <c r="J10" s="39" t="s">
        <v>3211</v>
      </c>
      <c r="K10" s="28" t="s">
        <v>2100</v>
      </c>
      <c r="L10" s="12" t="n">
        <v>0.1</v>
      </c>
      <c r="M10" s="6" t="s">
        <v>2053</v>
      </c>
      <c r="N10" s="6" t="s">
        <v>279</v>
      </c>
    </row>
    <row r="11" customFormat="false" ht="28.5" hidden="false" customHeight="true" outlineLevel="0" collapsed="false">
      <c r="A11" s="35" t="s">
        <v>3212</v>
      </c>
      <c r="B11" s="28" t="s">
        <v>1341</v>
      </c>
      <c r="C11" s="35" t="s">
        <v>177</v>
      </c>
      <c r="D11" s="35" t="s">
        <v>198</v>
      </c>
      <c r="E11" s="28" t="s">
        <v>2067</v>
      </c>
      <c r="F11" s="36" t="n">
        <v>0.0563</v>
      </c>
      <c r="G11" s="37" t="n">
        <f aca="false">IFERROR(VLOOKUP("锂电|7-正极材料企业排产计划",指标更新台账_v3!$A$2:$I$600,9,FALSE()),0)</f>
        <v>6</v>
      </c>
      <c r="H11" s="38" t="s">
        <v>2149</v>
      </c>
      <c r="I11" s="35" t="s">
        <v>2089</v>
      </c>
      <c r="J11" s="39" t="s">
        <v>3213</v>
      </c>
      <c r="K11" s="28" t="s">
        <v>2052</v>
      </c>
      <c r="L11" s="12" t="n">
        <v>0.08</v>
      </c>
      <c r="M11" s="6" t="s">
        <v>2053</v>
      </c>
      <c r="N11" s="6" t="s">
        <v>88</v>
      </c>
    </row>
    <row r="12" customFormat="false" ht="13.5" hidden="false" customHeight="true" outlineLevel="0" collapsed="false">
      <c r="A12" s="34" t="s">
        <v>2076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customFormat="false" ht="28.5" hidden="false" customHeight="true" outlineLevel="0" collapsed="false">
      <c r="A13" s="35" t="s">
        <v>3214</v>
      </c>
      <c r="B13" s="28" t="s">
        <v>969</v>
      </c>
      <c r="C13" s="35" t="s">
        <v>970</v>
      </c>
      <c r="D13" s="35" t="s">
        <v>85</v>
      </c>
      <c r="E13" s="28" t="s">
        <v>2067</v>
      </c>
      <c r="F13" s="36" t="n">
        <v>0.0905</v>
      </c>
      <c r="G13" s="40" t="n">
        <f aca="false">IFERROR(VLOOKUP("锂电|8-动力电池装车量增速",指标更新台账_v3!$A$2:$I$600,9,FALSE()),0)</f>
        <v>8</v>
      </c>
      <c r="H13" s="38" t="s">
        <v>2568</v>
      </c>
      <c r="I13" s="35" t="s">
        <v>2229</v>
      </c>
      <c r="J13" s="39" t="s">
        <v>3215</v>
      </c>
      <c r="K13" s="28" t="s">
        <v>2052</v>
      </c>
      <c r="L13" s="12" t="n">
        <v>0.15</v>
      </c>
      <c r="M13" s="6" t="s">
        <v>2082</v>
      </c>
      <c r="N13" s="6" t="s">
        <v>88</v>
      </c>
    </row>
    <row r="14" customFormat="false" ht="28.5" hidden="false" customHeight="true" outlineLevel="0" collapsed="false">
      <c r="A14" s="35" t="s">
        <v>3216</v>
      </c>
      <c r="B14" s="28" t="s">
        <v>969</v>
      </c>
      <c r="C14" s="35" t="s">
        <v>93</v>
      </c>
      <c r="D14" s="35" t="s">
        <v>85</v>
      </c>
      <c r="E14" s="28" t="s">
        <v>2067</v>
      </c>
      <c r="F14" s="36" t="n">
        <v>0.0603</v>
      </c>
      <c r="G14" s="40" t="n">
        <f aca="false">IFERROR(VLOOKUP("锂电|9-动力电池产量增速",指标更新台账_v3!$A$2:$I$600,9,FALSE()),0)</f>
        <v>8</v>
      </c>
      <c r="H14" s="38" t="s">
        <v>3217</v>
      </c>
      <c r="I14" s="35" t="s">
        <v>2223</v>
      </c>
      <c r="J14" s="39" t="s">
        <v>3218</v>
      </c>
      <c r="K14" s="28" t="s">
        <v>2052</v>
      </c>
      <c r="L14" s="12" t="n">
        <v>0.1</v>
      </c>
      <c r="M14" s="6" t="s">
        <v>2082</v>
      </c>
      <c r="N14" s="6" t="s">
        <v>213</v>
      </c>
    </row>
    <row r="15" customFormat="false" ht="28.5" hidden="false" customHeight="true" outlineLevel="0" collapsed="false">
      <c r="A15" s="35" t="s">
        <v>3219</v>
      </c>
      <c r="B15" s="28" t="s">
        <v>101</v>
      </c>
      <c r="C15" s="35" t="s">
        <v>1356</v>
      </c>
      <c r="D15" s="35" t="s">
        <v>85</v>
      </c>
      <c r="E15" s="28" t="s">
        <v>2067</v>
      </c>
      <c r="F15" s="36" t="n">
        <v>0.0603</v>
      </c>
      <c r="G15" s="40" t="n">
        <f aca="false">IFERROR(VLOOKUP("锂电|10-锂电池出口金额增速",指标更新台账_v3!$A$2:$I$600,9,FALSE()),0)</f>
        <v>8</v>
      </c>
      <c r="H15" s="38" t="s">
        <v>2241</v>
      </c>
      <c r="I15" s="35" t="s">
        <v>2058</v>
      </c>
      <c r="J15" s="39" t="s">
        <v>3220</v>
      </c>
      <c r="K15" s="28" t="s">
        <v>2052</v>
      </c>
      <c r="L15" s="12" t="n">
        <v>0.1</v>
      </c>
      <c r="M15" s="6" t="s">
        <v>2082</v>
      </c>
      <c r="N15" s="6" t="s">
        <v>88</v>
      </c>
    </row>
    <row r="16" customFormat="false" ht="14.25" hidden="false" customHeight="true" outlineLevel="0" collapsed="false">
      <c r="A16" s="35" t="s">
        <v>3221</v>
      </c>
      <c r="B16" s="28" t="s">
        <v>1341</v>
      </c>
      <c r="C16" s="35" t="s">
        <v>270</v>
      </c>
      <c r="D16" s="35" t="s">
        <v>85</v>
      </c>
      <c r="E16" s="28" t="s">
        <v>2067</v>
      </c>
      <c r="F16" s="36" t="n">
        <v>0.0483</v>
      </c>
      <c r="G16" s="40" t="n">
        <f aca="false">IFERROR(VLOOKUP("锂电|11-正极材料产量增速",指标更新台账_v3!$A$2:$I$600,9,FALSE()),0)</f>
        <v>8</v>
      </c>
      <c r="H16" s="38" t="s">
        <v>3222</v>
      </c>
      <c r="I16" s="35" t="s">
        <v>2242</v>
      </c>
      <c r="J16" s="39" t="s">
        <v>3223</v>
      </c>
      <c r="K16" s="28" t="s">
        <v>2052</v>
      </c>
      <c r="L16" s="12" t="n">
        <v>0.08</v>
      </c>
      <c r="M16" s="6" t="s">
        <v>2082</v>
      </c>
      <c r="N16" s="6" t="s">
        <v>213</v>
      </c>
    </row>
    <row r="17" customFormat="false" ht="28.5" hidden="false" customHeight="true" outlineLevel="0" collapsed="false">
      <c r="A17" s="35" t="s">
        <v>3224</v>
      </c>
      <c r="B17" s="28" t="s">
        <v>1341</v>
      </c>
      <c r="C17" s="35" t="s">
        <v>240</v>
      </c>
      <c r="D17" s="35" t="s">
        <v>85</v>
      </c>
      <c r="E17" s="28" t="s">
        <v>2067</v>
      </c>
      <c r="F17" s="36" t="n">
        <v>0.0483</v>
      </c>
      <c r="G17" s="40" t="n">
        <f aca="false">IFERROR(VLOOKUP("锂电|12-负极材料产量增速",指标更新台账_v3!$A$2:$I$600,9,FALSE()),0)</f>
        <v>8</v>
      </c>
      <c r="H17" s="38" t="s">
        <v>2403</v>
      </c>
      <c r="I17" s="35" t="s">
        <v>2142</v>
      </c>
      <c r="J17" s="39" t="s">
        <v>3225</v>
      </c>
      <c r="K17" s="28" t="s">
        <v>2052</v>
      </c>
      <c r="L17" s="12" t="n">
        <v>0.08</v>
      </c>
      <c r="M17" s="6" t="s">
        <v>2082</v>
      </c>
      <c r="N17" s="6" t="s">
        <v>213</v>
      </c>
    </row>
    <row r="18" customFormat="false" ht="28.5" hidden="false" customHeight="true" outlineLevel="0" collapsed="false">
      <c r="A18" s="35" t="s">
        <v>3226</v>
      </c>
      <c r="B18" s="28" t="s">
        <v>1341</v>
      </c>
      <c r="C18" s="35" t="s">
        <v>1251</v>
      </c>
      <c r="D18" s="35" t="s">
        <v>85</v>
      </c>
      <c r="E18" s="28" t="s">
        <v>2067</v>
      </c>
      <c r="F18" s="36" t="n">
        <v>0.0422</v>
      </c>
      <c r="G18" s="40" t="n">
        <f aca="false">IFERROR(VLOOKUP("锂电|13-电解液产量增速",指标更新台账_v3!$A$2:$I$600,9,FALSE()),0)</f>
        <v>8</v>
      </c>
      <c r="H18" s="38" t="s">
        <v>2403</v>
      </c>
      <c r="I18" s="35" t="s">
        <v>2242</v>
      </c>
      <c r="J18" s="39" t="s">
        <v>3227</v>
      </c>
      <c r="K18" s="28" t="s">
        <v>2052</v>
      </c>
      <c r="L18" s="12" t="n">
        <v>0.07</v>
      </c>
      <c r="M18" s="6" t="s">
        <v>2082</v>
      </c>
      <c r="N18" s="6" t="s">
        <v>213</v>
      </c>
    </row>
    <row r="19" customFormat="false" ht="13.5" hidden="false" customHeight="true" outlineLevel="0" collapsed="false">
      <c r="A19" s="34" t="s">
        <v>2096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28.5" hidden="false" customHeight="true" outlineLevel="0" collapsed="false">
      <c r="A20" s="35" t="s">
        <v>3228</v>
      </c>
      <c r="B20" s="28" t="s">
        <v>127</v>
      </c>
      <c r="C20" s="35" t="s">
        <v>1365</v>
      </c>
      <c r="D20" s="35" t="s">
        <v>129</v>
      </c>
      <c r="E20" s="28" t="s">
        <v>2067</v>
      </c>
      <c r="F20" s="36" t="n">
        <v>0.0455</v>
      </c>
      <c r="G20" s="37" t="n">
        <f aca="false">IFERROR(VLOOKUP("锂电|14-锂电企业季度毛利率",指标更新台账_v3!$A$2:$I$600,9,FALSE()),0)</f>
        <v>6</v>
      </c>
      <c r="H20" s="38" t="s">
        <v>2326</v>
      </c>
      <c r="I20" s="35" t="s">
        <v>2073</v>
      </c>
      <c r="J20" s="38" t="s">
        <v>3229</v>
      </c>
      <c r="K20" s="28" t="s">
        <v>2100</v>
      </c>
      <c r="L20" s="12" t="n">
        <v>0.1</v>
      </c>
      <c r="M20" s="6" t="s">
        <v>2101</v>
      </c>
      <c r="N20" s="6" t="s">
        <v>94</v>
      </c>
    </row>
    <row r="21" customFormat="false" ht="28.5" hidden="false" customHeight="true" outlineLevel="0" collapsed="false">
      <c r="A21" s="35" t="s">
        <v>3230</v>
      </c>
      <c r="B21" s="28" t="s">
        <v>127</v>
      </c>
      <c r="C21" s="35" t="s">
        <v>538</v>
      </c>
      <c r="D21" s="28" t="s">
        <v>217</v>
      </c>
      <c r="E21" s="28" t="s">
        <v>2067</v>
      </c>
      <c r="F21" s="36" t="n">
        <v>0.0364</v>
      </c>
      <c r="G21" s="37" t="n">
        <f aca="false">IFERROR(VLOOKUP("锂电|15-锂电企业季度净利润",指标更新台账_v3!$A$2:$I$600,9,FALSE()),0)</f>
        <v>6</v>
      </c>
      <c r="H21" s="38" t="s">
        <v>2513</v>
      </c>
      <c r="I21" s="35" t="s">
        <v>2069</v>
      </c>
      <c r="J21" s="38" t="s">
        <v>3231</v>
      </c>
      <c r="K21" s="28" t="s">
        <v>2100</v>
      </c>
      <c r="L21" s="12" t="n">
        <v>0.08</v>
      </c>
      <c r="M21" s="6" t="s">
        <v>2101</v>
      </c>
      <c r="N21" s="6" t="s">
        <v>131</v>
      </c>
    </row>
    <row r="22" customFormat="false" ht="28.5" hidden="false" customHeight="true" outlineLevel="0" collapsed="false">
      <c r="A22" s="35" t="s">
        <v>3232</v>
      </c>
      <c r="B22" s="28" t="s">
        <v>1341</v>
      </c>
      <c r="C22" s="35" t="s">
        <v>408</v>
      </c>
      <c r="D22" s="35" t="s">
        <v>129</v>
      </c>
      <c r="E22" s="28" t="s">
        <v>2062</v>
      </c>
      <c r="F22" s="36" t="n">
        <v>0.0364</v>
      </c>
      <c r="G22" s="44" t="n">
        <f aca="false">IFERROR(VLOOKUP("锂电|16-锂电行业产能利用率",指标更新台账_v3!$A$2:$I$600,9,FALSE()),0)</f>
        <v>4</v>
      </c>
      <c r="H22" s="38" t="s">
        <v>3233</v>
      </c>
      <c r="I22" s="35" t="s">
        <v>2106</v>
      </c>
      <c r="J22" s="39" t="s">
        <v>3077</v>
      </c>
      <c r="K22" s="28" t="s">
        <v>2100</v>
      </c>
      <c r="L22" s="12" t="n">
        <v>0.08</v>
      </c>
      <c r="M22" s="6" t="s">
        <v>2101</v>
      </c>
      <c r="N22" s="6" t="s">
        <v>131</v>
      </c>
    </row>
    <row r="23" customFormat="false" ht="28.5" hidden="false" customHeight="true" outlineLevel="0" collapsed="false">
      <c r="A23" s="35" t="s">
        <v>3234</v>
      </c>
      <c r="B23" s="28" t="s">
        <v>127</v>
      </c>
      <c r="C23" s="35" t="s">
        <v>185</v>
      </c>
      <c r="D23" s="28" t="s">
        <v>167</v>
      </c>
      <c r="E23" s="28" t="s">
        <v>2062</v>
      </c>
      <c r="F23" s="36" t="n">
        <v>0.0318</v>
      </c>
      <c r="G23" s="37" t="n">
        <f aca="false">IFERROR(VLOOKUP("锂电|17-锂电行业应收账款周转",指标更新台账_v3!$A$2:$I$600,9,FALSE()),0)</f>
        <v>6</v>
      </c>
      <c r="H23" s="38" t="s">
        <v>2650</v>
      </c>
      <c r="I23" s="35" t="s">
        <v>2069</v>
      </c>
      <c r="J23" s="39" t="s">
        <v>3006</v>
      </c>
      <c r="K23" s="28" t="s">
        <v>2100</v>
      </c>
      <c r="L23" s="12" t="n">
        <v>0.07</v>
      </c>
      <c r="M23" s="6" t="s">
        <v>2101</v>
      </c>
      <c r="N23" s="6" t="s">
        <v>168</v>
      </c>
    </row>
    <row r="24" customFormat="false" ht="17.25" hidden="false" customHeight="true" outlineLevel="0" collapsed="false">
      <c r="A24" s="41" t="s">
        <v>2108</v>
      </c>
      <c r="B24" s="41"/>
      <c r="C24" s="41"/>
      <c r="D24" s="41"/>
      <c r="E24" s="41"/>
      <c r="F24" s="41"/>
      <c r="G24" s="42" t="n">
        <f aca="false">ROUND(SUMPRODUCT(F5:F23,G5:G23),1)</f>
        <v>7.5</v>
      </c>
      <c r="H24" s="43" t="s">
        <v>2109</v>
      </c>
      <c r="I24" s="43"/>
      <c r="J24" s="43"/>
      <c r="K24" s="43"/>
    </row>
  </sheetData>
  <mergeCells count="7">
    <mergeCell ref="A1:K1"/>
    <mergeCell ref="A2:K2"/>
    <mergeCell ref="A4:K4"/>
    <mergeCell ref="A12:K12"/>
    <mergeCell ref="A19:K19"/>
    <mergeCell ref="A24:F24"/>
    <mergeCell ref="H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3235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3236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ROUND(SUMPRODUCT(F5:F11,G5:G11)/SUM(F5:F11),1)</f>
        <v>7.7</v>
      </c>
    </row>
    <row r="5" customFormat="false" ht="28.5" hidden="false" customHeight="true" outlineLevel="0" collapsed="false">
      <c r="A5" s="35" t="s">
        <v>3237</v>
      </c>
      <c r="B5" s="28" t="s">
        <v>729</v>
      </c>
      <c r="C5" s="35" t="s">
        <v>338</v>
      </c>
      <c r="D5" s="28" t="s">
        <v>2659</v>
      </c>
      <c r="E5" s="28" t="s">
        <v>2062</v>
      </c>
      <c r="F5" s="36" t="n">
        <v>0.1103</v>
      </c>
      <c r="G5" s="40" t="n">
        <f aca="false">IFERROR(VLOOKUP("光伏|1-多晶硅料价格",指标更新台账_v3!$A$2:$I$600,9,FALSE()),0)</f>
        <v>8</v>
      </c>
      <c r="H5" s="38" t="s">
        <v>3238</v>
      </c>
      <c r="I5" s="35" t="s">
        <v>2488</v>
      </c>
      <c r="J5" s="39" t="s">
        <v>3239</v>
      </c>
      <c r="K5" s="28" t="s">
        <v>2060</v>
      </c>
      <c r="L5" s="12" t="n">
        <v>0.15</v>
      </c>
      <c r="M5" s="6" t="s">
        <v>2053</v>
      </c>
      <c r="N5" s="6" t="s">
        <v>94</v>
      </c>
      <c r="O5" s="12" t="s">
        <v>108</v>
      </c>
      <c r="P5" s="12" t="n">
        <f aca="false">ROUND(SUMPRODUCT(F13:F18,G13:G18)/SUM(F13:F18),1)</f>
        <v>7.5</v>
      </c>
    </row>
    <row r="6" customFormat="false" ht="14.25" hidden="false" customHeight="true" outlineLevel="0" collapsed="false">
      <c r="A6" s="35" t="s">
        <v>3240</v>
      </c>
      <c r="B6" s="35" t="s">
        <v>724</v>
      </c>
      <c r="C6" s="35" t="s">
        <v>962</v>
      </c>
      <c r="D6" s="28" t="s">
        <v>3241</v>
      </c>
      <c r="E6" s="28" t="s">
        <v>2062</v>
      </c>
      <c r="F6" s="36" t="n">
        <v>0.0735</v>
      </c>
      <c r="G6" s="37" t="n">
        <f aca="false">IFERROR(VLOOKUP("光伏|2-硅片价格变化",指标更新台账_v3!$A$2:$I$600,9,FALSE()),0)</f>
        <v>6</v>
      </c>
      <c r="H6" s="38" t="s">
        <v>3242</v>
      </c>
      <c r="I6" s="35" t="s">
        <v>2275</v>
      </c>
      <c r="J6" s="39" t="s">
        <v>3243</v>
      </c>
      <c r="K6" s="28" t="s">
        <v>2060</v>
      </c>
      <c r="L6" s="12" t="n">
        <v>0.1</v>
      </c>
      <c r="M6" s="6" t="s">
        <v>2053</v>
      </c>
      <c r="N6" s="6" t="s">
        <v>94</v>
      </c>
      <c r="O6" s="12" t="s">
        <v>125</v>
      </c>
      <c r="P6" s="12" t="n">
        <f aca="false">ROUND(SUMPRODUCT(F20:F23,G20:G23)/SUM(F20:F23),1)</f>
        <v>4.4</v>
      </c>
    </row>
    <row r="7" customFormat="false" ht="28.5" hidden="false" customHeight="true" outlineLevel="0" collapsed="false">
      <c r="A7" s="35" t="s">
        <v>3244</v>
      </c>
      <c r="B7" s="35" t="s">
        <v>724</v>
      </c>
      <c r="C7" s="35" t="s">
        <v>725</v>
      </c>
      <c r="D7" s="28" t="s">
        <v>2655</v>
      </c>
      <c r="E7" s="28" t="s">
        <v>2062</v>
      </c>
      <c r="F7" s="36" t="n">
        <v>0.0882</v>
      </c>
      <c r="G7" s="40" t="n">
        <f aca="false">IFERROR(VLOOKUP("光伏|3-光伏组件价格",指标更新台账_v3!$A$2:$I$600,9,FALSE()),0)</f>
        <v>8</v>
      </c>
      <c r="H7" s="38" t="s">
        <v>3245</v>
      </c>
      <c r="I7" s="35" t="s">
        <v>2488</v>
      </c>
      <c r="J7" s="39" t="s">
        <v>3246</v>
      </c>
      <c r="K7" s="28" t="s">
        <v>2060</v>
      </c>
      <c r="L7" s="12" t="n">
        <v>0.12</v>
      </c>
      <c r="M7" s="6" t="s">
        <v>2053</v>
      </c>
      <c r="N7" s="6" t="s">
        <v>94</v>
      </c>
    </row>
    <row r="8" customFormat="false" ht="28.5" hidden="false" customHeight="true" outlineLevel="0" collapsed="false">
      <c r="A8" s="35" t="s">
        <v>3247</v>
      </c>
      <c r="B8" s="28" t="s">
        <v>729</v>
      </c>
      <c r="C8" s="35" t="s">
        <v>469</v>
      </c>
      <c r="D8" s="28" t="s">
        <v>1025</v>
      </c>
      <c r="E8" s="28" t="s">
        <v>2127</v>
      </c>
      <c r="F8" s="36" t="n">
        <v>0.0588</v>
      </c>
      <c r="G8" s="40" t="n">
        <f aca="false">IFERROR(VLOOKUP("光伏|4-多晶硅产能投放计划",指标更新台账_v3!$A$2:$I$600,9,FALSE()),0)</f>
        <v>8</v>
      </c>
      <c r="H8" s="38" t="s">
        <v>3248</v>
      </c>
      <c r="I8" s="35" t="s">
        <v>2064</v>
      </c>
      <c r="J8" s="39" t="s">
        <v>2129</v>
      </c>
      <c r="K8" s="28" t="s">
        <v>2100</v>
      </c>
      <c r="L8" s="12" t="n">
        <v>0.08</v>
      </c>
      <c r="M8" s="6" t="s">
        <v>2053</v>
      </c>
      <c r="N8" s="6" t="s">
        <v>88</v>
      </c>
    </row>
    <row r="9" customFormat="false" ht="28.5" hidden="false" customHeight="true" outlineLevel="0" collapsed="false">
      <c r="A9" s="35" t="s">
        <v>3249</v>
      </c>
      <c r="B9" s="28" t="s">
        <v>150</v>
      </c>
      <c r="C9" s="35" t="s">
        <v>1384</v>
      </c>
      <c r="D9" s="28" t="s">
        <v>3250</v>
      </c>
      <c r="E9" s="28" t="s">
        <v>2062</v>
      </c>
      <c r="F9" s="36" t="n">
        <v>0.0588</v>
      </c>
      <c r="G9" s="40" t="n">
        <f aca="false">IFERROR(VLOOKUP("光伏|5-光伏玻璃价格",指标更新台账_v3!$A$2:$I$600,9,FALSE()),0)</f>
        <v>8</v>
      </c>
      <c r="H9" s="38" t="s">
        <v>3251</v>
      </c>
      <c r="I9" s="35" t="s">
        <v>2424</v>
      </c>
      <c r="J9" s="39" t="s">
        <v>3252</v>
      </c>
      <c r="K9" s="28" t="s">
        <v>2060</v>
      </c>
      <c r="L9" s="12" t="n">
        <v>0.08</v>
      </c>
      <c r="M9" s="6" t="s">
        <v>2053</v>
      </c>
      <c r="N9" s="6" t="s">
        <v>94</v>
      </c>
    </row>
    <row r="10" customFormat="false" ht="28.5" hidden="false" customHeight="true" outlineLevel="0" collapsed="false">
      <c r="A10" s="35" t="s">
        <v>3253</v>
      </c>
      <c r="B10" s="28" t="s">
        <v>150</v>
      </c>
      <c r="C10" s="35" t="s">
        <v>1388</v>
      </c>
      <c r="D10" s="28" t="s">
        <v>3250</v>
      </c>
      <c r="E10" s="28" t="s">
        <v>2062</v>
      </c>
      <c r="F10" s="36" t="n">
        <v>0.0515</v>
      </c>
      <c r="G10" s="40" t="n">
        <f aca="false">IFERROR(VLOOKUP("光伏|6-EVA胶膜价格",指标更新台账_v3!$A$2:$I$600,9,FALSE()),0)</f>
        <v>8</v>
      </c>
      <c r="H10" s="38" t="s">
        <v>3254</v>
      </c>
      <c r="I10" s="35" t="s">
        <v>2120</v>
      </c>
      <c r="J10" s="39" t="s">
        <v>3255</v>
      </c>
      <c r="K10" s="28" t="s">
        <v>2060</v>
      </c>
      <c r="L10" s="12" t="n">
        <v>0.07</v>
      </c>
      <c r="M10" s="6" t="s">
        <v>2053</v>
      </c>
      <c r="N10" s="6" t="s">
        <v>94</v>
      </c>
    </row>
    <row r="11" customFormat="false" ht="28.5" hidden="false" customHeight="true" outlineLevel="0" collapsed="false">
      <c r="A11" s="35" t="s">
        <v>3256</v>
      </c>
      <c r="B11" s="35" t="s">
        <v>724</v>
      </c>
      <c r="C11" s="35" t="s">
        <v>305</v>
      </c>
      <c r="D11" s="35" t="s">
        <v>198</v>
      </c>
      <c r="E11" s="28" t="s">
        <v>2067</v>
      </c>
      <c r="F11" s="36" t="n">
        <v>0.0588</v>
      </c>
      <c r="G11" s="40" t="n">
        <f aca="false">IFERROR(VLOOKUP("光伏|7-光伏企业排产计划",指标更新台账_v3!$A$2:$I$600,9,FALSE()),0)</f>
        <v>8</v>
      </c>
      <c r="H11" s="38" t="s">
        <v>2852</v>
      </c>
      <c r="I11" s="35" t="s">
        <v>2085</v>
      </c>
      <c r="J11" s="39" t="s">
        <v>3257</v>
      </c>
      <c r="K11" s="28" t="s">
        <v>2052</v>
      </c>
      <c r="L11" s="12" t="n">
        <v>0.08</v>
      </c>
      <c r="M11" s="6" t="s">
        <v>2053</v>
      </c>
      <c r="N11" s="6" t="s">
        <v>88</v>
      </c>
    </row>
    <row r="12" customFormat="false" ht="13.5" hidden="false" customHeight="true" outlineLevel="0" collapsed="false">
      <c r="A12" s="34" t="s">
        <v>2076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customFormat="false" ht="28.5" hidden="false" customHeight="true" outlineLevel="0" collapsed="false">
      <c r="A13" s="35" t="s">
        <v>3258</v>
      </c>
      <c r="B13" s="28" t="s">
        <v>485</v>
      </c>
      <c r="C13" s="35" t="s">
        <v>744</v>
      </c>
      <c r="D13" s="35" t="s">
        <v>2674</v>
      </c>
      <c r="E13" s="28" t="s">
        <v>2067</v>
      </c>
      <c r="F13" s="36" t="n">
        <v>0.0905</v>
      </c>
      <c r="G13" s="37" t="n">
        <f aca="false">IFERROR(VLOOKUP("光伏|8-光伏新增装机量",指标更新台账_v3!$A$2:$I$600,9,FALSE()),0)</f>
        <v>6</v>
      </c>
      <c r="H13" s="38" t="s">
        <v>2675</v>
      </c>
      <c r="I13" s="35" t="s">
        <v>2080</v>
      </c>
      <c r="J13" s="39" t="s">
        <v>3259</v>
      </c>
      <c r="K13" s="28" t="s">
        <v>2052</v>
      </c>
      <c r="L13" s="12" t="n">
        <v>0.15</v>
      </c>
      <c r="M13" s="6" t="s">
        <v>2082</v>
      </c>
      <c r="N13" s="6" t="s">
        <v>213</v>
      </c>
    </row>
    <row r="14" customFormat="false" ht="28.5" hidden="false" customHeight="true" outlineLevel="0" collapsed="false">
      <c r="A14" s="35" t="s">
        <v>3260</v>
      </c>
      <c r="B14" s="35" t="s">
        <v>724</v>
      </c>
      <c r="C14" s="35" t="s">
        <v>278</v>
      </c>
      <c r="D14" s="35" t="s">
        <v>85</v>
      </c>
      <c r="E14" s="28" t="s">
        <v>2067</v>
      </c>
      <c r="F14" s="36" t="n">
        <v>0.0603</v>
      </c>
      <c r="G14" s="40" t="n">
        <f aca="false">IFERROR(VLOOKUP("光伏|9-组件出货量增速",指标更新台账_v3!$A$2:$I$600,9,FALSE()),0)</f>
        <v>8</v>
      </c>
      <c r="H14" s="38" t="s">
        <v>2241</v>
      </c>
      <c r="I14" s="35" t="s">
        <v>2242</v>
      </c>
      <c r="J14" s="39" t="s">
        <v>3261</v>
      </c>
      <c r="K14" s="28" t="s">
        <v>2052</v>
      </c>
      <c r="L14" s="12" t="n">
        <v>0.1</v>
      </c>
      <c r="M14" s="6" t="s">
        <v>2082</v>
      </c>
      <c r="N14" s="6" t="s">
        <v>213</v>
      </c>
    </row>
    <row r="15" customFormat="false" ht="28.5" hidden="false" customHeight="true" outlineLevel="0" collapsed="false">
      <c r="A15" s="35" t="s">
        <v>3262</v>
      </c>
      <c r="B15" s="35" t="s">
        <v>724</v>
      </c>
      <c r="C15" s="35" t="s">
        <v>270</v>
      </c>
      <c r="D15" s="35" t="s">
        <v>85</v>
      </c>
      <c r="E15" s="28" t="s">
        <v>2067</v>
      </c>
      <c r="F15" s="36" t="n">
        <v>0.0483</v>
      </c>
      <c r="G15" s="40" t="n">
        <f aca="false">IFERROR(VLOOKUP("光伏|10-电池片产量增速",指标更新台账_v3!$A$2:$I$600,9,FALSE()),0)</f>
        <v>8</v>
      </c>
      <c r="H15" s="38" t="s">
        <v>3222</v>
      </c>
      <c r="I15" s="35" t="s">
        <v>2142</v>
      </c>
      <c r="J15" s="39" t="s">
        <v>3263</v>
      </c>
      <c r="K15" s="28" t="s">
        <v>2052</v>
      </c>
      <c r="L15" s="12" t="n">
        <v>0.08</v>
      </c>
      <c r="M15" s="6" t="s">
        <v>2082</v>
      </c>
      <c r="N15" s="6" t="s">
        <v>213</v>
      </c>
    </row>
    <row r="16" customFormat="false" ht="28.5" hidden="false" customHeight="true" outlineLevel="0" collapsed="false">
      <c r="A16" s="35" t="s">
        <v>3264</v>
      </c>
      <c r="B16" s="28" t="s">
        <v>101</v>
      </c>
      <c r="C16" s="35" t="s">
        <v>240</v>
      </c>
      <c r="D16" s="35" t="s">
        <v>85</v>
      </c>
      <c r="E16" s="28" t="s">
        <v>2067</v>
      </c>
      <c r="F16" s="36" t="n">
        <v>0.0603</v>
      </c>
      <c r="G16" s="40" t="n">
        <f aca="false">IFERROR(VLOOKUP("光伏|11-光伏出口金额增速",指标更新台账_v3!$A$2:$I$600,9,FALSE()),0)</f>
        <v>8</v>
      </c>
      <c r="H16" s="38" t="s">
        <v>2403</v>
      </c>
      <c r="I16" s="35" t="s">
        <v>2142</v>
      </c>
      <c r="J16" s="39" t="s">
        <v>3265</v>
      </c>
      <c r="K16" s="28" t="s">
        <v>2052</v>
      </c>
      <c r="L16" s="12" t="n">
        <v>0.1</v>
      </c>
      <c r="M16" s="6" t="s">
        <v>2082</v>
      </c>
      <c r="N16" s="6" t="s">
        <v>88</v>
      </c>
    </row>
    <row r="17" customFormat="false" ht="28.5" hidden="false" customHeight="true" outlineLevel="0" collapsed="false">
      <c r="A17" s="35" t="s">
        <v>3266</v>
      </c>
      <c r="B17" s="28" t="s">
        <v>485</v>
      </c>
      <c r="C17" s="35" t="s">
        <v>503</v>
      </c>
      <c r="D17" s="35" t="s">
        <v>129</v>
      </c>
      <c r="E17" s="28" t="s">
        <v>2067</v>
      </c>
      <c r="F17" s="36" t="n">
        <v>0.0422</v>
      </c>
      <c r="G17" s="40" t="n">
        <f aca="false">IFERROR(VLOOKUP("光伏|12-分布式光伏装机占比",指标更新台账_v3!$A$2:$I$600,9,FALSE()),0)</f>
        <v>8</v>
      </c>
      <c r="H17" s="38" t="s">
        <v>2414</v>
      </c>
      <c r="I17" s="35" t="s">
        <v>2223</v>
      </c>
      <c r="J17" s="39" t="s">
        <v>3267</v>
      </c>
      <c r="K17" s="28" t="s">
        <v>2052</v>
      </c>
      <c r="L17" s="12" t="n">
        <v>0.07</v>
      </c>
      <c r="M17" s="6" t="s">
        <v>2082</v>
      </c>
      <c r="N17" s="6" t="s">
        <v>213</v>
      </c>
    </row>
    <row r="18" customFormat="false" ht="28.5" hidden="false" customHeight="true" outlineLevel="0" collapsed="false">
      <c r="A18" s="35" t="s">
        <v>3268</v>
      </c>
      <c r="B18" s="35" t="s">
        <v>239</v>
      </c>
      <c r="C18" s="35" t="s">
        <v>1356</v>
      </c>
      <c r="D18" s="35" t="s">
        <v>85</v>
      </c>
      <c r="E18" s="28" t="s">
        <v>2067</v>
      </c>
      <c r="F18" s="36" t="n">
        <v>0.0483</v>
      </c>
      <c r="G18" s="40" t="n">
        <f aca="false">IFERROR(VLOOKUP("光伏|13-光伏逆变器出货量",指标更新台账_v3!$A$2:$I$600,9,FALSE()),0)</f>
        <v>8</v>
      </c>
      <c r="H18" s="38" t="s">
        <v>2241</v>
      </c>
      <c r="I18" s="35" t="s">
        <v>2291</v>
      </c>
      <c r="J18" s="39" t="s">
        <v>3269</v>
      </c>
      <c r="K18" s="28" t="s">
        <v>2100</v>
      </c>
      <c r="L18" s="12" t="n">
        <v>0.08</v>
      </c>
      <c r="M18" s="6" t="s">
        <v>2082</v>
      </c>
      <c r="N18" s="6" t="s">
        <v>213</v>
      </c>
    </row>
    <row r="19" customFormat="false" ht="13.5" hidden="false" customHeight="true" outlineLevel="0" collapsed="false">
      <c r="A19" s="34" t="s">
        <v>2096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28.5" hidden="false" customHeight="true" outlineLevel="0" collapsed="false">
      <c r="A20" s="35" t="s">
        <v>3270</v>
      </c>
      <c r="B20" s="28" t="s">
        <v>127</v>
      </c>
      <c r="C20" s="35" t="s">
        <v>1405</v>
      </c>
      <c r="D20" s="35" t="s">
        <v>129</v>
      </c>
      <c r="E20" s="28" t="s">
        <v>2062</v>
      </c>
      <c r="F20" s="36" t="n">
        <v>0.0455</v>
      </c>
      <c r="G20" s="44" t="n">
        <f aca="false">IFERROR(VLOOKUP("光伏|14-光伏企业季度毛利率",指标更新台账_v3!$A$2:$I$600,9,FALSE()),0)</f>
        <v>4</v>
      </c>
      <c r="H20" s="38" t="s">
        <v>2326</v>
      </c>
      <c r="I20" s="35" t="s">
        <v>2375</v>
      </c>
      <c r="J20" s="38" t="s">
        <v>3271</v>
      </c>
      <c r="K20" s="28" t="s">
        <v>2100</v>
      </c>
      <c r="L20" s="12" t="n">
        <v>0.1</v>
      </c>
      <c r="M20" s="6" t="s">
        <v>2101</v>
      </c>
      <c r="N20" s="6" t="s">
        <v>94</v>
      </c>
    </row>
    <row r="21" customFormat="false" ht="28.5" hidden="false" customHeight="true" outlineLevel="0" collapsed="false">
      <c r="A21" s="35" t="s">
        <v>3272</v>
      </c>
      <c r="B21" s="28" t="s">
        <v>127</v>
      </c>
      <c r="C21" s="35" t="s">
        <v>232</v>
      </c>
      <c r="D21" s="28" t="s">
        <v>217</v>
      </c>
      <c r="E21" s="28" t="s">
        <v>2062</v>
      </c>
      <c r="F21" s="36" t="n">
        <v>0.0364</v>
      </c>
      <c r="G21" s="44" t="n">
        <f aca="false">IFERROR(VLOOKUP("光伏|15-光伏企业季度净利润",指标更新台账_v3!$A$2:$I$600,9,FALSE()),0)</f>
        <v>4</v>
      </c>
      <c r="H21" s="38" t="s">
        <v>2687</v>
      </c>
      <c r="I21" s="35" t="s">
        <v>2424</v>
      </c>
      <c r="J21" s="38" t="s">
        <v>2618</v>
      </c>
      <c r="K21" s="28" t="s">
        <v>2100</v>
      </c>
      <c r="L21" s="12" t="n">
        <v>0.08</v>
      </c>
      <c r="M21" s="6" t="s">
        <v>2101</v>
      </c>
      <c r="N21" s="6" t="s">
        <v>131</v>
      </c>
    </row>
    <row r="22" customFormat="false" ht="28.5" hidden="false" customHeight="true" outlineLevel="0" collapsed="false">
      <c r="A22" s="35" t="s">
        <v>3273</v>
      </c>
      <c r="B22" s="35" t="s">
        <v>724</v>
      </c>
      <c r="C22" s="35" t="s">
        <v>408</v>
      </c>
      <c r="D22" s="35" t="s">
        <v>129</v>
      </c>
      <c r="E22" s="28" t="s">
        <v>2062</v>
      </c>
      <c r="F22" s="36" t="n">
        <v>0.0364</v>
      </c>
      <c r="G22" s="44" t="n">
        <f aca="false">IFERROR(VLOOKUP("光伏|16-光伏行业产能利用率",指标更新台账_v3!$A$2:$I$600,9,FALSE()),0)</f>
        <v>4</v>
      </c>
      <c r="H22" s="38" t="s">
        <v>3233</v>
      </c>
      <c r="I22" s="35" t="s">
        <v>2106</v>
      </c>
      <c r="J22" s="39" t="s">
        <v>3274</v>
      </c>
      <c r="K22" s="28" t="s">
        <v>2100</v>
      </c>
      <c r="L22" s="12" t="n">
        <v>0.08</v>
      </c>
      <c r="M22" s="6" t="s">
        <v>2101</v>
      </c>
      <c r="N22" s="6" t="s">
        <v>131</v>
      </c>
    </row>
    <row r="23" customFormat="false" ht="28.5" hidden="false" customHeight="true" outlineLevel="0" collapsed="false">
      <c r="A23" s="35" t="s">
        <v>3275</v>
      </c>
      <c r="B23" s="28" t="s">
        <v>127</v>
      </c>
      <c r="C23" s="35" t="s">
        <v>503</v>
      </c>
      <c r="D23" s="35" t="s">
        <v>129</v>
      </c>
      <c r="E23" s="28" t="s">
        <v>2067</v>
      </c>
      <c r="F23" s="36" t="n">
        <v>0.0318</v>
      </c>
      <c r="G23" s="37" t="n">
        <f aca="false">IFERROR(VLOOKUP("光伏|17-光伏行业资产负债率",指标更新台账_v3!$A$2:$I$600,9,FALSE()),0)</f>
        <v>6</v>
      </c>
      <c r="H23" s="38" t="s">
        <v>2481</v>
      </c>
      <c r="I23" s="35" t="s">
        <v>2089</v>
      </c>
      <c r="J23" s="39" t="s">
        <v>3276</v>
      </c>
      <c r="K23" s="28" t="s">
        <v>2100</v>
      </c>
      <c r="L23" s="12" t="n">
        <v>0.07</v>
      </c>
      <c r="M23" s="6" t="s">
        <v>2101</v>
      </c>
      <c r="N23" s="6" t="s">
        <v>168</v>
      </c>
    </row>
    <row r="24" customFormat="false" ht="17.25" hidden="false" customHeight="true" outlineLevel="0" collapsed="false">
      <c r="A24" s="41" t="s">
        <v>2108</v>
      </c>
      <c r="B24" s="41"/>
      <c r="C24" s="41"/>
      <c r="D24" s="41"/>
      <c r="E24" s="41"/>
      <c r="F24" s="41"/>
      <c r="G24" s="42" t="n">
        <f aca="false">ROUND(SUMPRODUCT(F5:F23,G5:G23),1)</f>
        <v>7.1</v>
      </c>
      <c r="H24" s="43" t="s">
        <v>2109</v>
      </c>
      <c r="I24" s="43"/>
      <c r="J24" s="43"/>
      <c r="K24" s="43"/>
    </row>
  </sheetData>
  <mergeCells count="7">
    <mergeCell ref="A1:K1"/>
    <mergeCell ref="A2:K2"/>
    <mergeCell ref="A4:K4"/>
    <mergeCell ref="A12:K12"/>
    <mergeCell ref="A19:K19"/>
    <mergeCell ref="A24:F24"/>
    <mergeCell ref="H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3277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3278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ROUND(SUMPRODUCT(F5:F11,G5:G11)/SUM(F5:F11),1)</f>
        <v>9.1</v>
      </c>
    </row>
    <row r="5" customFormat="false" ht="28.5" hidden="false" customHeight="true" outlineLevel="0" collapsed="false">
      <c r="A5" s="35" t="s">
        <v>3279</v>
      </c>
      <c r="B5" s="28" t="s">
        <v>2667</v>
      </c>
      <c r="C5" s="35" t="s">
        <v>538</v>
      </c>
      <c r="D5" s="35" t="s">
        <v>487</v>
      </c>
      <c r="E5" s="28" t="s">
        <v>2433</v>
      </c>
      <c r="F5" s="36" t="n">
        <v>0.0964</v>
      </c>
      <c r="G5" s="40" t="n">
        <f aca="false">IFERROR(VLOOKUP("风电|1-风电招标量",指标更新台账_v3!$A$2:$I$600,9,FALSE()),0)</f>
        <v>10</v>
      </c>
      <c r="H5" s="38" t="s">
        <v>2199</v>
      </c>
      <c r="I5" s="35" t="s">
        <v>2238</v>
      </c>
      <c r="J5" s="39" t="s">
        <v>2668</v>
      </c>
      <c r="K5" s="28" t="s">
        <v>2100</v>
      </c>
      <c r="L5" s="12" t="n">
        <v>0.15</v>
      </c>
      <c r="M5" s="6" t="s">
        <v>2197</v>
      </c>
      <c r="N5" s="6" t="s">
        <v>279</v>
      </c>
      <c r="O5" s="12" t="s">
        <v>108</v>
      </c>
      <c r="P5" s="12" t="n">
        <f aca="false">ROUND(SUMPRODUCT(F13:F18,G13:G18)/SUM(F13:F18),1)</f>
        <v>7.2</v>
      </c>
    </row>
    <row r="6" customFormat="false" ht="28.5" hidden="false" customHeight="true" outlineLevel="0" collapsed="false">
      <c r="A6" s="35" t="s">
        <v>3280</v>
      </c>
      <c r="B6" s="28" t="s">
        <v>1417</v>
      </c>
      <c r="C6" s="35" t="s">
        <v>1418</v>
      </c>
      <c r="D6" s="28" t="s">
        <v>3281</v>
      </c>
      <c r="E6" s="28" t="s">
        <v>2062</v>
      </c>
      <c r="F6" s="36" t="n">
        <v>0.0771</v>
      </c>
      <c r="G6" s="40" t="n">
        <f aca="false">IFERROR(VLOOKUP("风电|2-风机中标均价",指标更新台账_v3!$A$2:$I$600,9,FALSE()),0)</f>
        <v>10</v>
      </c>
      <c r="H6" s="38" t="s">
        <v>3282</v>
      </c>
      <c r="I6" s="35" t="s">
        <v>2375</v>
      </c>
      <c r="J6" s="39" t="s">
        <v>3283</v>
      </c>
      <c r="K6" s="28" t="s">
        <v>2052</v>
      </c>
      <c r="L6" s="12" t="n">
        <v>0.12</v>
      </c>
      <c r="M6" s="6" t="s">
        <v>2197</v>
      </c>
      <c r="N6" s="6" t="s">
        <v>94</v>
      </c>
      <c r="O6" s="12" t="s">
        <v>125</v>
      </c>
      <c r="P6" s="12" t="n">
        <f aca="false">ROUND(SUMPRODUCT(F20:F23,G20:G23)/SUM(F20:F23),1)</f>
        <v>6.6</v>
      </c>
    </row>
    <row r="7" customFormat="false" ht="28.5" hidden="false" customHeight="true" outlineLevel="0" collapsed="false">
      <c r="A7" s="35" t="s">
        <v>3284</v>
      </c>
      <c r="B7" s="28" t="s">
        <v>201</v>
      </c>
      <c r="C7" s="35" t="s">
        <v>312</v>
      </c>
      <c r="D7" s="35" t="s">
        <v>85</v>
      </c>
      <c r="E7" s="28" t="s">
        <v>2062</v>
      </c>
      <c r="F7" s="36" t="n">
        <v>0.0643</v>
      </c>
      <c r="G7" s="40" t="n">
        <f aca="false">IFERROR(VLOOKUP("风电|3-中厚板/钢铁价格",指标更新台账_v3!$A$2:$I$600,9,FALSE()),0)</f>
        <v>8</v>
      </c>
      <c r="H7" s="38" t="s">
        <v>2063</v>
      </c>
      <c r="I7" s="35" t="s">
        <v>2170</v>
      </c>
      <c r="J7" s="39" t="s">
        <v>3285</v>
      </c>
      <c r="K7" s="28" t="s">
        <v>2060</v>
      </c>
      <c r="L7" s="12" t="n">
        <v>0.1</v>
      </c>
      <c r="M7" s="6" t="s">
        <v>2197</v>
      </c>
      <c r="N7" s="6" t="s">
        <v>94</v>
      </c>
    </row>
    <row r="8" customFormat="false" ht="28.5" hidden="false" customHeight="true" outlineLevel="0" collapsed="false">
      <c r="A8" s="35" t="s">
        <v>3286</v>
      </c>
      <c r="B8" s="28" t="s">
        <v>3287</v>
      </c>
      <c r="C8" s="35" t="s">
        <v>208</v>
      </c>
      <c r="D8" s="35" t="s">
        <v>487</v>
      </c>
      <c r="E8" s="28" t="s">
        <v>2433</v>
      </c>
      <c r="F8" s="36" t="n">
        <v>0.0643</v>
      </c>
      <c r="G8" s="40" t="n">
        <f aca="false">IFERROR(VLOOKUP("风电|4-海上风电规划容量",指标更新台账_v3!$A$2:$I$600,9,FALSE()),0)</f>
        <v>10</v>
      </c>
      <c r="H8" s="38" t="s">
        <v>2562</v>
      </c>
      <c r="I8" s="35" t="s">
        <v>2209</v>
      </c>
      <c r="J8" s="39" t="s">
        <v>3288</v>
      </c>
      <c r="K8" s="28" t="s">
        <v>2075</v>
      </c>
      <c r="L8" s="12" t="n">
        <v>0.1</v>
      </c>
      <c r="M8" s="6" t="s">
        <v>2197</v>
      </c>
      <c r="N8" s="6" t="s">
        <v>279</v>
      </c>
    </row>
    <row r="9" customFormat="false" ht="14.25" hidden="false" customHeight="true" outlineLevel="0" collapsed="false">
      <c r="A9" s="35" t="s">
        <v>3289</v>
      </c>
      <c r="B9" s="28" t="s">
        <v>485</v>
      </c>
      <c r="C9" s="35" t="s">
        <v>449</v>
      </c>
      <c r="D9" s="35" t="s">
        <v>487</v>
      </c>
      <c r="E9" s="28" t="s">
        <v>2433</v>
      </c>
      <c r="F9" s="36" t="n">
        <v>0.0514</v>
      </c>
      <c r="G9" s="40" t="n">
        <f aca="false">IFERROR(VLOOKUP("风电|5-风电项目核准量",指标更新台账_v3!$A$2:$I$600,9,FALSE()),0)</f>
        <v>8</v>
      </c>
      <c r="H9" s="38" t="s">
        <v>3290</v>
      </c>
      <c r="I9" s="35" t="s">
        <v>2229</v>
      </c>
      <c r="J9" s="39" t="s">
        <v>3291</v>
      </c>
      <c r="K9" s="28" t="s">
        <v>2100</v>
      </c>
      <c r="L9" s="12" t="n">
        <v>0.08</v>
      </c>
      <c r="M9" s="6" t="s">
        <v>2197</v>
      </c>
      <c r="N9" s="6" t="s">
        <v>279</v>
      </c>
    </row>
    <row r="10" customFormat="false" ht="28.5" hidden="false" customHeight="true" outlineLevel="0" collapsed="false">
      <c r="A10" s="35" t="s">
        <v>3292</v>
      </c>
      <c r="B10" s="28" t="s">
        <v>768</v>
      </c>
      <c r="C10" s="35" t="s">
        <v>93</v>
      </c>
      <c r="D10" s="35" t="s">
        <v>85</v>
      </c>
      <c r="E10" s="28" t="s">
        <v>2067</v>
      </c>
      <c r="F10" s="36" t="n">
        <v>0.0514</v>
      </c>
      <c r="G10" s="40" t="n">
        <f aca="false">IFERROR(VLOOKUP("风电|6-叶片/塔筒订单增速",指标更新台账_v3!$A$2:$I$600,9,FALSE()),0)</f>
        <v>8</v>
      </c>
      <c r="H10" s="38" t="s">
        <v>2712</v>
      </c>
      <c r="I10" s="35" t="s">
        <v>2223</v>
      </c>
      <c r="J10" s="39" t="s">
        <v>3293</v>
      </c>
      <c r="K10" s="28" t="s">
        <v>2100</v>
      </c>
      <c r="L10" s="12" t="n">
        <v>0.08</v>
      </c>
      <c r="M10" s="6" t="s">
        <v>2197</v>
      </c>
      <c r="N10" s="6" t="s">
        <v>279</v>
      </c>
    </row>
    <row r="11" customFormat="false" ht="28.5" hidden="false" customHeight="true" outlineLevel="0" collapsed="false">
      <c r="A11" s="35" t="s">
        <v>3294</v>
      </c>
      <c r="B11" s="28" t="s">
        <v>1159</v>
      </c>
      <c r="C11" s="35" t="s">
        <v>308</v>
      </c>
      <c r="D11" s="35" t="s">
        <v>198</v>
      </c>
      <c r="E11" s="28" t="s">
        <v>2067</v>
      </c>
      <c r="F11" s="36" t="n">
        <v>0.045</v>
      </c>
      <c r="G11" s="40" t="n">
        <f aca="false">IFERROR(VLOOKUP("风电|7-风电整机企业排产计划",指标更新台账_v3!$A$2:$I$600,9,FALSE()),0)</f>
        <v>8</v>
      </c>
      <c r="H11" s="38" t="s">
        <v>2852</v>
      </c>
      <c r="I11" s="35" t="s">
        <v>2242</v>
      </c>
      <c r="J11" s="39" t="s">
        <v>3295</v>
      </c>
      <c r="K11" s="28" t="s">
        <v>2052</v>
      </c>
      <c r="L11" s="12" t="n">
        <v>0.07</v>
      </c>
      <c r="M11" s="6" t="s">
        <v>2197</v>
      </c>
      <c r="N11" s="6" t="s">
        <v>88</v>
      </c>
    </row>
    <row r="12" customFormat="false" ht="13.5" hidden="false" customHeight="true" outlineLevel="0" collapsed="false">
      <c r="A12" s="34" t="s">
        <v>2076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customFormat="false" ht="28.5" hidden="false" customHeight="true" outlineLevel="0" collapsed="false">
      <c r="A13" s="35" t="s">
        <v>3296</v>
      </c>
      <c r="B13" s="28" t="s">
        <v>485</v>
      </c>
      <c r="C13" s="35" t="s">
        <v>302</v>
      </c>
      <c r="D13" s="35" t="s">
        <v>2674</v>
      </c>
      <c r="E13" s="28" t="s">
        <v>2067</v>
      </c>
      <c r="F13" s="36" t="n">
        <v>0.0905</v>
      </c>
      <c r="G13" s="37" t="n">
        <f aca="false">IFERROR(VLOOKUP("风电|8-风电新增装机量",指标更新台账_v3!$A$2:$I$600,9,FALSE()),0)</f>
        <v>6</v>
      </c>
      <c r="H13" s="38" t="s">
        <v>2678</v>
      </c>
      <c r="I13" s="35" t="s">
        <v>2069</v>
      </c>
      <c r="J13" s="39" t="s">
        <v>3297</v>
      </c>
      <c r="K13" s="28" t="s">
        <v>2052</v>
      </c>
      <c r="L13" s="12" t="n">
        <v>0.15</v>
      </c>
      <c r="M13" s="6" t="s">
        <v>2082</v>
      </c>
      <c r="N13" s="6" t="s">
        <v>213</v>
      </c>
    </row>
    <row r="14" customFormat="false" ht="28.5" hidden="false" customHeight="true" outlineLevel="0" collapsed="false">
      <c r="A14" s="35" t="s">
        <v>3298</v>
      </c>
      <c r="B14" s="28" t="s">
        <v>1435</v>
      </c>
      <c r="C14" s="35" t="s">
        <v>270</v>
      </c>
      <c r="D14" s="35" t="s">
        <v>85</v>
      </c>
      <c r="E14" s="28" t="s">
        <v>2067</v>
      </c>
      <c r="F14" s="36" t="n">
        <v>0.0603</v>
      </c>
      <c r="G14" s="40" t="n">
        <f aca="false">IFERROR(VLOOKUP("风电|9-风机产量增速",指标更新台账_v3!$A$2:$I$600,9,FALSE()),0)</f>
        <v>8</v>
      </c>
      <c r="H14" s="38" t="s">
        <v>3222</v>
      </c>
      <c r="I14" s="35" t="s">
        <v>2142</v>
      </c>
      <c r="J14" s="39" t="s">
        <v>3299</v>
      </c>
      <c r="K14" s="28" t="s">
        <v>2100</v>
      </c>
      <c r="L14" s="12" t="n">
        <v>0.1</v>
      </c>
      <c r="M14" s="6" t="s">
        <v>2082</v>
      </c>
      <c r="N14" s="6" t="s">
        <v>213</v>
      </c>
    </row>
    <row r="15" customFormat="false" ht="28.5" hidden="false" customHeight="true" outlineLevel="0" collapsed="false">
      <c r="A15" s="35" t="s">
        <v>3300</v>
      </c>
      <c r="B15" s="28" t="s">
        <v>485</v>
      </c>
      <c r="C15" s="35" t="s">
        <v>240</v>
      </c>
      <c r="D15" s="35" t="s">
        <v>85</v>
      </c>
      <c r="E15" s="28" t="s">
        <v>2067</v>
      </c>
      <c r="F15" s="36" t="n">
        <v>0.0603</v>
      </c>
      <c r="G15" s="40" t="n">
        <f aca="false">IFERROR(VLOOKUP("风电|10-风电发电量增速",指标更新台账_v3!$A$2:$I$600,9,FALSE()),0)</f>
        <v>8</v>
      </c>
      <c r="H15" s="38" t="s">
        <v>2326</v>
      </c>
      <c r="I15" s="35" t="s">
        <v>2242</v>
      </c>
      <c r="J15" s="39" t="s">
        <v>3301</v>
      </c>
      <c r="K15" s="28" t="s">
        <v>2052</v>
      </c>
      <c r="L15" s="12" t="n">
        <v>0.1</v>
      </c>
      <c r="M15" s="6" t="s">
        <v>2082</v>
      </c>
      <c r="N15" s="6" t="s">
        <v>88</v>
      </c>
    </row>
    <row r="16" customFormat="false" ht="28.5" hidden="false" customHeight="true" outlineLevel="0" collapsed="false">
      <c r="A16" s="35" t="s">
        <v>3302</v>
      </c>
      <c r="B16" s="28" t="s">
        <v>485</v>
      </c>
      <c r="C16" s="35" t="s">
        <v>1440</v>
      </c>
      <c r="D16" s="35" t="s">
        <v>129</v>
      </c>
      <c r="E16" s="28" t="s">
        <v>2067</v>
      </c>
      <c r="F16" s="36" t="n">
        <v>0.0483</v>
      </c>
      <c r="G16" s="40" t="n">
        <f aca="false">IFERROR(VLOOKUP("风电|11-风电利用率",指标更新台账_v3!$A$2:$I$600,9,FALSE()),0)</f>
        <v>8</v>
      </c>
      <c r="H16" s="38" t="s">
        <v>3303</v>
      </c>
      <c r="I16" s="35" t="s">
        <v>2142</v>
      </c>
      <c r="J16" s="39" t="s">
        <v>3304</v>
      </c>
      <c r="K16" s="28" t="s">
        <v>2052</v>
      </c>
      <c r="L16" s="12" t="n">
        <v>0.08</v>
      </c>
      <c r="M16" s="6" t="s">
        <v>2082</v>
      </c>
      <c r="N16" s="6" t="s">
        <v>131</v>
      </c>
    </row>
    <row r="17" customFormat="false" ht="14.25" hidden="false" customHeight="true" outlineLevel="0" collapsed="false">
      <c r="A17" s="35" t="s">
        <v>3305</v>
      </c>
      <c r="B17" s="28" t="s">
        <v>485</v>
      </c>
      <c r="C17" s="35" t="s">
        <v>335</v>
      </c>
      <c r="D17" s="35" t="s">
        <v>2674</v>
      </c>
      <c r="E17" s="28" t="s">
        <v>2067</v>
      </c>
      <c r="F17" s="36" t="n">
        <v>0.0483</v>
      </c>
      <c r="G17" s="37" t="n">
        <f aca="false">IFERROR(VLOOKUP("风电|12-海上风电装机量",指标更新台账_v3!$A$2:$I$600,9,FALSE()),0)</f>
        <v>6</v>
      </c>
      <c r="H17" s="38" t="s">
        <v>3306</v>
      </c>
      <c r="I17" s="35" t="s">
        <v>2080</v>
      </c>
      <c r="J17" s="39" t="s">
        <v>3307</v>
      </c>
      <c r="K17" s="28" t="s">
        <v>2052</v>
      </c>
      <c r="L17" s="12" t="n">
        <v>0.08</v>
      </c>
      <c r="M17" s="6" t="s">
        <v>2082</v>
      </c>
      <c r="N17" s="6" t="s">
        <v>213</v>
      </c>
    </row>
    <row r="18" customFormat="false" ht="28.5" hidden="false" customHeight="true" outlineLevel="0" collapsed="false">
      <c r="A18" s="35" t="s">
        <v>3308</v>
      </c>
      <c r="B18" s="28" t="s">
        <v>101</v>
      </c>
      <c r="C18" s="35" t="s">
        <v>624</v>
      </c>
      <c r="D18" s="35" t="s">
        <v>85</v>
      </c>
      <c r="E18" s="28" t="s">
        <v>2067</v>
      </c>
      <c r="F18" s="36" t="n">
        <v>0.0422</v>
      </c>
      <c r="G18" s="40" t="n">
        <f aca="false">IFERROR(VLOOKUP("风电|13-风电出口金额增速",指标更新台账_v3!$A$2:$I$600,9,FALSE()),0)</f>
        <v>8</v>
      </c>
      <c r="H18" s="38" t="s">
        <v>2241</v>
      </c>
      <c r="I18" s="35" t="s">
        <v>2242</v>
      </c>
      <c r="J18" s="39" t="s">
        <v>3309</v>
      </c>
      <c r="K18" s="28" t="s">
        <v>2052</v>
      </c>
      <c r="L18" s="12" t="n">
        <v>0.07</v>
      </c>
      <c r="M18" s="6" t="s">
        <v>2082</v>
      </c>
      <c r="N18" s="6" t="s">
        <v>88</v>
      </c>
    </row>
    <row r="19" customFormat="false" ht="13.5" hidden="false" customHeight="true" outlineLevel="0" collapsed="false">
      <c r="A19" s="34" t="s">
        <v>2096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28.5" hidden="false" customHeight="true" outlineLevel="0" collapsed="false">
      <c r="A20" s="35" t="s">
        <v>3310</v>
      </c>
      <c r="B20" s="28" t="s">
        <v>127</v>
      </c>
      <c r="C20" s="35" t="s">
        <v>1447</v>
      </c>
      <c r="D20" s="35" t="s">
        <v>129</v>
      </c>
      <c r="E20" s="28" t="s">
        <v>2067</v>
      </c>
      <c r="F20" s="36" t="n">
        <v>0.0606</v>
      </c>
      <c r="G20" s="40" t="n">
        <f aca="false">IFERROR(VLOOKUP("风电|14-风电企业季度毛利率",指标更新台账_v3!$A$2:$I$600,9,FALSE()),0)</f>
        <v>8</v>
      </c>
      <c r="H20" s="38" t="s">
        <v>2326</v>
      </c>
      <c r="I20" s="35" t="s">
        <v>2080</v>
      </c>
      <c r="J20" s="38" t="s">
        <v>3229</v>
      </c>
      <c r="K20" s="28" t="s">
        <v>2100</v>
      </c>
      <c r="L20" s="12" t="n">
        <v>0.1</v>
      </c>
      <c r="M20" s="6" t="s">
        <v>2296</v>
      </c>
      <c r="N20" s="6" t="s">
        <v>94</v>
      </c>
    </row>
    <row r="21" customFormat="false" ht="28.5" hidden="false" customHeight="true" outlineLevel="0" collapsed="false">
      <c r="A21" s="35" t="s">
        <v>3311</v>
      </c>
      <c r="B21" s="28" t="s">
        <v>127</v>
      </c>
      <c r="C21" s="35" t="s">
        <v>216</v>
      </c>
      <c r="D21" s="28" t="s">
        <v>217</v>
      </c>
      <c r="E21" s="28" t="s">
        <v>2067</v>
      </c>
      <c r="F21" s="36" t="n">
        <v>0.0485</v>
      </c>
      <c r="G21" s="37" t="n">
        <f aca="false">IFERROR(VLOOKUP("风电|15-风电企业季度净利润",指标更新台账_v3!$A$2:$I$600,9,FALSE()),0)</f>
        <v>6</v>
      </c>
      <c r="H21" s="38" t="s">
        <v>2186</v>
      </c>
      <c r="I21" s="35" t="s">
        <v>2069</v>
      </c>
      <c r="J21" s="38" t="s">
        <v>3312</v>
      </c>
      <c r="K21" s="28" t="s">
        <v>2100</v>
      </c>
      <c r="L21" s="12" t="n">
        <v>0.08</v>
      </c>
      <c r="M21" s="6" t="s">
        <v>2296</v>
      </c>
      <c r="N21" s="6" t="s">
        <v>131</v>
      </c>
    </row>
    <row r="22" customFormat="false" ht="28.5" hidden="false" customHeight="true" outlineLevel="0" collapsed="false">
      <c r="A22" s="35" t="s">
        <v>3313</v>
      </c>
      <c r="B22" s="28" t="s">
        <v>127</v>
      </c>
      <c r="C22" s="35" t="s">
        <v>888</v>
      </c>
      <c r="D22" s="28" t="s">
        <v>167</v>
      </c>
      <c r="E22" s="28" t="s">
        <v>2062</v>
      </c>
      <c r="F22" s="36" t="n">
        <v>0.0485</v>
      </c>
      <c r="G22" s="37" t="n">
        <f aca="false">IFERROR(VLOOKUP("风电|16-风电行业应收账款周转",指标更新台账_v3!$A$2:$I$600,9,FALSE()),0)</f>
        <v>6</v>
      </c>
      <c r="H22" s="38" t="s">
        <v>3005</v>
      </c>
      <c r="I22" s="35" t="s">
        <v>2069</v>
      </c>
      <c r="J22" s="39" t="s">
        <v>3314</v>
      </c>
      <c r="K22" s="28" t="s">
        <v>2100</v>
      </c>
      <c r="L22" s="12" t="n">
        <v>0.08</v>
      </c>
      <c r="M22" s="6" t="s">
        <v>2296</v>
      </c>
      <c r="N22" s="6" t="s">
        <v>168</v>
      </c>
    </row>
    <row r="23" customFormat="false" ht="28.5" hidden="false" customHeight="true" outlineLevel="0" collapsed="false">
      <c r="A23" s="35" t="s">
        <v>3315</v>
      </c>
      <c r="B23" s="28" t="s">
        <v>127</v>
      </c>
      <c r="C23" s="35" t="s">
        <v>503</v>
      </c>
      <c r="D23" s="35" t="s">
        <v>129</v>
      </c>
      <c r="E23" s="28" t="s">
        <v>2062</v>
      </c>
      <c r="F23" s="36" t="n">
        <v>0.0424</v>
      </c>
      <c r="G23" s="37" t="n">
        <f aca="false">IFERROR(VLOOKUP("风电|17-风电行业资产负债率",指标更新台账_v3!$A$2:$I$600,9,FALSE()),0)</f>
        <v>6</v>
      </c>
      <c r="H23" s="38" t="s">
        <v>3316</v>
      </c>
      <c r="I23" s="35" t="s">
        <v>2073</v>
      </c>
      <c r="J23" s="39" t="s">
        <v>3317</v>
      </c>
      <c r="K23" s="28" t="s">
        <v>2100</v>
      </c>
      <c r="L23" s="12" t="n">
        <v>0.07</v>
      </c>
      <c r="M23" s="6" t="s">
        <v>2296</v>
      </c>
      <c r="N23" s="6" t="s">
        <v>168</v>
      </c>
    </row>
    <row r="24" customFormat="false" ht="17.25" hidden="false" customHeight="true" outlineLevel="0" collapsed="false">
      <c r="A24" s="41" t="s">
        <v>2108</v>
      </c>
      <c r="B24" s="41"/>
      <c r="C24" s="41"/>
      <c r="D24" s="41"/>
      <c r="E24" s="41"/>
      <c r="F24" s="41"/>
      <c r="G24" s="42" t="n">
        <f aca="false">ROUND(SUMPRODUCT(F5:F23,G5:G23),1)</f>
        <v>7.9</v>
      </c>
      <c r="H24" s="43" t="s">
        <v>2109</v>
      </c>
      <c r="I24" s="43"/>
      <c r="J24" s="43"/>
      <c r="K24" s="43"/>
    </row>
  </sheetData>
  <mergeCells count="7">
    <mergeCell ref="A1:K1"/>
    <mergeCell ref="A2:K2"/>
    <mergeCell ref="A4:K4"/>
    <mergeCell ref="A12:K12"/>
    <mergeCell ref="A19:K19"/>
    <mergeCell ref="A24:F24"/>
    <mergeCell ref="H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3318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3319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2046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ROUND(SUMPRODUCT(F5:F11,G5:G11)/SUM(F5:F11),1)</f>
        <v>9.2</v>
      </c>
    </row>
    <row r="5" customFormat="false" ht="28.5" hidden="false" customHeight="true" outlineLevel="0" collapsed="false">
      <c r="A5" s="35" t="s">
        <v>3320</v>
      </c>
      <c r="B5" s="35" t="s">
        <v>3321</v>
      </c>
      <c r="C5" s="35" t="s">
        <v>408</v>
      </c>
      <c r="D5" s="35" t="s">
        <v>1185</v>
      </c>
      <c r="E5" s="28" t="s">
        <v>2433</v>
      </c>
      <c r="F5" s="36" t="n">
        <v>0.0925</v>
      </c>
      <c r="G5" s="40" t="n">
        <f aca="false">IFERROR(VLOOKUP("储能|1-储能系统招标量",指标更新台账_v3!$A$2:$I$600,9,FALSE()),0)</f>
        <v>10</v>
      </c>
      <c r="H5" s="38" t="s">
        <v>3322</v>
      </c>
      <c r="I5" s="35" t="s">
        <v>2238</v>
      </c>
      <c r="J5" s="39" t="s">
        <v>3323</v>
      </c>
      <c r="K5" s="28" t="s">
        <v>2100</v>
      </c>
      <c r="L5" s="12" t="n">
        <v>0.15</v>
      </c>
      <c r="M5" s="6" t="s">
        <v>2197</v>
      </c>
      <c r="N5" s="6" t="s">
        <v>279</v>
      </c>
      <c r="O5" s="12" t="s">
        <v>108</v>
      </c>
      <c r="P5" s="12" t="n">
        <f aca="false">ROUND(SUMPRODUCT(F13:F18,G13:G18)/SUM(F13:F18),1)</f>
        <v>7.1</v>
      </c>
    </row>
    <row r="6" customFormat="false" ht="28.5" hidden="false" customHeight="true" outlineLevel="0" collapsed="false">
      <c r="A6" s="35" t="s">
        <v>3324</v>
      </c>
      <c r="B6" s="35" t="s">
        <v>750</v>
      </c>
      <c r="C6" s="35" t="s">
        <v>1460</v>
      </c>
      <c r="D6" s="28" t="s">
        <v>2663</v>
      </c>
      <c r="E6" s="28" t="s">
        <v>2062</v>
      </c>
      <c r="F6" s="36" t="n">
        <v>0.074</v>
      </c>
      <c r="G6" s="40" t="n">
        <f aca="false">IFERROR(VLOOKUP("储能|2-储能系统中标均价",指标更新台账_v3!$A$2:$I$600,9,FALSE()),0)</f>
        <v>10</v>
      </c>
      <c r="H6" s="38" t="s">
        <v>2664</v>
      </c>
      <c r="I6" s="35" t="s">
        <v>2488</v>
      </c>
      <c r="J6" s="39" t="s">
        <v>3325</v>
      </c>
      <c r="K6" s="28" t="s">
        <v>2052</v>
      </c>
      <c r="L6" s="12" t="n">
        <v>0.12</v>
      </c>
      <c r="M6" s="6" t="s">
        <v>2197</v>
      </c>
      <c r="N6" s="6" t="s">
        <v>94</v>
      </c>
      <c r="O6" s="12" t="s">
        <v>125</v>
      </c>
      <c r="P6" s="12" t="n">
        <f aca="false">ROUND(SUMPRODUCT(F20:F23,G20:G23)/SUM(F20:F23),1)</f>
        <v>7.1</v>
      </c>
    </row>
    <row r="7" customFormat="false" ht="28.5" hidden="false" customHeight="true" outlineLevel="0" collapsed="false">
      <c r="A7" s="35" t="s">
        <v>2662</v>
      </c>
      <c r="B7" s="35" t="s">
        <v>231</v>
      </c>
      <c r="C7" s="35" t="s">
        <v>733</v>
      </c>
      <c r="D7" s="28" t="s">
        <v>2663</v>
      </c>
      <c r="E7" s="28" t="s">
        <v>2062</v>
      </c>
      <c r="F7" s="36" t="n">
        <v>0.0616</v>
      </c>
      <c r="G7" s="40" t="n">
        <f aca="false">IFERROR(VLOOKUP("储能|3-锂电池价格",指标更新台账_v3!$A$2:$I$600,9,FALSE()),0)</f>
        <v>8</v>
      </c>
      <c r="H7" s="38" t="s">
        <v>2664</v>
      </c>
      <c r="I7" s="35" t="s">
        <v>2424</v>
      </c>
      <c r="J7" s="39" t="s">
        <v>3326</v>
      </c>
      <c r="K7" s="28" t="s">
        <v>2060</v>
      </c>
      <c r="L7" s="12" t="n">
        <v>0.1</v>
      </c>
      <c r="M7" s="6" t="s">
        <v>2197</v>
      </c>
      <c r="N7" s="6" t="s">
        <v>94</v>
      </c>
    </row>
    <row r="8" customFormat="false" ht="28.5" hidden="false" customHeight="true" outlineLevel="0" collapsed="false">
      <c r="A8" s="35" t="s">
        <v>3327</v>
      </c>
      <c r="B8" s="28" t="s">
        <v>485</v>
      </c>
      <c r="C8" s="35" t="s">
        <v>208</v>
      </c>
      <c r="D8" s="35" t="s">
        <v>487</v>
      </c>
      <c r="E8" s="28" t="s">
        <v>2433</v>
      </c>
      <c r="F8" s="36" t="n">
        <v>0.0616</v>
      </c>
      <c r="G8" s="40" t="n">
        <f aca="false">IFERROR(VLOOKUP("储能|4-新型储能规划容量",指标更新台账_v3!$A$2:$I$600,9,FALSE()),0)</f>
        <v>10</v>
      </c>
      <c r="H8" s="38" t="s">
        <v>2562</v>
      </c>
      <c r="I8" s="35" t="s">
        <v>2238</v>
      </c>
      <c r="J8" s="39" t="s">
        <v>3328</v>
      </c>
      <c r="K8" s="28" t="s">
        <v>2075</v>
      </c>
      <c r="L8" s="12" t="n">
        <v>0.1</v>
      </c>
      <c r="M8" s="6" t="s">
        <v>2197</v>
      </c>
      <c r="N8" s="6" t="s">
        <v>279</v>
      </c>
    </row>
    <row r="9" customFormat="false" ht="28.5" hidden="false" customHeight="true" outlineLevel="0" collapsed="false">
      <c r="A9" s="35" t="s">
        <v>3329</v>
      </c>
      <c r="B9" s="28" t="s">
        <v>3330</v>
      </c>
      <c r="C9" s="35" t="s">
        <v>677</v>
      </c>
      <c r="D9" s="28" t="s">
        <v>2986</v>
      </c>
      <c r="E9" s="28" t="s">
        <v>2433</v>
      </c>
      <c r="F9" s="36" t="n">
        <v>0.0493</v>
      </c>
      <c r="G9" s="40" t="n">
        <f aca="false">IFERROR(VLOOKUP("储能|5-储能政策发布数量",指标更新台账_v3!$A$2:$I$600,9,FALSE()),0)</f>
        <v>10</v>
      </c>
      <c r="H9" s="38" t="s">
        <v>2627</v>
      </c>
      <c r="I9" s="35" t="s">
        <v>2058</v>
      </c>
      <c r="J9" s="39" t="s">
        <v>3331</v>
      </c>
      <c r="K9" s="28" t="s">
        <v>2075</v>
      </c>
      <c r="L9" s="12" t="n">
        <v>0.08</v>
      </c>
      <c r="M9" s="6" t="s">
        <v>2197</v>
      </c>
      <c r="N9" s="6" t="s">
        <v>279</v>
      </c>
    </row>
    <row r="10" customFormat="false" ht="28.5" hidden="false" customHeight="true" outlineLevel="0" collapsed="false">
      <c r="A10" s="35" t="s">
        <v>3332</v>
      </c>
      <c r="B10" s="28" t="s">
        <v>1159</v>
      </c>
      <c r="C10" s="35" t="s">
        <v>1405</v>
      </c>
      <c r="D10" s="35" t="s">
        <v>129</v>
      </c>
      <c r="E10" s="28" t="s">
        <v>2067</v>
      </c>
      <c r="F10" s="36" t="n">
        <v>0.0616</v>
      </c>
      <c r="G10" s="40" t="n">
        <f aca="false">IFERROR(VLOOKUP("储能|6-工商业储能IRR",指标更新台账_v3!$A$2:$I$600,9,FALSE()),0)</f>
        <v>8</v>
      </c>
      <c r="H10" s="38" t="s">
        <v>3333</v>
      </c>
      <c r="I10" s="35" t="s">
        <v>2242</v>
      </c>
      <c r="J10" s="39" t="s">
        <v>3334</v>
      </c>
      <c r="K10" s="28" t="s">
        <v>2100</v>
      </c>
      <c r="L10" s="12" t="n">
        <v>0.1</v>
      </c>
      <c r="M10" s="6" t="s">
        <v>2197</v>
      </c>
      <c r="N10" s="6" t="s">
        <v>131</v>
      </c>
    </row>
    <row r="11" customFormat="false" ht="28.5" hidden="false" customHeight="true" outlineLevel="0" collapsed="false">
      <c r="A11" s="35" t="s">
        <v>3335</v>
      </c>
      <c r="B11" s="28" t="s">
        <v>3336</v>
      </c>
      <c r="C11" s="35" t="s">
        <v>806</v>
      </c>
      <c r="D11" s="35" t="s">
        <v>85</v>
      </c>
      <c r="E11" s="28" t="s">
        <v>2067</v>
      </c>
      <c r="F11" s="36" t="n">
        <v>0.0493</v>
      </c>
      <c r="G11" s="40" t="n">
        <f aca="false">IFERROR(VLOOKUP("储能|7-储能PCS订单增速",指标更新台账_v3!$A$2:$I$600,9,FALSE()),0)</f>
        <v>8</v>
      </c>
      <c r="H11" s="38" t="s">
        <v>2733</v>
      </c>
      <c r="I11" s="35" t="s">
        <v>2058</v>
      </c>
      <c r="J11" s="38" t="s">
        <v>3337</v>
      </c>
      <c r="K11" s="28" t="s">
        <v>2100</v>
      </c>
      <c r="L11" s="12" t="n">
        <v>0.08</v>
      </c>
      <c r="M11" s="6" t="s">
        <v>2197</v>
      </c>
      <c r="N11" s="6" t="s">
        <v>279</v>
      </c>
    </row>
    <row r="12" customFormat="false" ht="13.5" hidden="false" customHeight="true" outlineLevel="0" collapsed="false">
      <c r="A12" s="34" t="s">
        <v>2076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customFormat="false" ht="14.25" hidden="false" customHeight="true" outlineLevel="0" collapsed="false">
      <c r="A13" s="35" t="s">
        <v>3338</v>
      </c>
      <c r="B13" s="35" t="s">
        <v>750</v>
      </c>
      <c r="C13" s="35" t="s">
        <v>166</v>
      </c>
      <c r="D13" s="35" t="s">
        <v>2681</v>
      </c>
      <c r="E13" s="28" t="s">
        <v>2067</v>
      </c>
      <c r="F13" s="36" t="n">
        <v>0.0905</v>
      </c>
      <c r="G13" s="37" t="n">
        <f aca="false">IFERROR(VLOOKUP("储能|8-储能新增装机量",指标更新台账_v3!$A$2:$I$600,9,FALSE()),0)</f>
        <v>6</v>
      </c>
      <c r="H13" s="38" t="s">
        <v>2682</v>
      </c>
      <c r="I13" s="35" t="s">
        <v>2080</v>
      </c>
      <c r="J13" s="39" t="s">
        <v>3339</v>
      </c>
      <c r="K13" s="28" t="s">
        <v>2100</v>
      </c>
      <c r="L13" s="12" t="n">
        <v>0.15</v>
      </c>
      <c r="M13" s="6" t="s">
        <v>2082</v>
      </c>
      <c r="N13" s="6" t="s">
        <v>213</v>
      </c>
    </row>
    <row r="14" customFormat="false" ht="28.5" hidden="false" customHeight="true" outlineLevel="0" collapsed="false">
      <c r="A14" s="35" t="s">
        <v>3340</v>
      </c>
      <c r="B14" s="28" t="s">
        <v>485</v>
      </c>
      <c r="C14" s="35" t="s">
        <v>633</v>
      </c>
      <c r="D14" s="35" t="s">
        <v>2681</v>
      </c>
      <c r="E14" s="28" t="s">
        <v>2067</v>
      </c>
      <c r="F14" s="36" t="n">
        <v>0.0603</v>
      </c>
      <c r="G14" s="37" t="n">
        <f aca="false">IFERROR(VLOOKUP("储能|9-储能项目并网量",指标更新台账_v3!$A$2:$I$600,9,FALSE()),0)</f>
        <v>6</v>
      </c>
      <c r="H14" s="38" t="s">
        <v>3341</v>
      </c>
      <c r="I14" s="35" t="s">
        <v>2069</v>
      </c>
      <c r="J14" s="39" t="s">
        <v>3342</v>
      </c>
      <c r="K14" s="28" t="s">
        <v>2100</v>
      </c>
      <c r="L14" s="12" t="n">
        <v>0.1</v>
      </c>
      <c r="M14" s="6" t="s">
        <v>2082</v>
      </c>
      <c r="N14" s="6" t="s">
        <v>88</v>
      </c>
    </row>
    <row r="15" customFormat="false" ht="28.5" hidden="false" customHeight="true" outlineLevel="0" collapsed="false">
      <c r="A15" s="35" t="s">
        <v>3343</v>
      </c>
      <c r="B15" s="28" t="s">
        <v>1159</v>
      </c>
      <c r="C15" s="35" t="s">
        <v>335</v>
      </c>
      <c r="D15" s="35" t="s">
        <v>129</v>
      </c>
      <c r="E15" s="28" t="s">
        <v>2067</v>
      </c>
      <c r="F15" s="36" t="n">
        <v>0.0603</v>
      </c>
      <c r="G15" s="37" t="n">
        <f aca="false">IFERROR(VLOOKUP("储能|10-工商业储能渗透率",指标更新台账_v3!$A$2:$I$600,9,FALSE()),0)</f>
        <v>6</v>
      </c>
      <c r="H15" s="38" t="s">
        <v>2721</v>
      </c>
      <c r="I15" s="35" t="s">
        <v>2089</v>
      </c>
      <c r="J15" s="39" t="s">
        <v>3344</v>
      </c>
      <c r="K15" s="28" t="s">
        <v>2100</v>
      </c>
      <c r="L15" s="12" t="n">
        <v>0.1</v>
      </c>
      <c r="M15" s="6" t="s">
        <v>2082</v>
      </c>
      <c r="N15" s="6" t="s">
        <v>88</v>
      </c>
    </row>
    <row r="16" customFormat="false" ht="28.5" hidden="false" customHeight="true" outlineLevel="0" collapsed="false">
      <c r="A16" s="35" t="s">
        <v>3345</v>
      </c>
      <c r="B16" s="28" t="s">
        <v>101</v>
      </c>
      <c r="C16" s="35" t="s">
        <v>806</v>
      </c>
      <c r="D16" s="35" t="s">
        <v>85</v>
      </c>
      <c r="E16" s="28" t="s">
        <v>2067</v>
      </c>
      <c r="F16" s="36" t="n">
        <v>0.0483</v>
      </c>
      <c r="G16" s="40" t="n">
        <f aca="false">IFERROR(VLOOKUP("储能|11-储能出口金额增速",指标更新台账_v3!$A$2:$I$600,9,FALSE()),0)</f>
        <v>10</v>
      </c>
      <c r="H16" s="38" t="s">
        <v>2733</v>
      </c>
      <c r="I16" s="35" t="s">
        <v>2238</v>
      </c>
      <c r="J16" s="39" t="s">
        <v>3346</v>
      </c>
      <c r="K16" s="28" t="s">
        <v>2052</v>
      </c>
      <c r="L16" s="12" t="n">
        <v>0.08</v>
      </c>
      <c r="M16" s="6" t="s">
        <v>2082</v>
      </c>
      <c r="N16" s="6" t="s">
        <v>88</v>
      </c>
    </row>
    <row r="17" customFormat="false" ht="28.5" hidden="false" customHeight="true" outlineLevel="0" collapsed="false">
      <c r="A17" s="35" t="s">
        <v>3347</v>
      </c>
      <c r="B17" s="28" t="s">
        <v>485</v>
      </c>
      <c r="C17" s="35" t="s">
        <v>1233</v>
      </c>
      <c r="D17" s="35" t="s">
        <v>129</v>
      </c>
      <c r="E17" s="28" t="s">
        <v>2067</v>
      </c>
      <c r="F17" s="36" t="n">
        <v>0.0483</v>
      </c>
      <c r="G17" s="40" t="n">
        <f aca="false">IFERROR(VLOOKUP("储能|12-电源侧储能配储比例",指标更新台账_v3!$A$2:$I$600,9,FALSE()),0)</f>
        <v>8</v>
      </c>
      <c r="H17" s="38" t="s">
        <v>3348</v>
      </c>
      <c r="I17" s="35" t="s">
        <v>2085</v>
      </c>
      <c r="J17" s="39" t="s">
        <v>3349</v>
      </c>
      <c r="K17" s="28" t="s">
        <v>2075</v>
      </c>
      <c r="L17" s="12" t="n">
        <v>0.08</v>
      </c>
      <c r="M17" s="6" t="s">
        <v>2082</v>
      </c>
      <c r="N17" s="6" t="s">
        <v>88</v>
      </c>
    </row>
    <row r="18" customFormat="false" ht="28.5" hidden="false" customHeight="true" outlineLevel="0" collapsed="false">
      <c r="A18" s="35" t="s">
        <v>3350</v>
      </c>
      <c r="B18" s="35" t="s">
        <v>750</v>
      </c>
      <c r="C18" s="35" t="s">
        <v>1141</v>
      </c>
      <c r="D18" s="35" t="s">
        <v>1185</v>
      </c>
      <c r="E18" s="28" t="s">
        <v>2067</v>
      </c>
      <c r="F18" s="36" t="n">
        <v>0.0422</v>
      </c>
      <c r="G18" s="40" t="n">
        <f aca="false">IFERROR(VLOOKUP("储能|13-储能EPC中标量",指标更新台账_v3!$A$2:$I$600,9,FALSE()),0)</f>
        <v>8</v>
      </c>
      <c r="H18" s="38" t="s">
        <v>3107</v>
      </c>
      <c r="I18" s="35" t="s">
        <v>2223</v>
      </c>
      <c r="J18" s="38" t="s">
        <v>3351</v>
      </c>
      <c r="K18" s="28" t="s">
        <v>2100</v>
      </c>
      <c r="L18" s="12" t="n">
        <v>0.07</v>
      </c>
      <c r="M18" s="6" t="s">
        <v>2082</v>
      </c>
      <c r="N18" s="6" t="s">
        <v>88</v>
      </c>
    </row>
    <row r="19" customFormat="false" ht="13.5" hidden="false" customHeight="true" outlineLevel="0" collapsed="false">
      <c r="A19" s="34" t="s">
        <v>2096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28.5" hidden="false" customHeight="true" outlineLevel="0" collapsed="false">
      <c r="A20" s="35" t="s">
        <v>3352</v>
      </c>
      <c r="B20" s="28" t="s">
        <v>127</v>
      </c>
      <c r="C20" s="35" t="s">
        <v>677</v>
      </c>
      <c r="D20" s="35" t="s">
        <v>129</v>
      </c>
      <c r="E20" s="28" t="s">
        <v>2067</v>
      </c>
      <c r="F20" s="36" t="n">
        <v>0.0606</v>
      </c>
      <c r="G20" s="40" t="n">
        <f aca="false">IFERROR(VLOOKUP("储能|14-储能企业季度毛利率",指标更新台账_v3!$A$2:$I$600,9,FALSE()),0)</f>
        <v>8</v>
      </c>
      <c r="H20" s="38" t="s">
        <v>2690</v>
      </c>
      <c r="I20" s="35" t="s">
        <v>2089</v>
      </c>
      <c r="J20" s="38" t="s">
        <v>3353</v>
      </c>
      <c r="K20" s="28" t="s">
        <v>2100</v>
      </c>
      <c r="L20" s="12" t="n">
        <v>0.1</v>
      </c>
      <c r="M20" s="6" t="s">
        <v>2296</v>
      </c>
      <c r="N20" s="6" t="s">
        <v>94</v>
      </c>
    </row>
    <row r="21" customFormat="false" ht="28.5" hidden="false" customHeight="true" outlineLevel="0" collapsed="false">
      <c r="A21" s="35" t="s">
        <v>3354</v>
      </c>
      <c r="B21" s="28" t="s">
        <v>127</v>
      </c>
      <c r="C21" s="35" t="s">
        <v>166</v>
      </c>
      <c r="D21" s="28" t="s">
        <v>217</v>
      </c>
      <c r="E21" s="28" t="s">
        <v>2067</v>
      </c>
      <c r="F21" s="36" t="n">
        <v>0.0485</v>
      </c>
      <c r="G21" s="37" t="n">
        <f aca="false">IFERROR(VLOOKUP("储能|15-储能企业季度净利润",指标更新台账_v3!$A$2:$I$600,9,FALSE()),0)</f>
        <v>6</v>
      </c>
      <c r="H21" s="38" t="s">
        <v>2775</v>
      </c>
      <c r="I21" s="35" t="s">
        <v>2069</v>
      </c>
      <c r="J21" s="38" t="s">
        <v>3355</v>
      </c>
      <c r="K21" s="28" t="s">
        <v>2100</v>
      </c>
      <c r="L21" s="12" t="n">
        <v>0.08</v>
      </c>
      <c r="M21" s="6" t="s">
        <v>2296</v>
      </c>
      <c r="N21" s="6" t="s">
        <v>131</v>
      </c>
    </row>
    <row r="22" customFormat="false" ht="28.5" hidden="false" customHeight="true" outlineLevel="0" collapsed="false">
      <c r="A22" s="35" t="s">
        <v>3356</v>
      </c>
      <c r="B22" s="28" t="s">
        <v>1159</v>
      </c>
      <c r="C22" s="35" t="s">
        <v>881</v>
      </c>
      <c r="D22" s="35" t="s">
        <v>129</v>
      </c>
      <c r="E22" s="28" t="s">
        <v>2067</v>
      </c>
      <c r="F22" s="36" t="n">
        <v>0.0485</v>
      </c>
      <c r="G22" s="40" t="n">
        <f aca="false">IFERROR(VLOOKUP("储能|16-储能项目IRR实现值",指标更新台账_v3!$A$2:$I$600,9,FALSE()),0)</f>
        <v>8</v>
      </c>
      <c r="H22" s="38" t="s">
        <v>3357</v>
      </c>
      <c r="I22" s="35" t="s">
        <v>2085</v>
      </c>
      <c r="J22" s="39" t="s">
        <v>3358</v>
      </c>
      <c r="K22" s="28" t="s">
        <v>2075</v>
      </c>
      <c r="L22" s="12" t="n">
        <v>0.08</v>
      </c>
      <c r="M22" s="6" t="s">
        <v>2296</v>
      </c>
      <c r="N22" s="6" t="s">
        <v>131</v>
      </c>
    </row>
    <row r="23" customFormat="false" ht="28.5" hidden="false" customHeight="true" outlineLevel="0" collapsed="false">
      <c r="A23" s="35" t="s">
        <v>3359</v>
      </c>
      <c r="B23" s="35" t="s">
        <v>750</v>
      </c>
      <c r="C23" s="35" t="s">
        <v>141</v>
      </c>
      <c r="D23" s="35" t="s">
        <v>129</v>
      </c>
      <c r="E23" s="28" t="s">
        <v>2062</v>
      </c>
      <c r="F23" s="36" t="n">
        <v>0.0424</v>
      </c>
      <c r="G23" s="37" t="n">
        <f aca="false">IFERROR(VLOOKUP("储能|17-储能行业产能利用率",指标更新台账_v3!$A$2:$I$600,9,FALSE()),0)</f>
        <v>6</v>
      </c>
      <c r="H23" s="38" t="s">
        <v>3360</v>
      </c>
      <c r="I23" s="35" t="s">
        <v>2073</v>
      </c>
      <c r="J23" s="39" t="s">
        <v>3361</v>
      </c>
      <c r="K23" s="28" t="s">
        <v>2100</v>
      </c>
      <c r="L23" s="12" t="n">
        <v>0.07</v>
      </c>
      <c r="M23" s="6" t="s">
        <v>2296</v>
      </c>
      <c r="N23" s="6" t="s">
        <v>131</v>
      </c>
    </row>
    <row r="24" customFormat="false" ht="17.25" hidden="false" customHeight="true" outlineLevel="0" collapsed="false">
      <c r="A24" s="41" t="s">
        <v>2108</v>
      </c>
      <c r="B24" s="41"/>
      <c r="C24" s="41"/>
      <c r="D24" s="41"/>
      <c r="E24" s="41"/>
      <c r="F24" s="41"/>
      <c r="G24" s="42" t="n">
        <f aca="false">ROUND(SUMPRODUCT(F5:F23,G5:G23),1)</f>
        <v>8</v>
      </c>
      <c r="H24" s="43" t="s">
        <v>2109</v>
      </c>
      <c r="I24" s="43"/>
      <c r="J24" s="43"/>
      <c r="K24" s="43"/>
    </row>
  </sheetData>
  <mergeCells count="7">
    <mergeCell ref="A1:K1"/>
    <mergeCell ref="A2:K2"/>
    <mergeCell ref="A4:K4"/>
    <mergeCell ref="A12:K12"/>
    <mergeCell ref="A19:K19"/>
    <mergeCell ref="A24:F24"/>
    <mergeCell ref="H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8.75" hidden="false" customHeight="true" outlineLevel="0" collapsed="false">
      <c r="A1" s="30" t="s">
        <v>3362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3363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3364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ROUND(SUMPRODUCT(F5:F11,G5:G11)/SUM(F5:F11),1)</f>
        <v>7.8</v>
      </c>
    </row>
    <row r="5" customFormat="false" ht="42.75" hidden="false" customHeight="true" outlineLevel="0" collapsed="false">
      <c r="A5" s="35" t="s">
        <v>3365</v>
      </c>
      <c r="B5" s="35" t="s">
        <v>455</v>
      </c>
      <c r="C5" s="35" t="s">
        <v>240</v>
      </c>
      <c r="D5" s="35" t="s">
        <v>85</v>
      </c>
      <c r="E5" s="28" t="s">
        <v>2067</v>
      </c>
      <c r="F5" s="36" t="n">
        <v>0.1086</v>
      </c>
      <c r="G5" s="40" t="n">
        <f aca="false">IFERROR(VLOOKUP("CXO|1-全球生物医药融资额",指标更新台账_v3!$A$2:$I$600,9,FALSE()),0)</f>
        <v>8</v>
      </c>
      <c r="H5" s="38" t="s">
        <v>2403</v>
      </c>
      <c r="I5" s="35" t="s">
        <v>2085</v>
      </c>
      <c r="J5" s="39" t="s">
        <v>3366</v>
      </c>
      <c r="K5" s="28" t="s">
        <v>2100</v>
      </c>
      <c r="L5" s="12" t="n">
        <v>0.15</v>
      </c>
      <c r="M5" s="6" t="s">
        <v>3125</v>
      </c>
      <c r="N5" s="6" t="s">
        <v>279</v>
      </c>
      <c r="O5" s="12" t="s">
        <v>108</v>
      </c>
      <c r="P5" s="12" t="n">
        <f aca="false">ROUND(SUMPRODUCT(F13:F18,G13:G18)/SUM(F13:F18),1)</f>
        <v>7.4</v>
      </c>
    </row>
    <row r="6" customFormat="false" ht="42.75" hidden="false" customHeight="true" outlineLevel="0" collapsed="false">
      <c r="A6" s="35" t="s">
        <v>3367</v>
      </c>
      <c r="B6" s="35" t="s">
        <v>1497</v>
      </c>
      <c r="C6" s="35" t="s">
        <v>302</v>
      </c>
      <c r="D6" s="28" t="s">
        <v>3089</v>
      </c>
      <c r="E6" s="28" t="s">
        <v>2067</v>
      </c>
      <c r="F6" s="36" t="n">
        <v>0.0724</v>
      </c>
      <c r="G6" s="40" t="n">
        <f aca="false">IFERROR(VLOOKUP("CXO|2-FDA新药批准数量",指标更新台账_v3!$A$2:$I$600,9,FALSE()),0)</f>
        <v>8</v>
      </c>
      <c r="H6" s="38" t="s">
        <v>3368</v>
      </c>
      <c r="I6" s="35" t="s">
        <v>2089</v>
      </c>
      <c r="J6" s="38" t="s">
        <v>3369</v>
      </c>
      <c r="K6" s="28" t="s">
        <v>2052</v>
      </c>
      <c r="L6" s="12" t="n">
        <v>0.1</v>
      </c>
      <c r="M6" s="6" t="s">
        <v>3125</v>
      </c>
      <c r="N6" s="6" t="s">
        <v>279</v>
      </c>
      <c r="O6" s="12" t="s">
        <v>125</v>
      </c>
      <c r="P6" s="12" t="n">
        <f aca="false">ROUND(SUMPRODUCT(F20:F23,G20:G23)/SUM(F20:F23),1)</f>
        <v>7.1</v>
      </c>
    </row>
    <row r="7" customFormat="false" ht="42.75" hidden="false" customHeight="true" outlineLevel="0" collapsed="false">
      <c r="A7" s="35" t="s">
        <v>3370</v>
      </c>
      <c r="B7" s="28" t="s">
        <v>3371</v>
      </c>
      <c r="C7" s="35" t="s">
        <v>270</v>
      </c>
      <c r="D7" s="35" t="s">
        <v>85</v>
      </c>
      <c r="E7" s="28" t="s">
        <v>2067</v>
      </c>
      <c r="F7" s="36" t="n">
        <v>0.1086</v>
      </c>
      <c r="G7" s="40" t="n">
        <f aca="false">IFERROR(VLOOKUP("CXO|3-CXO企业订单增速",指标更新台账_v3!$A$2:$I$600,9,FALSE()),0)</f>
        <v>8</v>
      </c>
      <c r="H7" s="38" t="s">
        <v>3222</v>
      </c>
      <c r="I7" s="35" t="s">
        <v>2242</v>
      </c>
      <c r="J7" s="39" t="s">
        <v>3372</v>
      </c>
      <c r="K7" s="28" t="s">
        <v>2100</v>
      </c>
      <c r="L7" s="12" t="n">
        <v>0.15</v>
      </c>
      <c r="M7" s="6" t="s">
        <v>3125</v>
      </c>
      <c r="N7" s="6" t="s">
        <v>279</v>
      </c>
    </row>
    <row r="8" customFormat="false" ht="28.5" hidden="false" customHeight="true" outlineLevel="0" collapsed="false">
      <c r="A8" s="35" t="s">
        <v>3373</v>
      </c>
      <c r="B8" s="35" t="s">
        <v>1503</v>
      </c>
      <c r="C8" s="35" t="s">
        <v>305</v>
      </c>
      <c r="D8" s="35" t="s">
        <v>85</v>
      </c>
      <c r="E8" s="28" t="s">
        <v>2067</v>
      </c>
      <c r="F8" s="36" t="n">
        <v>0.0724</v>
      </c>
      <c r="G8" s="40" t="n">
        <f aca="false">IFERROR(VLOOKUP("CXO|4-客户研发管线数量",指标更新台账_v3!$A$2:$I$600,9,FALSE()),0)</f>
        <v>8</v>
      </c>
      <c r="H8" s="38" t="s">
        <v>2472</v>
      </c>
      <c r="I8" s="35" t="s">
        <v>2085</v>
      </c>
      <c r="J8" s="39" t="s">
        <v>3374</v>
      </c>
      <c r="K8" s="28" t="s">
        <v>2075</v>
      </c>
      <c r="L8" s="12" t="n">
        <v>0.1</v>
      </c>
      <c r="M8" s="6" t="s">
        <v>3125</v>
      </c>
      <c r="N8" s="6" t="s">
        <v>279</v>
      </c>
    </row>
    <row r="9" customFormat="false" ht="28.5" hidden="false" customHeight="true" outlineLevel="0" collapsed="false">
      <c r="A9" s="35" t="s">
        <v>3375</v>
      </c>
      <c r="B9" s="35" t="s">
        <v>443</v>
      </c>
      <c r="C9" s="35" t="s">
        <v>444</v>
      </c>
      <c r="D9" s="28" t="s">
        <v>2393</v>
      </c>
      <c r="E9" s="28" t="s">
        <v>2067</v>
      </c>
      <c r="F9" s="36" t="n">
        <v>0.0724</v>
      </c>
      <c r="G9" s="40" t="n">
        <f aca="false">IFERROR(VLOOKUP("CXO|5-创新药IND数量",指标更新台账_v3!$A$2:$I$600,9,FALSE()),0)</f>
        <v>8</v>
      </c>
      <c r="H9" s="38" t="s">
        <v>2394</v>
      </c>
      <c r="I9" s="35" t="s">
        <v>2223</v>
      </c>
      <c r="J9" s="39" t="s">
        <v>3376</v>
      </c>
      <c r="K9" s="28" t="s">
        <v>2052</v>
      </c>
      <c r="L9" s="12" t="n">
        <v>0.1</v>
      </c>
      <c r="M9" s="6" t="s">
        <v>3125</v>
      </c>
      <c r="N9" s="6" t="s">
        <v>88</v>
      </c>
    </row>
    <row r="10" customFormat="false" ht="28.5" hidden="false" customHeight="true" outlineLevel="0" collapsed="false">
      <c r="A10" s="35" t="s">
        <v>3377</v>
      </c>
      <c r="B10" s="28" t="s">
        <v>788</v>
      </c>
      <c r="C10" s="28" t="s">
        <v>1508</v>
      </c>
      <c r="D10" s="28"/>
      <c r="E10" s="28" t="s">
        <v>2067</v>
      </c>
      <c r="F10" s="36" t="n">
        <v>0.0579</v>
      </c>
      <c r="G10" s="40" t="n">
        <f aca="false">IFERROR(VLOOKUP("CXO|6-大分子/ADC药物研发热度",指标更新台账_v3!$A$2:$I$600,9,FALSE()),0)</f>
        <v>8</v>
      </c>
      <c r="H10" s="39" t="s">
        <v>3378</v>
      </c>
      <c r="I10" s="35" t="s">
        <v>2229</v>
      </c>
      <c r="J10" s="38" t="s">
        <v>3379</v>
      </c>
      <c r="K10" s="28" t="s">
        <v>2100</v>
      </c>
      <c r="L10" s="12" t="n">
        <v>0.08</v>
      </c>
      <c r="M10" s="6" t="s">
        <v>3125</v>
      </c>
      <c r="N10" s="6" t="s">
        <v>88</v>
      </c>
    </row>
    <row r="11" customFormat="false" ht="42.75" hidden="false" customHeight="true" outlineLevel="0" collapsed="false">
      <c r="A11" s="35" t="s">
        <v>3380</v>
      </c>
      <c r="B11" s="28" t="s">
        <v>777</v>
      </c>
      <c r="C11" s="35" t="s">
        <v>744</v>
      </c>
      <c r="D11" s="28" t="s">
        <v>120</v>
      </c>
      <c r="E11" s="28" t="s">
        <v>3381</v>
      </c>
      <c r="F11" s="36" t="n">
        <v>0.0579</v>
      </c>
      <c r="G11" s="37" t="n">
        <f aca="false">IFERROR(VLOOKUP("CXO|7-地缘政治风险指数",指标更新台账_v3!$A$2:$I$600,9,FALSE()),0)</f>
        <v>6</v>
      </c>
      <c r="H11" s="38" t="s">
        <v>2660</v>
      </c>
      <c r="I11" s="35" t="s">
        <v>2080</v>
      </c>
      <c r="J11" s="39" t="s">
        <v>3382</v>
      </c>
      <c r="K11" s="28" t="s">
        <v>2052</v>
      </c>
      <c r="L11" s="12" t="n">
        <v>0.08</v>
      </c>
      <c r="M11" s="6" t="s">
        <v>3125</v>
      </c>
      <c r="N11" s="6" t="s">
        <v>88</v>
      </c>
    </row>
    <row r="12" customFormat="false" ht="13.5" hidden="false" customHeight="true" outlineLevel="0" collapsed="false">
      <c r="A12" s="34" t="s">
        <v>3383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customFormat="false" ht="28.5" hidden="false" customHeight="true" outlineLevel="0" collapsed="false">
      <c r="A13" s="35" t="s">
        <v>3384</v>
      </c>
      <c r="B13" s="28" t="s">
        <v>127</v>
      </c>
      <c r="C13" s="35" t="s">
        <v>528</v>
      </c>
      <c r="D13" s="35" t="s">
        <v>85</v>
      </c>
      <c r="E13" s="28" t="s">
        <v>2067</v>
      </c>
      <c r="F13" s="36" t="n">
        <v>0.075</v>
      </c>
      <c r="G13" s="40" t="n">
        <f aca="false">IFERROR(VLOOKUP("CXO|8-CXO企业收入增速",指标更新台账_v3!$A$2:$I$600,9,FALSE()),0)</f>
        <v>8</v>
      </c>
      <c r="H13" s="38" t="s">
        <v>2234</v>
      </c>
      <c r="I13" s="35" t="s">
        <v>2142</v>
      </c>
      <c r="J13" s="39" t="s">
        <v>3385</v>
      </c>
      <c r="K13" s="28" t="s">
        <v>2100</v>
      </c>
      <c r="L13" s="12" t="n">
        <v>0.15</v>
      </c>
      <c r="M13" s="6" t="s">
        <v>2306</v>
      </c>
      <c r="N13" s="6" t="s">
        <v>213</v>
      </c>
    </row>
    <row r="14" customFormat="false" ht="28.5" hidden="false" customHeight="true" outlineLevel="0" collapsed="false">
      <c r="A14" s="35" t="s">
        <v>3386</v>
      </c>
      <c r="B14" s="28" t="s">
        <v>1159</v>
      </c>
      <c r="C14" s="35" t="s">
        <v>402</v>
      </c>
      <c r="D14" s="35" t="s">
        <v>129</v>
      </c>
      <c r="E14" s="28" t="s">
        <v>2067</v>
      </c>
      <c r="F14" s="36" t="n">
        <v>0.05</v>
      </c>
      <c r="G14" s="37" t="n">
        <f aca="false">IFERROR(VLOOKUP("CXO|9-CDMO产能利用率",指标更新台账_v3!$A$2:$I$600,9,FALSE()),0)</f>
        <v>6</v>
      </c>
      <c r="H14" s="38" t="s">
        <v>3054</v>
      </c>
      <c r="I14" s="35" t="s">
        <v>2089</v>
      </c>
      <c r="J14" s="39" t="s">
        <v>3387</v>
      </c>
      <c r="K14" s="28" t="s">
        <v>2100</v>
      </c>
      <c r="L14" s="12" t="n">
        <v>0.1</v>
      </c>
      <c r="M14" s="6" t="s">
        <v>2306</v>
      </c>
      <c r="N14" s="6" t="s">
        <v>131</v>
      </c>
    </row>
    <row r="15" customFormat="false" ht="28.5" hidden="false" customHeight="true" outlineLevel="0" collapsed="false">
      <c r="A15" s="35" t="s">
        <v>3388</v>
      </c>
      <c r="B15" s="28" t="s">
        <v>3389</v>
      </c>
      <c r="C15" s="35" t="s">
        <v>240</v>
      </c>
      <c r="D15" s="35" t="s">
        <v>85</v>
      </c>
      <c r="E15" s="28" t="s">
        <v>2067</v>
      </c>
      <c r="F15" s="36" t="n">
        <v>0.05</v>
      </c>
      <c r="G15" s="40" t="n">
        <f aca="false">IFERROR(VLOOKUP("CXO|10-实验室服务收入增速",指标更新台账_v3!$A$2:$I$600,9,FALSE()),0)</f>
        <v>8</v>
      </c>
      <c r="H15" s="38" t="s">
        <v>2234</v>
      </c>
      <c r="I15" s="35" t="s">
        <v>2242</v>
      </c>
      <c r="J15" s="39" t="s">
        <v>3390</v>
      </c>
      <c r="K15" s="28" t="s">
        <v>2100</v>
      </c>
      <c r="L15" s="12" t="n">
        <v>0.1</v>
      </c>
      <c r="M15" s="6" t="s">
        <v>2306</v>
      </c>
      <c r="N15" s="6" t="s">
        <v>213</v>
      </c>
    </row>
    <row r="16" customFormat="false" ht="28.5" hidden="false" customHeight="true" outlineLevel="0" collapsed="false">
      <c r="A16" s="35" t="s">
        <v>3391</v>
      </c>
      <c r="B16" s="28" t="s">
        <v>3392</v>
      </c>
      <c r="C16" s="35" t="s">
        <v>308</v>
      </c>
      <c r="D16" s="35" t="s">
        <v>85</v>
      </c>
      <c r="E16" s="28" t="s">
        <v>2067</v>
      </c>
      <c r="F16" s="36" t="n">
        <v>0.04</v>
      </c>
      <c r="G16" s="40" t="n">
        <f aca="false">IFERROR(VLOOKUP("CXO|11-临床CRO在研项目数",指标更新台账_v3!$A$2:$I$600,9,FALSE()),0)</f>
        <v>8</v>
      </c>
      <c r="H16" s="38" t="s">
        <v>2234</v>
      </c>
      <c r="I16" s="35" t="s">
        <v>2085</v>
      </c>
      <c r="J16" s="39" t="s">
        <v>3393</v>
      </c>
      <c r="K16" s="28" t="s">
        <v>2100</v>
      </c>
      <c r="L16" s="12" t="n">
        <v>0.08</v>
      </c>
      <c r="M16" s="6" t="s">
        <v>2306</v>
      </c>
      <c r="N16" s="6" t="s">
        <v>88</v>
      </c>
    </row>
    <row r="17" customFormat="false" ht="28.5" hidden="false" customHeight="true" outlineLevel="0" collapsed="false">
      <c r="A17" s="35" t="s">
        <v>3394</v>
      </c>
      <c r="B17" s="28" t="s">
        <v>127</v>
      </c>
      <c r="C17" s="35" t="s">
        <v>278</v>
      </c>
      <c r="D17" s="35" t="s">
        <v>85</v>
      </c>
      <c r="E17" s="28" t="s">
        <v>2067</v>
      </c>
      <c r="F17" s="36" t="n">
        <v>0.05</v>
      </c>
      <c r="G17" s="40" t="n">
        <f aca="false">IFERROR(VLOOKUP("CXO|12-CXO企业合同负债",指标更新台账_v3!$A$2:$I$600,9,FALSE()),0)</f>
        <v>8</v>
      </c>
      <c r="H17" s="38" t="s">
        <v>2712</v>
      </c>
      <c r="I17" s="35" t="s">
        <v>2242</v>
      </c>
      <c r="J17" s="39" t="s">
        <v>3395</v>
      </c>
      <c r="K17" s="28" t="s">
        <v>2100</v>
      </c>
      <c r="L17" s="12" t="n">
        <v>0.1</v>
      </c>
      <c r="M17" s="6" t="s">
        <v>2306</v>
      </c>
      <c r="N17" s="6" t="s">
        <v>279</v>
      </c>
    </row>
    <row r="18" customFormat="false" ht="28.5" hidden="false" customHeight="true" outlineLevel="0" collapsed="false">
      <c r="A18" s="35" t="s">
        <v>3396</v>
      </c>
      <c r="B18" s="28" t="s">
        <v>127</v>
      </c>
      <c r="C18" s="35" t="s">
        <v>402</v>
      </c>
      <c r="D18" s="35" t="s">
        <v>129</v>
      </c>
      <c r="E18" s="28" t="s">
        <v>2048</v>
      </c>
      <c r="F18" s="36" t="n">
        <v>0.035</v>
      </c>
      <c r="G18" s="37" t="n">
        <f aca="false">IFERROR(VLOOKUP("CXO|13-CXO企业海外收入占比",指标更新台账_v3!$A$2:$I$600,9,FALSE()),0)</f>
        <v>6</v>
      </c>
      <c r="H18" s="38" t="s">
        <v>3233</v>
      </c>
      <c r="I18" s="35" t="s">
        <v>2142</v>
      </c>
      <c r="J18" s="39" t="s">
        <v>3397</v>
      </c>
      <c r="K18" s="28" t="s">
        <v>2100</v>
      </c>
      <c r="L18" s="12" t="n">
        <v>0.07</v>
      </c>
      <c r="M18" s="6" t="s">
        <v>2306</v>
      </c>
      <c r="N18" s="6" t="s">
        <v>213</v>
      </c>
    </row>
    <row r="19" customFormat="false" ht="13.5" hidden="false" customHeight="true" outlineLevel="0" collapsed="false">
      <c r="A19" s="34" t="s">
        <v>3398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28.5" hidden="false" customHeight="true" outlineLevel="0" collapsed="false">
      <c r="A20" s="35" t="s">
        <v>3399</v>
      </c>
      <c r="B20" s="28" t="s">
        <v>127</v>
      </c>
      <c r="C20" s="35" t="s">
        <v>1527</v>
      </c>
      <c r="D20" s="35" t="s">
        <v>129</v>
      </c>
      <c r="E20" s="28" t="s">
        <v>2067</v>
      </c>
      <c r="F20" s="36" t="n">
        <v>0.0429</v>
      </c>
      <c r="G20" s="40" t="n">
        <f aca="false">IFERROR(VLOOKUP("CXO|14-CXO企业季度毛利率",指标更新台账_v3!$A$2:$I$600,9,FALSE()),0)</f>
        <v>8</v>
      </c>
      <c r="H20" s="38" t="s">
        <v>2749</v>
      </c>
      <c r="I20" s="35" t="s">
        <v>2089</v>
      </c>
      <c r="J20" s="38" t="s">
        <v>3400</v>
      </c>
      <c r="K20" s="28" t="s">
        <v>2100</v>
      </c>
      <c r="L20" s="12" t="n">
        <v>0.1</v>
      </c>
      <c r="M20" s="6" t="s">
        <v>2101</v>
      </c>
      <c r="N20" s="6" t="s">
        <v>94</v>
      </c>
    </row>
    <row r="21" customFormat="false" ht="28.5" hidden="false" customHeight="true" outlineLevel="0" collapsed="false">
      <c r="A21" s="35" t="s">
        <v>3401</v>
      </c>
      <c r="B21" s="28" t="s">
        <v>127</v>
      </c>
      <c r="C21" s="35" t="s">
        <v>270</v>
      </c>
      <c r="D21" s="35" t="s">
        <v>85</v>
      </c>
      <c r="E21" s="28" t="s">
        <v>2067</v>
      </c>
      <c r="F21" s="36" t="n">
        <v>0.0429</v>
      </c>
      <c r="G21" s="40" t="n">
        <f aca="false">IFERROR(VLOOKUP("CXO|15-CXO企业净利润增速",指标更新台账_v3!$A$2:$I$600,9,FALSE()),0)</f>
        <v>8</v>
      </c>
      <c r="H21" s="38" t="s">
        <v>3222</v>
      </c>
      <c r="I21" s="35" t="s">
        <v>2142</v>
      </c>
      <c r="J21" s="38" t="s">
        <v>3402</v>
      </c>
      <c r="K21" s="28" t="s">
        <v>2100</v>
      </c>
      <c r="L21" s="12" t="n">
        <v>0.1</v>
      </c>
      <c r="M21" s="6" t="s">
        <v>2101</v>
      </c>
      <c r="N21" s="6" t="s">
        <v>131</v>
      </c>
    </row>
    <row r="22" customFormat="false" ht="28.5" hidden="false" customHeight="true" outlineLevel="0" collapsed="false">
      <c r="A22" s="35" t="s">
        <v>3403</v>
      </c>
      <c r="B22" s="28" t="s">
        <v>127</v>
      </c>
      <c r="C22" s="35" t="s">
        <v>744</v>
      </c>
      <c r="D22" s="28" t="s">
        <v>859</v>
      </c>
      <c r="E22" s="28" t="s">
        <v>2067</v>
      </c>
      <c r="F22" s="36" t="n">
        <v>0.0343</v>
      </c>
      <c r="G22" s="37" t="n">
        <f aca="false">IFERROR(VLOOKUP("CXO|16-CXO行业人均产出",指标更新台账_v3!$A$2:$I$600,9,FALSE()),0)</f>
        <v>6</v>
      </c>
      <c r="H22" s="38" t="s">
        <v>3404</v>
      </c>
      <c r="I22" s="35" t="s">
        <v>2080</v>
      </c>
      <c r="J22" s="39" t="s">
        <v>3405</v>
      </c>
      <c r="K22" s="28" t="s">
        <v>2075</v>
      </c>
      <c r="L22" s="12" t="n">
        <v>0.08</v>
      </c>
      <c r="M22" s="6" t="s">
        <v>2101</v>
      </c>
      <c r="N22" s="6" t="s">
        <v>88</v>
      </c>
    </row>
    <row r="23" customFormat="false" ht="28.5" hidden="false" customHeight="true" outlineLevel="0" collapsed="false">
      <c r="A23" s="35" t="s">
        <v>3406</v>
      </c>
      <c r="B23" s="28" t="s">
        <v>768</v>
      </c>
      <c r="C23" s="35" t="s">
        <v>308</v>
      </c>
      <c r="D23" s="35" t="s">
        <v>85</v>
      </c>
      <c r="E23" s="28" t="s">
        <v>2127</v>
      </c>
      <c r="F23" s="36" t="n">
        <v>0.03</v>
      </c>
      <c r="G23" s="37" t="n">
        <f aca="false">IFERROR(VLOOKUP("CXO|17-CXO产能扩张进度",指标更新台账_v3!$A$2:$I$600,9,FALSE()),0)</f>
        <v>6</v>
      </c>
      <c r="H23" s="38" t="s">
        <v>3222</v>
      </c>
      <c r="I23" s="35" t="s">
        <v>2069</v>
      </c>
      <c r="J23" s="39" t="s">
        <v>3407</v>
      </c>
      <c r="K23" s="28" t="s">
        <v>2075</v>
      </c>
      <c r="L23" s="12" t="n">
        <v>0.07</v>
      </c>
      <c r="M23" s="6" t="s">
        <v>2101</v>
      </c>
      <c r="N23" s="6" t="s">
        <v>88</v>
      </c>
    </row>
    <row r="24" customFormat="false" ht="17.25" hidden="false" customHeight="true" outlineLevel="0" collapsed="false">
      <c r="A24" s="41" t="s">
        <v>2108</v>
      </c>
      <c r="B24" s="41"/>
      <c r="C24" s="41"/>
      <c r="D24" s="41"/>
      <c r="E24" s="41"/>
      <c r="F24" s="41"/>
      <c r="G24" s="42" t="n">
        <f aca="false">ROUND(SUMPRODUCT(F5:F23,G5:G23),1)</f>
        <v>7.6</v>
      </c>
      <c r="H24" s="43" t="s">
        <v>2109</v>
      </c>
      <c r="I24" s="43"/>
      <c r="J24" s="43"/>
      <c r="K24" s="43"/>
    </row>
  </sheetData>
  <mergeCells count="7">
    <mergeCell ref="A1:K1"/>
    <mergeCell ref="A2:K2"/>
    <mergeCell ref="A4:K4"/>
    <mergeCell ref="A12:K12"/>
    <mergeCell ref="A19:K19"/>
    <mergeCell ref="A24:F24"/>
    <mergeCell ref="H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2" width="26"/>
    <col collapsed="false" customWidth="true" hidden="false" outlineLevel="0" max="2" min="2" style="12" width="20"/>
    <col collapsed="false" customWidth="true" hidden="false" outlineLevel="0" max="3" min="3" style="12" width="11"/>
    <col collapsed="false" customWidth="true" hidden="false" outlineLevel="0" max="5" min="4" style="12" width="9"/>
    <col collapsed="false" customWidth="true" hidden="false" outlineLevel="0" max="7" min="6" style="12" width="7"/>
    <col collapsed="false" customWidth="true" hidden="false" outlineLevel="0" max="8" min="8" style="12" width="42"/>
    <col collapsed="false" customWidth="true" hidden="false" outlineLevel="0" max="9" min="9" style="12" width="9"/>
    <col collapsed="false" customWidth="true" hidden="false" outlineLevel="0" max="10" min="10" style="12" width="18"/>
    <col collapsed="false" customWidth="true" hidden="false" outlineLevel="0" max="11" min="11" style="12" width="9"/>
    <col collapsed="false" customWidth="true" hidden="false" outlineLevel="0" max="12" min="12" style="12" width="10"/>
    <col collapsed="false" customWidth="true" hidden="false" outlineLevel="0" max="13" min="13" style="12" width="34"/>
    <col collapsed="false" customWidth="true" hidden="false" outlineLevel="0" max="14" min="14" style="12" width="48"/>
    <col collapsed="false" customWidth="true" hidden="false" outlineLevel="0" max="16" min="15" style="12" width="12"/>
  </cols>
  <sheetData>
    <row r="1" customFormat="false" ht="17.25" hidden="false" customHeight="true" outlineLevel="0" collapsed="false">
      <c r="A1" s="30" t="s">
        <v>3408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48" hidden="false" customHeight="true" outlineLevel="0" collapsed="false">
      <c r="A2" s="31" t="s">
        <v>3409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3" hidden="false" customHeight="true" outlineLevel="0" collapsed="false">
      <c r="A3" s="32" t="s">
        <v>68</v>
      </c>
      <c r="B3" s="32" t="s">
        <v>69</v>
      </c>
      <c r="C3" s="32" t="s">
        <v>2033</v>
      </c>
      <c r="D3" s="32" t="s">
        <v>71</v>
      </c>
      <c r="E3" s="32" t="s">
        <v>2034</v>
      </c>
      <c r="F3" s="32" t="s">
        <v>2035</v>
      </c>
      <c r="G3" s="32" t="s">
        <v>2036</v>
      </c>
      <c r="H3" s="32" t="s">
        <v>2037</v>
      </c>
      <c r="I3" s="32" t="s">
        <v>2038</v>
      </c>
      <c r="J3" s="32" t="s">
        <v>2039</v>
      </c>
      <c r="K3" s="32" t="s">
        <v>2040</v>
      </c>
      <c r="L3" s="33" t="s">
        <v>2041</v>
      </c>
      <c r="M3" s="33" t="s">
        <v>2042</v>
      </c>
      <c r="N3" s="33" t="s">
        <v>2043</v>
      </c>
      <c r="O3" s="33" t="s">
        <v>2044</v>
      </c>
      <c r="P3" s="33" t="s">
        <v>2045</v>
      </c>
    </row>
    <row r="4" customFormat="false" ht="13.5" hidden="false" customHeight="true" outlineLevel="0" collapsed="false">
      <c r="A4" s="34" t="s">
        <v>3364</v>
      </c>
      <c r="B4" s="34"/>
      <c r="C4" s="34"/>
      <c r="D4" s="34"/>
      <c r="E4" s="34"/>
      <c r="F4" s="34"/>
      <c r="G4" s="34"/>
      <c r="H4" s="34"/>
      <c r="I4" s="34"/>
      <c r="J4" s="34"/>
      <c r="K4" s="34"/>
      <c r="O4" s="12" t="s">
        <v>81</v>
      </c>
      <c r="P4" s="12" t="n">
        <f aca="false">ROUND(SUMPRODUCT(F5:F11,G5:G11)/SUM(F5:F11),1)</f>
        <v>8</v>
      </c>
    </row>
    <row r="5" customFormat="false" ht="42.75" hidden="false" customHeight="true" outlineLevel="0" collapsed="false">
      <c r="A5" s="35" t="s">
        <v>3365</v>
      </c>
      <c r="B5" s="35" t="s">
        <v>455</v>
      </c>
      <c r="C5" s="35" t="s">
        <v>240</v>
      </c>
      <c r="D5" s="35" t="s">
        <v>85</v>
      </c>
      <c r="E5" s="28" t="s">
        <v>2067</v>
      </c>
      <c r="F5" s="36" t="n">
        <v>0.1058</v>
      </c>
      <c r="G5" s="40" t="n">
        <f aca="false">IFERROR(VLOOKUP("创新药|1-全球生物医药融资额",指标更新台账_v3!$A$2:$I$600,9,FALSE()),0)</f>
        <v>8</v>
      </c>
      <c r="H5" s="38" t="s">
        <v>2403</v>
      </c>
      <c r="I5" s="35" t="s">
        <v>2085</v>
      </c>
      <c r="J5" s="39" t="s">
        <v>3410</v>
      </c>
      <c r="K5" s="28" t="s">
        <v>2100</v>
      </c>
      <c r="L5" s="12" t="n">
        <v>0.15</v>
      </c>
      <c r="M5" s="6" t="s">
        <v>3125</v>
      </c>
      <c r="N5" s="6" t="s">
        <v>279</v>
      </c>
      <c r="O5" s="12" t="s">
        <v>108</v>
      </c>
      <c r="P5" s="12" t="n">
        <f aca="false">ROUND(SUMPRODUCT(F13:F18,G13:G18)/SUM(F13:F18),1)</f>
        <v>8</v>
      </c>
    </row>
    <row r="6" customFormat="false" ht="42.75" hidden="false" customHeight="true" outlineLevel="0" collapsed="false">
      <c r="A6" s="35" t="s">
        <v>3411</v>
      </c>
      <c r="B6" s="35" t="s">
        <v>443</v>
      </c>
      <c r="C6" s="35" t="s">
        <v>444</v>
      </c>
      <c r="D6" s="28" t="s">
        <v>2393</v>
      </c>
      <c r="E6" s="28" t="s">
        <v>2067</v>
      </c>
      <c r="F6" s="36" t="n">
        <v>0.1058</v>
      </c>
      <c r="G6" s="40" t="n">
        <f aca="false">IFERROR(VLOOKUP("创新药|2-创新药IND数量",指标更新台账_v3!$A$2:$I$600,9,FALSE()),0)</f>
        <v>8</v>
      </c>
      <c r="H6" s="38" t="s">
        <v>2394</v>
      </c>
      <c r="I6" s="35" t="s">
        <v>2223</v>
      </c>
      <c r="J6" s="38" t="s">
        <v>3412</v>
      </c>
      <c r="K6" s="28" t="s">
        <v>2052</v>
      </c>
      <c r="L6" s="12" t="n">
        <v>0.15</v>
      </c>
      <c r="M6" s="6" t="s">
        <v>3125</v>
      </c>
      <c r="N6" s="6" t="s">
        <v>88</v>
      </c>
      <c r="O6" s="12" t="s">
        <v>125</v>
      </c>
      <c r="P6" s="12" t="n">
        <f aca="false">ROUND(SUMPRODUCT(F20:F24,G20:G24)/SUM(F20:F24),1)</f>
        <v>8.1</v>
      </c>
    </row>
    <row r="7" customFormat="false" ht="28.5" hidden="false" customHeight="true" outlineLevel="0" collapsed="false">
      <c r="A7" s="35" t="s">
        <v>3413</v>
      </c>
      <c r="B7" s="35" t="s">
        <v>443</v>
      </c>
      <c r="C7" s="35" t="s">
        <v>338</v>
      </c>
      <c r="D7" s="28" t="s">
        <v>2393</v>
      </c>
      <c r="E7" s="28" t="s">
        <v>2067</v>
      </c>
      <c r="F7" s="36" t="n">
        <v>0.0705</v>
      </c>
      <c r="G7" s="40" t="n">
        <f aca="false">IFERROR(VLOOKUP("创新药|3-NDA/BLA申报数量",指标更新台账_v3!$A$2:$I$600,9,FALSE()),0)</f>
        <v>8</v>
      </c>
      <c r="H7" s="38" t="s">
        <v>2562</v>
      </c>
      <c r="I7" s="35" t="s">
        <v>2142</v>
      </c>
      <c r="J7" s="39" t="s">
        <v>3414</v>
      </c>
      <c r="K7" s="28" t="s">
        <v>2052</v>
      </c>
      <c r="L7" s="12" t="n">
        <v>0.1</v>
      </c>
      <c r="M7" s="6" t="s">
        <v>3125</v>
      </c>
      <c r="N7" s="6" t="s">
        <v>88</v>
      </c>
    </row>
    <row r="8" customFormat="false" ht="42.75" hidden="false" customHeight="true" outlineLevel="0" collapsed="false">
      <c r="A8" s="35" t="s">
        <v>3415</v>
      </c>
      <c r="B8" s="35" t="s">
        <v>1542</v>
      </c>
      <c r="C8" s="35" t="s">
        <v>308</v>
      </c>
      <c r="D8" s="35" t="s">
        <v>85</v>
      </c>
      <c r="E8" s="28" t="s">
        <v>2067</v>
      </c>
      <c r="F8" s="36" t="n">
        <v>0.0705</v>
      </c>
      <c r="G8" s="40" t="n">
        <f aca="false">IFERROR(VLOOKUP("创新药|4-临床管线数量",指标更新台账_v3!$A$2:$I$600,9,FALSE()),0)</f>
        <v>8</v>
      </c>
      <c r="H8" s="38" t="s">
        <v>2234</v>
      </c>
      <c r="I8" s="35" t="s">
        <v>2085</v>
      </c>
      <c r="J8" s="39" t="s">
        <v>3416</v>
      </c>
      <c r="K8" s="28" t="s">
        <v>2075</v>
      </c>
      <c r="L8" s="12" t="n">
        <v>0.1</v>
      </c>
      <c r="M8" s="6" t="s">
        <v>3125</v>
      </c>
      <c r="N8" s="6" t="s">
        <v>279</v>
      </c>
    </row>
    <row r="9" customFormat="false" ht="42.75" hidden="false" customHeight="true" outlineLevel="0" collapsed="false">
      <c r="A9" s="35" t="s">
        <v>3417</v>
      </c>
      <c r="B9" s="28" t="s">
        <v>1545</v>
      </c>
      <c r="C9" s="35" t="s">
        <v>93</v>
      </c>
      <c r="D9" s="35" t="s">
        <v>85</v>
      </c>
      <c r="E9" s="28" t="s">
        <v>2067</v>
      </c>
      <c r="F9" s="36" t="n">
        <v>0.0846</v>
      </c>
      <c r="G9" s="40" t="n">
        <f aca="false">IFERROR(VLOOKUP("创新药|5-创新药BD交易金额",指标更新台账_v3!$A$2:$I$600,9,FALSE()),0)</f>
        <v>8</v>
      </c>
      <c r="H9" s="38" t="s">
        <v>2241</v>
      </c>
      <c r="I9" s="35" t="s">
        <v>2229</v>
      </c>
      <c r="J9" s="38" t="s">
        <v>3418</v>
      </c>
      <c r="K9" s="28" t="s">
        <v>2100</v>
      </c>
      <c r="L9" s="12" t="n">
        <v>0.12</v>
      </c>
      <c r="M9" s="6" t="s">
        <v>3125</v>
      </c>
      <c r="N9" s="6" t="s">
        <v>88</v>
      </c>
    </row>
    <row r="10" customFormat="false" ht="42.75" hidden="false" customHeight="true" outlineLevel="0" collapsed="false">
      <c r="A10" s="35" t="s">
        <v>3419</v>
      </c>
      <c r="B10" s="28" t="s">
        <v>448</v>
      </c>
      <c r="C10" s="35" t="s">
        <v>449</v>
      </c>
      <c r="D10" s="35" t="s">
        <v>129</v>
      </c>
      <c r="E10" s="28" t="s">
        <v>2397</v>
      </c>
      <c r="F10" s="36" t="n">
        <v>0.0564</v>
      </c>
      <c r="G10" s="40" t="n">
        <f aca="false">IFERROR(VLOOKUP("创新药|6-医保谈判降价预期",指标更新台账_v3!$A$2:$I$600,9,FALSE()),0)</f>
        <v>8</v>
      </c>
      <c r="H10" s="38" t="s">
        <v>2398</v>
      </c>
      <c r="I10" s="35" t="s">
        <v>2080</v>
      </c>
      <c r="J10" s="39" t="s">
        <v>3420</v>
      </c>
      <c r="K10" s="28" t="s">
        <v>2075</v>
      </c>
      <c r="L10" s="12" t="n">
        <v>0.08</v>
      </c>
      <c r="M10" s="6" t="s">
        <v>3125</v>
      </c>
      <c r="N10" s="6" t="s">
        <v>88</v>
      </c>
    </row>
    <row r="11" customFormat="false" ht="42.75" hidden="false" customHeight="true" outlineLevel="0" collapsed="false">
      <c r="A11" s="35" t="s">
        <v>3421</v>
      </c>
      <c r="B11" s="28" t="s">
        <v>127</v>
      </c>
      <c r="C11" s="35" t="s">
        <v>270</v>
      </c>
      <c r="D11" s="35" t="s">
        <v>85</v>
      </c>
      <c r="E11" s="28" t="s">
        <v>2067</v>
      </c>
      <c r="F11" s="36" t="n">
        <v>0.0564</v>
      </c>
      <c r="G11" s="40" t="n">
        <f aca="false">IFERROR(VLOOKUP("创新药|7-创新药研发支出增速",指标更新台账_v3!$A$2:$I$600,9,FALSE()),0)</f>
        <v>8</v>
      </c>
      <c r="H11" s="38" t="s">
        <v>3222</v>
      </c>
      <c r="I11" s="35" t="s">
        <v>2242</v>
      </c>
      <c r="J11" s="39" t="s">
        <v>3422</v>
      </c>
      <c r="K11" s="28" t="s">
        <v>2100</v>
      </c>
      <c r="L11" s="12" t="n">
        <v>0.08</v>
      </c>
      <c r="M11" s="6" t="s">
        <v>3125</v>
      </c>
      <c r="N11" s="6" t="s">
        <v>88</v>
      </c>
    </row>
    <row r="12" customFormat="false" ht="13.5" hidden="false" customHeight="true" outlineLevel="0" collapsed="false">
      <c r="A12" s="34" t="s">
        <v>3383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customFormat="false" ht="28.5" hidden="false" customHeight="true" outlineLevel="0" collapsed="false">
      <c r="A13" s="35" t="s">
        <v>3423</v>
      </c>
      <c r="B13" s="35" t="s">
        <v>1212</v>
      </c>
      <c r="C13" s="35" t="s">
        <v>302</v>
      </c>
      <c r="D13" s="28" t="s">
        <v>3089</v>
      </c>
      <c r="E13" s="28" t="s">
        <v>2067</v>
      </c>
      <c r="F13" s="36" t="n">
        <v>0.0726</v>
      </c>
      <c r="G13" s="40" t="n">
        <f aca="false">IFERROR(VLOOKUP("创新药|8-创新药获批数量",指标更新台账_v3!$A$2:$I$600,9,FALSE()),0)</f>
        <v>8</v>
      </c>
      <c r="H13" s="38" t="s">
        <v>3368</v>
      </c>
      <c r="I13" s="35" t="s">
        <v>2242</v>
      </c>
      <c r="J13" s="39" t="s">
        <v>3424</v>
      </c>
      <c r="K13" s="28" t="s">
        <v>2052</v>
      </c>
      <c r="L13" s="12" t="n">
        <v>0.15</v>
      </c>
      <c r="M13" s="6" t="s">
        <v>2306</v>
      </c>
      <c r="N13" s="6" t="s">
        <v>88</v>
      </c>
    </row>
    <row r="14" customFormat="false" ht="28.5" hidden="false" customHeight="true" outlineLevel="0" collapsed="false">
      <c r="A14" s="35" t="s">
        <v>3425</v>
      </c>
      <c r="B14" s="35" t="s">
        <v>3426</v>
      </c>
      <c r="C14" s="35" t="s">
        <v>624</v>
      </c>
      <c r="D14" s="35" t="s">
        <v>85</v>
      </c>
      <c r="E14" s="28" t="s">
        <v>2067</v>
      </c>
      <c r="F14" s="36" t="n">
        <v>0.0581</v>
      </c>
      <c r="G14" s="40" t="n">
        <f aca="false">IFERROR(VLOOKUP("创新药|9-创新药销售额增速",指标更新台账_v3!$A$2:$I$600,9,FALSE()),0)</f>
        <v>8</v>
      </c>
      <c r="H14" s="38" t="s">
        <v>2241</v>
      </c>
      <c r="I14" s="35" t="s">
        <v>2223</v>
      </c>
      <c r="J14" s="39" t="s">
        <v>3427</v>
      </c>
      <c r="K14" s="28" t="s">
        <v>2100</v>
      </c>
      <c r="L14" s="12" t="n">
        <v>0.12</v>
      </c>
      <c r="M14" s="6" t="s">
        <v>2306</v>
      </c>
      <c r="N14" s="6" t="s">
        <v>88</v>
      </c>
    </row>
    <row r="15" customFormat="false" ht="28.5" hidden="false" customHeight="true" outlineLevel="0" collapsed="false">
      <c r="A15" s="35" t="s">
        <v>3428</v>
      </c>
      <c r="B15" s="28" t="s">
        <v>1159</v>
      </c>
      <c r="C15" s="35" t="s">
        <v>240</v>
      </c>
      <c r="D15" s="35" t="s">
        <v>85</v>
      </c>
      <c r="E15" s="28" t="s">
        <v>2067</v>
      </c>
      <c r="F15" s="36" t="n">
        <v>0.0484</v>
      </c>
      <c r="G15" s="40" t="n">
        <f aca="false">IFERROR(VLOOKUP("创新药|10-医院准入数量",指标更新台账_v3!$A$2:$I$600,9,FALSE()),0)</f>
        <v>8</v>
      </c>
      <c r="H15" s="38" t="s">
        <v>2234</v>
      </c>
      <c r="I15" s="35" t="s">
        <v>2142</v>
      </c>
      <c r="J15" s="39" t="s">
        <v>3429</v>
      </c>
      <c r="K15" s="28" t="s">
        <v>2100</v>
      </c>
      <c r="L15" s="12" t="n">
        <v>0.1</v>
      </c>
      <c r="M15" s="6" t="s">
        <v>2306</v>
      </c>
      <c r="N15" s="6" t="s">
        <v>88</v>
      </c>
    </row>
    <row r="16" customFormat="false" ht="28.5" hidden="false" customHeight="true" outlineLevel="0" collapsed="false">
      <c r="A16" s="35" t="s">
        <v>3430</v>
      </c>
      <c r="B16" s="35" t="s">
        <v>1559</v>
      </c>
      <c r="C16" s="35" t="s">
        <v>270</v>
      </c>
      <c r="D16" s="35" t="s">
        <v>85</v>
      </c>
      <c r="E16" s="28" t="s">
        <v>2067</v>
      </c>
      <c r="F16" s="36" t="n">
        <v>0.0484</v>
      </c>
      <c r="G16" s="40" t="n">
        <f aca="false">IFERROR(VLOOKUP("创新药|11-创新药处方量增速",指标更新台账_v3!$A$2:$I$600,9,FALSE()),0)</f>
        <v>8</v>
      </c>
      <c r="H16" s="38" t="s">
        <v>3222</v>
      </c>
      <c r="I16" s="35" t="s">
        <v>2242</v>
      </c>
      <c r="J16" s="39" t="s">
        <v>3431</v>
      </c>
      <c r="K16" s="28" t="s">
        <v>2100</v>
      </c>
      <c r="L16" s="12" t="n">
        <v>0.1</v>
      </c>
      <c r="M16" s="6" t="s">
        <v>2306</v>
      </c>
      <c r="N16" s="6" t="s">
        <v>88</v>
      </c>
    </row>
    <row r="17" customFormat="false" ht="28.5" hidden="false" customHeight="true" outlineLevel="0" collapsed="false">
      <c r="A17" s="35" t="s">
        <v>3432</v>
      </c>
      <c r="B17" s="28" t="s">
        <v>101</v>
      </c>
      <c r="C17" s="35" t="s">
        <v>872</v>
      </c>
      <c r="D17" s="35" t="s">
        <v>85</v>
      </c>
      <c r="E17" s="28" t="s">
        <v>2067</v>
      </c>
      <c r="F17" s="36" t="n">
        <v>0.0387</v>
      </c>
      <c r="G17" s="40" t="n">
        <f aca="false">IFERROR(VLOOKUP("创新药|12-创新药出口金额",指标更新台账_v3!$A$2:$I$600,9,FALSE()),0)</f>
        <v>10</v>
      </c>
      <c r="H17" s="38" t="s">
        <v>2568</v>
      </c>
      <c r="I17" s="35" t="s">
        <v>2058</v>
      </c>
      <c r="J17" s="39" t="s">
        <v>3433</v>
      </c>
      <c r="K17" s="28" t="s">
        <v>2052</v>
      </c>
      <c r="L17" s="12" t="n">
        <v>0.08</v>
      </c>
      <c r="M17" s="6" t="s">
        <v>2306</v>
      </c>
      <c r="N17" s="6" t="s">
        <v>88</v>
      </c>
    </row>
    <row r="18" customFormat="false" ht="28.5" hidden="false" customHeight="true" outlineLevel="0" collapsed="false">
      <c r="A18" s="35" t="s">
        <v>3434</v>
      </c>
      <c r="B18" s="35" t="s">
        <v>1212</v>
      </c>
      <c r="C18" s="35" t="s">
        <v>685</v>
      </c>
      <c r="D18" s="28" t="s">
        <v>3089</v>
      </c>
      <c r="E18" s="28" t="s">
        <v>2067</v>
      </c>
      <c r="F18" s="36" t="n">
        <v>0.0339</v>
      </c>
      <c r="G18" s="37" t="n">
        <f aca="false">IFERROR(VLOOKUP("创新药|13-生物类似药上市数量",指标更新台账_v3!$A$2:$I$600,9,FALSE()),0)</f>
        <v>6</v>
      </c>
      <c r="H18" s="38" t="s">
        <v>3067</v>
      </c>
      <c r="I18" s="35" t="s">
        <v>2080</v>
      </c>
      <c r="J18" s="39" t="s">
        <v>3435</v>
      </c>
      <c r="K18" s="28" t="s">
        <v>2075</v>
      </c>
      <c r="L18" s="12" t="n">
        <v>0.07</v>
      </c>
      <c r="M18" s="6" t="s">
        <v>2306</v>
      </c>
      <c r="N18" s="6" t="s">
        <v>88</v>
      </c>
    </row>
    <row r="19" customFormat="false" ht="13.5" hidden="false" customHeight="true" outlineLevel="0" collapsed="false">
      <c r="A19" s="34" t="s">
        <v>3398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customFormat="false" ht="28.5" hidden="false" customHeight="true" outlineLevel="0" collapsed="false">
      <c r="A20" s="35" t="s">
        <v>3436</v>
      </c>
      <c r="B20" s="28" t="s">
        <v>127</v>
      </c>
      <c r="C20" s="35" t="s">
        <v>194</v>
      </c>
      <c r="D20" s="35" t="s">
        <v>129</v>
      </c>
      <c r="E20" s="28" t="s">
        <v>2067</v>
      </c>
      <c r="F20" s="36" t="n">
        <v>0.0349</v>
      </c>
      <c r="G20" s="40" t="n">
        <f aca="false">IFERROR(VLOOKUP("创新药|14-创新药企业毛利率",指标更新台账_v3!$A$2:$I$600,9,FALSE()),0)</f>
        <v>10</v>
      </c>
      <c r="H20" s="38" t="s">
        <v>3233</v>
      </c>
      <c r="I20" s="35" t="s">
        <v>2209</v>
      </c>
      <c r="J20" s="39" t="s">
        <v>3437</v>
      </c>
      <c r="K20" s="28" t="s">
        <v>2100</v>
      </c>
      <c r="L20" s="12" t="n">
        <v>0.1</v>
      </c>
      <c r="M20" s="6" t="s">
        <v>2101</v>
      </c>
      <c r="N20" s="6" t="s">
        <v>94</v>
      </c>
    </row>
    <row r="21" customFormat="false" ht="28.5" hidden="false" customHeight="true" outlineLevel="0" collapsed="false">
      <c r="A21" s="35" t="s">
        <v>3438</v>
      </c>
      <c r="B21" s="28" t="s">
        <v>127</v>
      </c>
      <c r="C21" s="35" t="s">
        <v>93</v>
      </c>
      <c r="D21" s="35" t="s">
        <v>85</v>
      </c>
      <c r="E21" s="28" t="s">
        <v>2067</v>
      </c>
      <c r="F21" s="36" t="n">
        <v>0.0349</v>
      </c>
      <c r="G21" s="40" t="n">
        <f aca="false">IFERROR(VLOOKUP("创新药|15-创新药企业净利润",指标更新台账_v3!$A$2:$I$600,9,FALSE()),0)</f>
        <v>8</v>
      </c>
      <c r="H21" s="38" t="s">
        <v>3439</v>
      </c>
      <c r="I21" s="35" t="s">
        <v>2223</v>
      </c>
      <c r="J21" s="38" t="s">
        <v>3440</v>
      </c>
      <c r="K21" s="28" t="s">
        <v>2100</v>
      </c>
      <c r="L21" s="12" t="n">
        <v>0.1</v>
      </c>
      <c r="M21" s="6" t="s">
        <v>2101</v>
      </c>
      <c r="N21" s="6" t="s">
        <v>131</v>
      </c>
    </row>
    <row r="22" customFormat="false" ht="28.5" hidden="false" customHeight="true" outlineLevel="0" collapsed="false">
      <c r="A22" s="35" t="s">
        <v>3441</v>
      </c>
      <c r="B22" s="28" t="s">
        <v>127</v>
      </c>
      <c r="C22" s="35" t="s">
        <v>302</v>
      </c>
      <c r="D22" s="35" t="s">
        <v>129</v>
      </c>
      <c r="E22" s="28" t="s">
        <v>2067</v>
      </c>
      <c r="F22" s="36" t="n">
        <v>0.0279</v>
      </c>
      <c r="G22" s="37" t="n">
        <f aca="false">IFERROR(VLOOKUP("创新药|16-创新药研发费用率",指标更新台账_v3!$A$2:$I$600,9,FALSE()),0)</f>
        <v>6</v>
      </c>
      <c r="H22" s="38" t="s">
        <v>2266</v>
      </c>
      <c r="I22" s="35" t="s">
        <v>2142</v>
      </c>
      <c r="J22" s="39" t="s">
        <v>3442</v>
      </c>
      <c r="K22" s="28" t="s">
        <v>2100</v>
      </c>
      <c r="L22" s="12" t="n">
        <v>0.08</v>
      </c>
      <c r="M22" s="6" t="s">
        <v>2101</v>
      </c>
      <c r="N22" s="6" t="s">
        <v>88</v>
      </c>
    </row>
    <row r="23" customFormat="false" ht="28.5" hidden="false" customHeight="true" outlineLevel="0" collapsed="false">
      <c r="A23" s="35" t="s">
        <v>3443</v>
      </c>
      <c r="B23" s="28" t="s">
        <v>127</v>
      </c>
      <c r="C23" s="35" t="s">
        <v>259</v>
      </c>
      <c r="D23" s="35" t="s">
        <v>129</v>
      </c>
      <c r="E23" s="28" t="s">
        <v>2062</v>
      </c>
      <c r="F23" s="36" t="n">
        <v>0.0244</v>
      </c>
      <c r="G23" s="40" t="n">
        <f aca="false">IFERROR(VLOOKUP("创新药|17-创新药销售费用率",指标更新台账_v3!$A$2:$I$600,9,FALSE()),0)</f>
        <v>8</v>
      </c>
      <c r="H23" s="38" t="s">
        <v>3444</v>
      </c>
      <c r="I23" s="35" t="s">
        <v>2089</v>
      </c>
      <c r="J23" s="39" t="s">
        <v>3445</v>
      </c>
      <c r="K23" s="28" t="s">
        <v>2100</v>
      </c>
      <c r="L23" s="12" t="n">
        <v>0.07</v>
      </c>
      <c r="M23" s="6" t="s">
        <v>2101</v>
      </c>
      <c r="N23" s="6" t="s">
        <v>88</v>
      </c>
    </row>
    <row r="24" customFormat="false" ht="28.5" hidden="false" customHeight="true" outlineLevel="0" collapsed="false">
      <c r="A24" s="35" t="s">
        <v>3446</v>
      </c>
      <c r="B24" s="28" t="s">
        <v>127</v>
      </c>
      <c r="C24" s="35" t="s">
        <v>278</v>
      </c>
      <c r="D24" s="35" t="s">
        <v>85</v>
      </c>
      <c r="E24" s="28" t="s">
        <v>2067</v>
      </c>
      <c r="F24" s="36" t="n">
        <v>0.0279</v>
      </c>
      <c r="G24" s="40" t="n">
        <f aca="false">IFERROR(VLOOKUP("创新药|18-创新药经营性现金流",指标更新台账_v3!$A$2:$I$600,9,FALSE()),0)</f>
        <v>8</v>
      </c>
      <c r="H24" s="38" t="s">
        <v>3439</v>
      </c>
      <c r="I24" s="35" t="s">
        <v>2242</v>
      </c>
      <c r="J24" s="39" t="s">
        <v>3447</v>
      </c>
      <c r="K24" s="28" t="s">
        <v>2100</v>
      </c>
      <c r="L24" s="12" t="n">
        <v>0.08</v>
      </c>
      <c r="M24" s="6" t="s">
        <v>2101</v>
      </c>
      <c r="N24" s="6" t="s">
        <v>131</v>
      </c>
    </row>
    <row r="25" customFormat="false" ht="17.25" hidden="false" customHeight="true" outlineLevel="0" collapsed="false">
      <c r="A25" s="41" t="s">
        <v>2108</v>
      </c>
      <c r="B25" s="41"/>
      <c r="C25" s="41"/>
      <c r="D25" s="41"/>
      <c r="E25" s="41"/>
      <c r="F25" s="41"/>
      <c r="G25" s="42" t="n">
        <f aca="false">ROUND(SUMPRODUCT(F5:F24,G5:G24),1)</f>
        <v>8</v>
      </c>
      <c r="H25" s="43" t="s">
        <v>2109</v>
      </c>
      <c r="I25" s="43"/>
      <c r="J25" s="43"/>
      <c r="K25" s="43"/>
    </row>
  </sheetData>
  <mergeCells count="7">
    <mergeCell ref="A1:K1"/>
    <mergeCell ref="A2:K2"/>
    <mergeCell ref="A4:K4"/>
    <mergeCell ref="A12:K12"/>
    <mergeCell ref="A19:K19"/>
    <mergeCell ref="A25:F25"/>
    <mergeCell ref="H25:K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2026-05-22T05:42:57Z</dcterms:created>
  <dc:creator>openpyxl</dc:creator>
  <dc:description/>
  <dc:language>zh-CN</dc:language>
  <cp:lastModifiedBy>User</cp:lastModifiedBy>
  <dcterms:modified xsi:type="dcterms:W3CDTF">2026-07-28T06:34:45Z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82D9E124-1910-4E91-8D1F-441B58D0EB26</vt:lpwstr>
  </property>
</Properties>
</file>